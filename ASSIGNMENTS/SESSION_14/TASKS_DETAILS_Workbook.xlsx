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nses" sheetId="1" state="visible" r:id="rId3"/>
    <sheet name="Task1_Contingency" sheetId="2" state="visible" r:id="rId4"/>
    <sheet name="Task2_Expected" sheetId="3" state="visible" r:id="rId5"/>
    <sheet name="Task3_ChiSquare" sheetId="4" state="visible" r:id="rId6"/>
    <sheet name="Task4_GoodnessOfFi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<sst xmlns="http://schemas.openxmlformats.org/spreadsheetml/2006/main" count="259" uniqueCount="118">
  <si>
    <t xml:space="preserve">Respondent ID</t>
  </si>
  <si>
    <t xml:space="preserve">Favorite App</t>
  </si>
  <si>
    <t xml:space="preserve">Payment Method</t>
  </si>
  <si>
    <t xml:space="preserve">Notes</t>
  </si>
  <si>
    <t xml:space="preserve">R01</t>
  </si>
  <si>
    <t xml:space="preserve">Swiggy</t>
  </si>
  <si>
    <t xml:space="preserve">Credit Card</t>
  </si>
  <si>
    <t xml:space="preserve">60 survey responses (simulated for this assignment; replace with real responses if available).</t>
  </si>
  <si>
    <t xml:space="preserve">R02</t>
  </si>
  <si>
    <t xml:space="preserve">Blue text = typed input. Black text = formula.</t>
  </si>
  <si>
    <t xml:space="preserve">R03</t>
  </si>
  <si>
    <t xml:space="preserve">Zomato</t>
  </si>
  <si>
    <t xml:space="preserve">Paytm</t>
  </si>
  <si>
    <t xml:space="preserve">Task1_Contingency counts these rows with COUNTIFS, so editing a response updates every sheet.</t>
  </si>
  <si>
    <t xml:space="preserve">R04</t>
  </si>
  <si>
    <t xml:space="preserve">Uber Eats</t>
  </si>
  <si>
    <t xml:space="preserve">PhonePe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</si>
  <si>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</si>
  <si>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</si>
  <si>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</si>
  <si>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</si>
  <si>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</si>
  <si>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</si>
  <si>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</si>
  <si>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</si>
  <si>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</si>
  <si>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</si>
  <si>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</si>
  <si>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</si>
  <si>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</si>
  <si>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</si>
  <si>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</si>
  <si>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</si>
  <si>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</si>
  <si>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</si>
  <si>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</si>
  <si>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</si>
  <si>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</si>
  <si>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</si>
  <si>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</si>
  <si>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</si>
  <si>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</si>
  <si>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</si>
  <si>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</si>
  <si>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</si>
  <si>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</si>
  <si>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</si>
  <si>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</si>
  <si>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R36</t>
  </si>
  <si>
    <t xml:space="preserve">R37</t>
  </si>
  <si>
    <t xml:space="preserve">R38</t>
  </si>
  <si>
    <t xml:space="preserve">R39</t>
  </si>
  <si>
    <t xml:space="preserve">R40</t>
  </si>
  <si>
    <t xml:space="preserve">R41</t>
  </si>
  <si>
    <t xml:space="preserve">R42</t>
  </si>
  <si>
    <t xml:space="preserve">R43</t>
  </si>
  <si>
    <t xml:space="preserve">R44</t>
  </si>
  <si>
    <t xml:space="preserve">R45</t>
  </si>
  <si>
    <t xml:space="preserve">R46</t>
  </si>
  <si>
    <t xml:space="preserve">R47</t>
  </si>
  <si>
    <t xml:space="preserve">R48</t>
  </si>
  <si>
    <t xml:space="preserve">R49</t>
  </si>
  <si>
    <t xml:space="preserve">R50</t>
  </si>
  <si>
    <t xml:space="preserve">R51</t>
  </si>
  <si>
    <t xml:space="preserve">R52</t>
  </si>
  <si>
    <t xml:space="preserve">R53</t>
  </si>
  <si>
    <t xml:space="preserve">R54</t>
  </si>
  <si>
    <t xml:space="preserve">R55</t>
  </si>
  <si>
    <t xml:space="preserve">R56</t>
  </si>
  <si>
    <t xml:space="preserve">R57</t>
  </si>
  <si>
    <t xml:space="preserve">R58</t>
  </si>
  <si>
    <t xml:space="preserve">R59</t>
  </si>
  <si>
    <t xml:space="preserve">R60</t>
  </si>
  <si>
    <t xml:space="preserve">Task 1: Contingency table - favorite app vs preferred payment method</t>
  </si>
  <si>
    <t xml:space="preserve">Favorite App \ Payment</t>
  </si>
  <si>
    <t xml:space="preserve">Total</t>
  </si>
  <si>
    <t xml:space="preserve">Responses in data sheet</t>
  </si>
  <si>
    <t xml:space="preserve">Row percentages (payment mix within each app)</t>
  </si>
  <si>
    <t xml:space="preserve">Task 2: Expected counts under independence (music streaming preference by gender)</t>
  </si>
  <si>
    <t xml:space="preserve">Observed counts</t>
  </si>
  <si>
    <t xml:space="preserve">Males</t>
  </si>
  <si>
    <t xml:space="preserve">Females</t>
  </si>
  <si>
    <t xml:space="preserve">Spotify</t>
  </si>
  <si>
    <t xml:space="preserve">Gaana</t>
  </si>
  <si>
    <t xml:space="preserve">YouTube Music</t>
  </si>
  <si>
    <t xml:space="preserve">Expected = (row total x column total) / grand total</t>
  </si>
  <si>
    <t xml:space="preserve">Expected counts</t>
  </si>
  <si>
    <t xml:space="preserve">Observed counts are given in the question (blue = input).</t>
  </si>
  <si>
    <t xml:space="preserve">Task 3: Chi-square test of independence (favorite app vs payment method)</t>
  </si>
  <si>
    <t xml:space="preserve">H0: app choice and payment method are independent.   H1: they are associated.</t>
  </si>
  <si>
    <t xml:space="preserve">Step 1: Observed counts (linked to Task1_Contingency)</t>
  </si>
  <si>
    <t xml:space="preserve">Step 2: Expected counts = row total x column total / grand total</t>
  </si>
  <si>
    <t xml:space="preserve">Step 3: Cell contributions (O - E)^2 / E</t>
  </si>
  <si>
    <t xml:space="preserve">Step 4: Test statistic and decision</t>
  </si>
  <si>
    <t xml:space="preserve">Chi-square statistic = sum of contributions</t>
  </si>
  <si>
    <t xml:space="preserve">Degrees of freedom = (rows-1) x (columns-1)</t>
  </si>
  <si>
    <t xml:space="preserve">Significance level (alpha)</t>
  </si>
  <si>
    <t xml:space="preserve">Critical value</t>
  </si>
  <si>
    <t xml:space="preserve">p-value</t>
  </si>
  <si>
    <t xml:space="preserve">Check: CHITEST(observed, expected)</t>
  </si>
  <si>
    <t xml:space="preserve">Smallest expected count (should be &gt;= 5)</t>
  </si>
  <si>
    <t xml:space="preserve">Cramer's V (effect size)</t>
  </si>
  <si>
    <t xml:space="preserve">Decision</t>
  </si>
  <si>
    <t xml:space="preserve">Alpha (blue) is an input; everything else recalculates from the Responses sheet.</t>
  </si>
  <si>
    <t xml:space="preserve">Task 4: Chi-square goodness of fit (Flipkart new product, claim: 70% prefer it)</t>
  </si>
  <si>
    <t xml:space="preserve">H0: 70% prefer / 30% do not.   H1: the proportions differ from 70% / 30%.</t>
  </si>
  <si>
    <t xml:space="preserve">Category</t>
  </si>
  <si>
    <t xml:space="preserve">Observed</t>
  </si>
  <si>
    <t xml:space="preserve">Claimed proportion</t>
  </si>
  <si>
    <t xml:space="preserve">Expected</t>
  </si>
  <si>
    <t xml:space="preserve">(O-E)^2/E</t>
  </si>
  <si>
    <t xml:space="preserve">Prefer new product</t>
  </si>
  <si>
    <t xml:space="preserve">Do not prefer</t>
  </si>
  <si>
    <t xml:space="preserve">Chi-square statistic</t>
  </si>
  <si>
    <t xml:space="preserve">Degrees of freedom = categories - 1</t>
  </si>
  <si>
    <t xml:space="preserve">All expected counts &gt;= 5?</t>
  </si>
  <si>
    <t xml:space="preserve">Observed share preferring new product</t>
  </si>
  <si>
    <t xml:space="preserve">Observed counts, claimed proportions and alpha (blue) are inputs from the question.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</si>
</sst>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%"/>
    <numFmt numFmtId="167" formatCode="0.000"/>
    <numFmt numFmtId="168" formatCode="0.00"/>
    <numFmt numFmtId="169" formatCode="0"/>
    <numFmt numFmtId="170" formatCode="0.0000"/>
    <numFmt numFmtId="171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  <c r="E2" s="4" t="s">
        <v>7</v>
      </c>
    </row>
    <row r="3" customFormat="false" ht="15" hidden="false" customHeight="false" outlineLevel="0" collapsed="false">
      <c r="A3" s="3" t="s">
        <v>8</v>
      </c>
      <c r="B3" s="3" t="s">
        <v>5</v>
      </c>
      <c r="C3" s="3" t="s">
        <v>6</v>
      </c>
      <c r="E3" s="4" t="s">
        <v>9</v>
      </c>
    </row>
    <row r="4" customFormat="false" ht="15" hidden="false" customHeight="false" outlineLevel="0" collapsed="false">
      <c r="A4" s="3" t="s">
        <v>10</v>
      </c>
      <c r="B4" s="3" t="s">
        <v>11</v>
      </c>
      <c r="C4" s="3" t="s">
        <v>12</v>
      </c>
      <c r="E4" s="4" t="s">
        <v>13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16</v>
      </c>
    </row>
    <row r="6" customFormat="false" ht="15" hidden="false" customHeight="false" outlineLevel="0" collapsed="false">
      <c r="A6" s="3" t="s">
        <v>17</v>
      </c>
      <c r="B6" s="3" t="s">
        <v>15</v>
      </c>
      <c r="C6" s="3" t="s">
        <v>16</v>
      </c>
    </row>
    <row r="7" customFormat="false" ht="15" hidden="false" customHeight="false" outlineLevel="0" collapsed="false">
      <c r="A7" s="3" t="s">
        <v>18</v>
      </c>
      <c r="B7" s="3" t="s">
        <v>15</v>
      </c>
      <c r="C7" s="3" t="s">
        <v>12</v>
      </c>
    </row>
    <row r="8" customFormat="false" ht="15" hidden="false" customHeight="false" outlineLevel="0" collapsed="false">
      <c r="A8" s="3" t="s">
        <v>19</v>
      </c>
      <c r="B8" s="3" t="s">
        <v>5</v>
      </c>
      <c r="C8" s="3" t="s">
        <v>16</v>
      </c>
    </row>
    <row r="9" customFormat="false" ht="15" hidden="false" customHeight="false" outlineLevel="0" collapsed="false">
      <c r="A9" s="3" t="s">
        <v>20</v>
      </c>
      <c r="B9" s="3" t="s">
        <v>5</v>
      </c>
      <c r="C9" s="3" t="s">
        <v>16</v>
      </c>
    </row>
    <row r="10" customFormat="false" ht="15" hidden="false" customHeight="false" outlineLevel="0" collapsed="false">
      <c r="A10" s="3" t="s">
        <v>21</v>
      </c>
      <c r="B10" s="3" t="s">
        <v>5</v>
      </c>
      <c r="C10" s="3" t="s">
        <v>6</v>
      </c>
    </row>
    <row r="11" customFormat="false" ht="15" hidden="false" customHeight="false" outlineLevel="0" collapsed="false">
      <c r="A11" s="3" t="s">
        <v>22</v>
      </c>
      <c r="B11" s="3" t="s">
        <v>5</v>
      </c>
      <c r="C11" s="3" t="s">
        <v>16</v>
      </c>
    </row>
    <row r="12" customFormat="false" ht="15" hidden="false" customHeight="false" outlineLevel="0" collapsed="false">
      <c r="A12" s="3" t="s">
        <v>23</v>
      </c>
      <c r="B12" s="3" t="s">
        <v>5</v>
      </c>
      <c r="C12" s="3" t="s">
        <v>12</v>
      </c>
    </row>
    <row r="13" customFormat="false" ht="15" hidden="false" customHeight="false" outlineLevel="0" collapsed="false">
      <c r="A13" s="3" t="s">
        <v>24</v>
      </c>
      <c r="B13" s="3" t="s">
        <v>15</v>
      </c>
      <c r="C13" s="3" t="s">
        <v>6</v>
      </c>
    </row>
    <row r="14" customFormat="false" ht="15" hidden="false" customHeight="false" outlineLevel="0" collapsed="false">
      <c r="A14" s="3" t="s">
        <v>25</v>
      </c>
      <c r="B14" s="3" t="s">
        <v>15</v>
      </c>
      <c r="C14" s="3" t="s">
        <v>12</v>
      </c>
    </row>
    <row r="15" customFormat="false" ht="15" hidden="false" customHeight="false" outlineLevel="0" collapsed="false">
      <c r="A15" s="3" t="s">
        <v>26</v>
      </c>
      <c r="B15" s="3" t="s">
        <v>11</v>
      </c>
      <c r="C15" s="3" t="s">
        <v>12</v>
      </c>
    </row>
    <row r="16" customFormat="false" ht="15" hidden="false" customHeight="false" outlineLevel="0" collapsed="false">
      <c r="A16" s="3" t="s">
        <v>27</v>
      </c>
      <c r="B16" s="3" t="s">
        <v>5</v>
      </c>
      <c r="C16" s="3" t="s">
        <v>12</v>
      </c>
    </row>
    <row r="17" customFormat="false" ht="15" hidden="false" customHeight="false" outlineLevel="0" collapsed="false">
      <c r="A17" s="3" t="s">
        <v>28</v>
      </c>
      <c r="B17" s="3" t="s">
        <v>5</v>
      </c>
      <c r="C17" s="3" t="s">
        <v>16</v>
      </c>
    </row>
    <row r="18" customFormat="false" ht="15" hidden="false" customHeight="false" outlineLevel="0" collapsed="false">
      <c r="A18" s="3" t="s">
        <v>29</v>
      </c>
      <c r="B18" s="3" t="s">
        <v>11</v>
      </c>
      <c r="C18" s="3" t="s">
        <v>6</v>
      </c>
    </row>
    <row r="19" customFormat="false" ht="15" hidden="false" customHeight="false" outlineLevel="0" collapsed="false">
      <c r="A19" s="3" t="s">
        <v>30</v>
      </c>
      <c r="B19" s="3" t="s">
        <v>11</v>
      </c>
      <c r="C19" s="3" t="s">
        <v>16</v>
      </c>
    </row>
    <row r="20" customFormat="false" ht="15" hidden="false" customHeight="false" outlineLevel="0" collapsed="false">
      <c r="A20" s="3" t="s">
        <v>31</v>
      </c>
      <c r="B20" s="3" t="s">
        <v>15</v>
      </c>
      <c r="C20" s="3" t="s">
        <v>16</v>
      </c>
    </row>
    <row r="21" customFormat="false" ht="15" hidden="false" customHeight="false" outlineLevel="0" collapsed="false">
      <c r="A21" s="3" t="s">
        <v>32</v>
      </c>
      <c r="B21" s="3" t="s">
        <v>11</v>
      </c>
      <c r="C21" s="3" t="s">
        <v>6</v>
      </c>
    </row>
    <row r="22" customFormat="false" ht="15" hidden="false" customHeight="false" outlineLevel="0" collapsed="false">
      <c r="A22" s="3" t="s">
        <v>33</v>
      </c>
      <c r="B22" s="3" t="s">
        <v>15</v>
      </c>
      <c r="C22" s="3" t="s">
        <v>12</v>
      </c>
    </row>
    <row r="23" customFormat="false" ht="15" hidden="false" customHeight="false" outlineLevel="0" collapsed="false">
      <c r="A23" s="3" t="s">
        <v>34</v>
      </c>
      <c r="B23" s="3" t="s">
        <v>15</v>
      </c>
      <c r="C23" s="3" t="s">
        <v>6</v>
      </c>
    </row>
    <row r="24" customFormat="false" ht="15" hidden="false" customHeight="false" outlineLevel="0" collapsed="false">
      <c r="A24" s="3" t="s">
        <v>35</v>
      </c>
      <c r="B24" s="3" t="s">
        <v>11</v>
      </c>
      <c r="C24" s="3" t="s">
        <v>6</v>
      </c>
    </row>
    <row r="25" customFormat="false" ht="15" hidden="false" customHeight="false" outlineLevel="0" collapsed="false">
      <c r="A25" s="3" t="s">
        <v>36</v>
      </c>
      <c r="B25" s="3" t="s">
        <v>5</v>
      </c>
      <c r="C25" s="3" t="s">
        <v>16</v>
      </c>
    </row>
    <row r="26" customFormat="false" ht="15" hidden="false" customHeight="false" outlineLevel="0" collapsed="false">
      <c r="A26" s="3" t="s">
        <v>37</v>
      </c>
      <c r="B26" s="3" t="s">
        <v>15</v>
      </c>
      <c r="C26" s="3" t="s">
        <v>16</v>
      </c>
    </row>
    <row r="27" customFormat="false" ht="15" hidden="false" customHeight="false" outlineLevel="0" collapsed="false">
      <c r="A27" s="3" t="s">
        <v>38</v>
      </c>
      <c r="B27" s="3" t="s">
        <v>5</v>
      </c>
      <c r="C27" s="3" t="s">
        <v>16</v>
      </c>
    </row>
    <row r="28" customFormat="false" ht="15" hidden="false" customHeight="false" outlineLevel="0" collapsed="false">
      <c r="A28" s="3" t="s">
        <v>39</v>
      </c>
      <c r="B28" s="3" t="s">
        <v>15</v>
      </c>
      <c r="C28" s="3" t="s">
        <v>16</v>
      </c>
    </row>
    <row r="29" customFormat="false" ht="15" hidden="false" customHeight="false" outlineLevel="0" collapsed="false">
      <c r="A29" s="3" t="s">
        <v>40</v>
      </c>
      <c r="B29" s="3" t="s">
        <v>5</v>
      </c>
      <c r="C29" s="3" t="s">
        <v>6</v>
      </c>
    </row>
    <row r="30" customFormat="false" ht="15" hidden="false" customHeight="false" outlineLevel="0" collapsed="false">
      <c r="A30" s="3" t="s">
        <v>41</v>
      </c>
      <c r="B30" s="3" t="s">
        <v>15</v>
      </c>
      <c r="C30" s="3" t="s">
        <v>6</v>
      </c>
    </row>
    <row r="31" customFormat="false" ht="15" hidden="false" customHeight="false" outlineLevel="0" collapsed="false">
      <c r="A31" s="3" t="s">
        <v>42</v>
      </c>
      <c r="B31" s="3" t="s">
        <v>11</v>
      </c>
      <c r="C31" s="3" t="s">
        <v>16</v>
      </c>
    </row>
    <row r="32" customFormat="false" ht="15" hidden="false" customHeight="false" outlineLevel="0" collapsed="false">
      <c r="A32" s="3" t="s">
        <v>43</v>
      </c>
      <c r="B32" s="3" t="s">
        <v>5</v>
      </c>
      <c r="C32" s="3" t="s">
        <v>12</v>
      </c>
    </row>
    <row r="33" customFormat="false" ht="15" hidden="false" customHeight="false" outlineLevel="0" collapsed="false">
      <c r="A33" s="3" t="s">
        <v>44</v>
      </c>
      <c r="B33" s="3" t="s">
        <v>15</v>
      </c>
      <c r="C33" s="3" t="s">
        <v>16</v>
      </c>
    </row>
    <row r="34" customFormat="false" ht="15" hidden="false" customHeight="false" outlineLevel="0" collapsed="false">
      <c r="A34" s="3" t="s">
        <v>45</v>
      </c>
      <c r="B34" s="3" t="s">
        <v>5</v>
      </c>
      <c r="C34" s="3" t="s">
        <v>16</v>
      </c>
    </row>
    <row r="35" customFormat="false" ht="15" hidden="false" customHeight="false" outlineLevel="0" collapsed="false">
      <c r="A35" s="3" t="s">
        <v>46</v>
      </c>
      <c r="B35" s="3" t="s">
        <v>5</v>
      </c>
      <c r="C35" s="3" t="s">
        <v>16</v>
      </c>
    </row>
    <row r="36" customFormat="false" ht="15" hidden="false" customHeight="false" outlineLevel="0" collapsed="false">
      <c r="A36" s="3" t="s">
        <v>47</v>
      </c>
      <c r="B36" s="3" t="s">
        <v>5</v>
      </c>
      <c r="C36" s="3" t="s">
        <v>12</v>
      </c>
    </row>
    <row r="37" customFormat="false" ht="15" hidden="false" customHeight="false" outlineLevel="0" collapsed="false">
      <c r="A37" s="3" t="s">
        <v>48</v>
      </c>
      <c r="B37" s="3" t="s">
        <v>11</v>
      </c>
      <c r="C37" s="3" t="s">
        <v>12</v>
      </c>
    </row>
    <row r="38" customFormat="false" ht="15" hidden="false" customHeight="false" outlineLevel="0" collapsed="false">
      <c r="A38" s="3" t="s">
        <v>49</v>
      </c>
      <c r="B38" s="3" t="s">
        <v>11</v>
      </c>
      <c r="C38" s="3" t="s">
        <v>16</v>
      </c>
    </row>
    <row r="39" customFormat="false" ht="15" hidden="false" customHeight="false" outlineLevel="0" collapsed="false">
      <c r="A39" s="3" t="s">
        <v>50</v>
      </c>
      <c r="B39" s="3" t="s">
        <v>5</v>
      </c>
      <c r="C39" s="3" t="s">
        <v>16</v>
      </c>
    </row>
    <row r="40" customFormat="false" ht="15" hidden="false" customHeight="false" outlineLevel="0" collapsed="false">
      <c r="A40" s="3" t="s">
        <v>51</v>
      </c>
      <c r="B40" s="3" t="s">
        <v>5</v>
      </c>
      <c r="C40" s="3" t="s">
        <v>16</v>
      </c>
    </row>
    <row r="41" customFormat="false" ht="15" hidden="false" customHeight="false" outlineLevel="0" collapsed="false">
      <c r="A41" s="3" t="s">
        <v>52</v>
      </c>
      <c r="B41" s="3" t="s">
        <v>15</v>
      </c>
      <c r="C41" s="3" t="s">
        <v>6</v>
      </c>
    </row>
    <row r="42" customFormat="false" ht="15" hidden="false" customHeight="false" outlineLevel="0" collapsed="false">
      <c r="A42" s="3" t="s">
        <v>53</v>
      </c>
      <c r="B42" s="3" t="s">
        <v>15</v>
      </c>
      <c r="C42" s="3" t="s">
        <v>6</v>
      </c>
    </row>
    <row r="43" customFormat="false" ht="15" hidden="false" customHeight="false" outlineLevel="0" collapsed="false">
      <c r="A43" s="3" t="s">
        <v>54</v>
      </c>
      <c r="B43" s="3" t="s">
        <v>11</v>
      </c>
      <c r="C43" s="3" t="s">
        <v>6</v>
      </c>
    </row>
    <row r="44" customFormat="false" ht="15" hidden="false" customHeight="false" outlineLevel="0" collapsed="false">
      <c r="A44" s="3" t="s">
        <v>55</v>
      </c>
      <c r="B44" s="3" t="s">
        <v>15</v>
      </c>
      <c r="C44" s="3" t="s">
        <v>6</v>
      </c>
    </row>
    <row r="45" customFormat="false" ht="15" hidden="false" customHeight="false" outlineLevel="0" collapsed="false">
      <c r="A45" s="3" t="s">
        <v>56</v>
      </c>
      <c r="B45" s="3" t="s">
        <v>11</v>
      </c>
      <c r="C45" s="3" t="s">
        <v>6</v>
      </c>
    </row>
    <row r="46" customFormat="false" ht="15" hidden="false" customHeight="false" outlineLevel="0" collapsed="false">
      <c r="A46" s="3" t="s">
        <v>57</v>
      </c>
      <c r="B46" s="3" t="s">
        <v>5</v>
      </c>
      <c r="C46" s="3" t="s">
        <v>12</v>
      </c>
    </row>
    <row r="47" customFormat="false" ht="15" hidden="false" customHeight="false" outlineLevel="0" collapsed="false">
      <c r="A47" s="3" t="s">
        <v>58</v>
      </c>
      <c r="B47" s="3" t="s">
        <v>11</v>
      </c>
      <c r="C47" s="3" t="s">
        <v>12</v>
      </c>
    </row>
    <row r="48" customFormat="false" ht="15" hidden="false" customHeight="false" outlineLevel="0" collapsed="false">
      <c r="A48" s="3" t="s">
        <v>59</v>
      </c>
      <c r="B48" s="3" t="s">
        <v>15</v>
      </c>
      <c r="C48" s="3" t="s">
        <v>12</v>
      </c>
    </row>
    <row r="49" customFormat="false" ht="15" hidden="false" customHeight="false" outlineLevel="0" collapsed="false">
      <c r="A49" s="3" t="s">
        <v>60</v>
      </c>
      <c r="B49" s="3" t="s">
        <v>11</v>
      </c>
      <c r="C49" s="3" t="s">
        <v>12</v>
      </c>
    </row>
    <row r="50" customFormat="false" ht="15" hidden="false" customHeight="false" outlineLevel="0" collapsed="false">
      <c r="A50" s="3" t="s">
        <v>61</v>
      </c>
      <c r="B50" s="3" t="s">
        <v>15</v>
      </c>
      <c r="C50" s="3" t="s">
        <v>6</v>
      </c>
    </row>
    <row r="51" customFormat="false" ht="15" hidden="false" customHeight="false" outlineLevel="0" collapsed="false">
      <c r="A51" s="3" t="s">
        <v>62</v>
      </c>
      <c r="B51" s="3" t="s">
        <v>11</v>
      </c>
      <c r="C51" s="3" t="s">
        <v>12</v>
      </c>
    </row>
    <row r="52" customFormat="false" ht="15" hidden="false" customHeight="false" outlineLevel="0" collapsed="false">
      <c r="A52" s="3" t="s">
        <v>63</v>
      </c>
      <c r="B52" s="3" t="s">
        <v>11</v>
      </c>
      <c r="C52" s="3" t="s">
        <v>6</v>
      </c>
    </row>
    <row r="53" customFormat="false" ht="15" hidden="false" customHeight="false" outlineLevel="0" collapsed="false">
      <c r="A53" s="3" t="s">
        <v>64</v>
      </c>
      <c r="B53" s="3" t="s">
        <v>11</v>
      </c>
      <c r="C53" s="3" t="s">
        <v>12</v>
      </c>
    </row>
    <row r="54" customFormat="false" ht="15" hidden="false" customHeight="false" outlineLevel="0" collapsed="false">
      <c r="A54" s="3" t="s">
        <v>65</v>
      </c>
      <c r="B54" s="3" t="s">
        <v>11</v>
      </c>
      <c r="C54" s="3" t="s">
        <v>16</v>
      </c>
    </row>
    <row r="55" customFormat="false" ht="15" hidden="false" customHeight="false" outlineLevel="0" collapsed="false">
      <c r="A55" s="3" t="s">
        <v>66</v>
      </c>
      <c r="B55" s="3" t="s">
        <v>11</v>
      </c>
      <c r="C55" s="3" t="s">
        <v>12</v>
      </c>
    </row>
    <row r="56" customFormat="false" ht="15" hidden="false" customHeight="false" outlineLevel="0" collapsed="false">
      <c r="A56" s="3" t="s">
        <v>67</v>
      </c>
      <c r="B56" s="3" t="s">
        <v>11</v>
      </c>
      <c r="C56" s="3" t="s">
        <v>16</v>
      </c>
    </row>
    <row r="57" customFormat="false" ht="15" hidden="false" customHeight="false" outlineLevel="0" collapsed="false">
      <c r="A57" s="3" t="s">
        <v>68</v>
      </c>
      <c r="B57" s="3" t="s">
        <v>11</v>
      </c>
      <c r="C57" s="3" t="s">
        <v>16</v>
      </c>
    </row>
    <row r="58" customFormat="false" ht="15" hidden="false" customHeight="false" outlineLevel="0" collapsed="false">
      <c r="A58" s="3" t="s">
        <v>69</v>
      </c>
      <c r="B58" s="3" t="s">
        <v>11</v>
      </c>
      <c r="C58" s="3" t="s">
        <v>12</v>
      </c>
    </row>
    <row r="59" customFormat="false" ht="15" hidden="false" customHeight="false" outlineLevel="0" collapsed="false">
      <c r="A59" s="3" t="s">
        <v>70</v>
      </c>
      <c r="B59" s="3" t="s">
        <v>11</v>
      </c>
      <c r="C59" s="3" t="s">
        <v>16</v>
      </c>
    </row>
    <row r="60" customFormat="false" ht="15" hidden="false" customHeight="false" outlineLevel="0" collapsed="false">
      <c r="A60" s="3" t="s">
        <v>71</v>
      </c>
      <c r="B60" s="3" t="s">
        <v>15</v>
      </c>
      <c r="C60" s="3" t="s">
        <v>12</v>
      </c>
    </row>
    <row r="61" customFormat="false" ht="15" hidden="false" customHeight="false" outlineLevel="0" collapsed="false">
      <c r="A61" s="3" t="s">
        <v>72</v>
      </c>
      <c r="B61" s="3" t="s">
        <v>5</v>
      </c>
      <c r="C61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5" t="s">
        <v>73</v>
      </c>
    </row>
    <row r="3" customFormat="false" ht="15" hidden="false" customHeight="false" outlineLevel="0" collapsed="false">
      <c r="A3" s="1" t="s">
        <v>74</v>
      </c>
      <c r="B3" s="1" t="s">
        <v>12</v>
      </c>
      <c r="C3" s="1" t="s">
        <v>16</v>
      </c>
      <c r="D3" s="1" t="s">
        <v>6</v>
      </c>
      <c r="E3" s="1" t="s">
        <v>75</v>
      </c>
    </row>
    <row r="4" customFormat="false" ht="15" hidden="false" customHeight="false" outlineLevel="0" collapsed="false">
      <c r="A4" s="6" t="s">
        <v>11</v>
      </c>
      <c r="B4" s="7" t="n">
        <f aca="false">COUNTIFS(Responses!$B$2:$B$61,$A4,Responses!$C$2:$C$61,B$3)</f>
        <v>9</v>
      </c>
      <c r="C4" s="7" t="n">
        <f aca="false">COUNTIFS(Responses!$B$2:$B$61,$A4,Responses!$C$2:$C$61,C$3)</f>
        <v>7</v>
      </c>
      <c r="D4" s="7" t="n">
        <f aca="false">COUNTIFS(Responses!$B$2:$B$61,$A4,Responses!$C$2:$C$61,D$3)</f>
        <v>6</v>
      </c>
      <c r="E4" s="8" t="n">
        <f aca="false">SUM(B4:D4)</f>
        <v>22</v>
      </c>
    </row>
    <row r="5" customFormat="false" ht="15" hidden="false" customHeight="false" outlineLevel="0" collapsed="false">
      <c r="A5" s="6" t="s">
        <v>5</v>
      </c>
      <c r="B5" s="7" t="n">
        <f aca="false">COUNTIFS(Responses!$B$2:$B$61,$A5,Responses!$C$2:$C$61,B$3)</f>
        <v>5</v>
      </c>
      <c r="C5" s="7" t="n">
        <f aca="false">COUNTIFS(Responses!$B$2:$B$61,$A5,Responses!$C$2:$C$61,C$3)</f>
        <v>10</v>
      </c>
      <c r="D5" s="7" t="n">
        <f aca="false">COUNTIFS(Responses!$B$2:$B$61,$A5,Responses!$C$2:$C$61,D$3)</f>
        <v>5</v>
      </c>
      <c r="E5" s="8" t="n">
        <f aca="false">SUM(B5:D5)</f>
        <v>20</v>
      </c>
    </row>
    <row r="6" customFormat="false" ht="15" hidden="false" customHeight="false" outlineLevel="0" collapsed="false">
      <c r="A6" s="6" t="s">
        <v>15</v>
      </c>
      <c r="B6" s="7" t="n">
        <f aca="false">COUNTIFS(Responses!$B$2:$B$61,$A6,Responses!$C$2:$C$61,B$3)</f>
        <v>5</v>
      </c>
      <c r="C6" s="7" t="n">
        <f aca="false">COUNTIFS(Responses!$B$2:$B$61,$A6,Responses!$C$2:$C$61,C$3)</f>
        <v>6</v>
      </c>
      <c r="D6" s="7" t="n">
        <f aca="false">COUNTIFS(Responses!$B$2:$B$61,$A6,Responses!$C$2:$C$61,D$3)</f>
        <v>7</v>
      </c>
      <c r="E6" s="8" t="n">
        <f aca="false">SUM(B6:D6)</f>
        <v>18</v>
      </c>
    </row>
    <row r="7" customFormat="false" ht="15" hidden="false" customHeight="false" outlineLevel="0" collapsed="false">
      <c r="A7" s="6" t="s">
        <v>75</v>
      </c>
      <c r="B7" s="8" t="n">
        <f aca="false">SUM(B4:B6)</f>
        <v>19</v>
      </c>
      <c r="C7" s="8" t="n">
        <f aca="false">SUM(C4:C6)</f>
        <v>23</v>
      </c>
      <c r="D7" s="8" t="n">
        <f aca="false">SUM(D4:D6)</f>
        <v>18</v>
      </c>
      <c r="E7" s="8" t="n">
        <f aca="false">SUM(E4:E6)</f>
        <v>60</v>
      </c>
    </row>
    <row r="9" customFormat="false" ht="15" hidden="false" customHeight="false" outlineLevel="0" collapsed="false">
      <c r="A9" s="4" t="s">
        <v>76</v>
      </c>
      <c r="B9" s="4" t="n">
        <f aca="false">COUNTA(Responses!A2:A61)</f>
        <v>60</v>
      </c>
      <c r="C9" s="4" t="str">
        <f aca="false">IF(E7=B9,"Check OK: totals match","Mismatch")</f>
        <v>Check OK: totals match</v>
      </c>
    </row>
    <row r="11" customFormat="false" ht="15" hidden="false" customHeight="false" outlineLevel="0" collapsed="false">
      <c r="A11" s="2" t="s">
        <v>77</v>
      </c>
    </row>
    <row r="12" customFormat="false" ht="15" hidden="false" customHeight="false" outlineLevel="0" collapsed="false">
      <c r="A12" s="1" t="s">
        <v>1</v>
      </c>
      <c r="B12" s="1" t="s">
        <v>12</v>
      </c>
      <c r="C12" s="1" t="s">
        <v>16</v>
      </c>
      <c r="D12" s="1" t="s">
        <v>6</v>
      </c>
    </row>
    <row r="13" customFormat="false" ht="15" hidden="false" customHeight="false" outlineLevel="0" collapsed="false">
      <c r="A13" s="6" t="str">
        <f aca="false">A4</f>
        <v>Zomato</v>
      </c>
      <c r="B13" s="9" t="n">
        <f aca="false">B4/$E4</f>
        <v>0.409090909090909</v>
      </c>
      <c r="C13" s="9" t="n">
        <f aca="false">C4/$E4</f>
        <v>0.318181818181818</v>
      </c>
      <c r="D13" s="9" t="n">
        <f aca="false">D4/$E4</f>
        <v>0.272727272727273</v>
      </c>
    </row>
    <row r="14" customFormat="false" ht="15" hidden="false" customHeight="false" outlineLevel="0" collapsed="false">
      <c r="A14" s="6" t="str">
        <f aca="false">A5</f>
        <v>Swiggy</v>
      </c>
      <c r="B14" s="9" t="n">
        <f aca="false">B5/$E5</f>
        <v>0.25</v>
      </c>
      <c r="C14" s="9" t="n">
        <f aca="false">C5/$E5</f>
        <v>0.5</v>
      </c>
      <c r="D14" s="9" t="n">
        <f aca="false">D5/$E5</f>
        <v>0.25</v>
      </c>
    </row>
    <row r="15" customFormat="false" ht="15" hidden="false" customHeight="false" outlineLevel="0" collapsed="false">
      <c r="A15" s="6" t="str">
        <f aca="false">A6</f>
        <v>Uber Eats</v>
      </c>
      <c r="B15" s="9" t="n">
        <f aca="false">B6/$E6</f>
        <v>0.277777777777778</v>
      </c>
      <c r="C15" s="9" t="n">
        <f aca="false">C6/$E6</f>
        <v>0.333333333333333</v>
      </c>
      <c r="D15" s="9" t="n">
        <f aca="false">D6/$E6</f>
        <v>0.388888888888889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</cols>
  <sheetData>
    <row r="1" customFormat="false" ht="16.15" hidden="false" customHeight="false" outlineLevel="0" collapsed="false">
      <c r="A1" s="5" t="s">
        <v>78</v>
      </c>
    </row>
    <row r="3" customFormat="false" ht="15" hidden="false" customHeight="false" outlineLevel="0" collapsed="false">
      <c r="A3" s="1" t="s">
        <v>79</v>
      </c>
      <c r="B3" s="1" t="s">
        <v>80</v>
      </c>
      <c r="C3" s="1" t="s">
        <v>81</v>
      </c>
      <c r="D3" s="1" t="s">
        <v>75</v>
      </c>
    </row>
    <row r="4" customFormat="false" ht="15" hidden="false" customHeight="false" outlineLevel="0" collapsed="false">
      <c r="A4" s="6" t="s">
        <v>82</v>
      </c>
      <c r="B4" s="10" t="n">
        <v>12</v>
      </c>
      <c r="C4" s="10" t="n">
        <v>18</v>
      </c>
      <c r="D4" s="8" t="n">
        <f aca="false">SUM(B4:C4)</f>
        <v>30</v>
      </c>
    </row>
    <row r="5" customFormat="false" ht="15" hidden="false" customHeight="false" outlineLevel="0" collapsed="false">
      <c r="A5" s="6" t="s">
        <v>83</v>
      </c>
      <c r="B5" s="10" t="n">
        <v>8</v>
      </c>
      <c r="C5" s="10" t="n">
        <v>7</v>
      </c>
      <c r="D5" s="8" t="n">
        <f aca="false">SUM(B5:C5)</f>
        <v>15</v>
      </c>
    </row>
    <row r="6" customFormat="false" ht="15" hidden="false" customHeight="false" outlineLevel="0" collapsed="false">
      <c r="A6" s="6" t="s">
        <v>84</v>
      </c>
      <c r="B6" s="10" t="n">
        <v>10</v>
      </c>
      <c r="C6" s="10" t="n">
        <v>15</v>
      </c>
      <c r="D6" s="8" t="n">
        <f aca="false">SUM(B6:C6)</f>
        <v>25</v>
      </c>
    </row>
    <row r="7" customFormat="false" ht="15" hidden="false" customHeight="false" outlineLevel="0" collapsed="false">
      <c r="A7" s="6" t="s">
        <v>75</v>
      </c>
      <c r="B7" s="8" t="n">
        <f aca="false">SUM(B4:B6)</f>
        <v>30</v>
      </c>
      <c r="C7" s="8" t="n">
        <f aca="false">SUM(C4:C6)</f>
        <v>40</v>
      </c>
      <c r="D7" s="8" t="n">
        <f aca="false">SUM(D4:D6)</f>
        <v>70</v>
      </c>
    </row>
    <row r="9" customFormat="false" ht="15" hidden="false" customHeight="false" outlineLevel="0" collapsed="false">
      <c r="A9" s="2" t="s">
        <v>85</v>
      </c>
    </row>
    <row r="10" customFormat="false" ht="15" hidden="false" customHeight="false" outlineLevel="0" collapsed="false">
      <c r="A10" s="1" t="s">
        <v>86</v>
      </c>
      <c r="B10" s="1" t="s">
        <v>80</v>
      </c>
      <c r="C10" s="1" t="s">
        <v>81</v>
      </c>
      <c r="D10" s="1" t="s">
        <v>75</v>
      </c>
    </row>
    <row r="11" customFormat="false" ht="15" hidden="false" customHeight="false" outlineLevel="0" collapsed="false">
      <c r="A11" s="6" t="str">
        <f aca="false">A4</f>
        <v>Spotify</v>
      </c>
      <c r="B11" s="11" t="n">
        <f aca="false">$D4*B$7/$D$7</f>
        <v>12.8571428571429</v>
      </c>
      <c r="C11" s="11" t="n">
        <f aca="false">$D4*C$7/$D$7</f>
        <v>17.1428571428571</v>
      </c>
      <c r="D11" s="12" t="n">
        <f aca="false">SUM(B11:C11)</f>
        <v>30</v>
      </c>
    </row>
    <row r="12" customFormat="false" ht="15" hidden="false" customHeight="false" outlineLevel="0" collapsed="false">
      <c r="A12" s="6" t="str">
        <f aca="false">A5</f>
        <v>Gaana</v>
      </c>
      <c r="B12" s="11" t="n">
        <f aca="false">$D5*B$7/$D$7</f>
        <v>6.42857142857143</v>
      </c>
      <c r="C12" s="11" t="n">
        <f aca="false">$D5*C$7/$D$7</f>
        <v>8.57142857142857</v>
      </c>
      <c r="D12" s="12" t="n">
        <f aca="false">SUM(B12:C12)</f>
        <v>15</v>
      </c>
    </row>
    <row r="13" customFormat="false" ht="15" hidden="false" customHeight="false" outlineLevel="0" collapsed="false">
      <c r="A13" s="6" t="str">
        <f aca="false">A6</f>
        <v>YouTube Music</v>
      </c>
      <c r="B13" s="11" t="n">
        <f aca="false">$D6*B$7/$D$7</f>
        <v>10.7142857142857</v>
      </c>
      <c r="C13" s="11" t="n">
        <f aca="false">$D6*C$7/$D$7</f>
        <v>14.2857142857143</v>
      </c>
      <c r="D13" s="12" t="n">
        <f aca="false">SUM(B13:C13)</f>
        <v>25</v>
      </c>
    </row>
    <row r="14" customFormat="false" ht="15" hidden="false" customHeight="false" outlineLevel="0" collapsed="false">
      <c r="A14" s="6" t="s">
        <v>75</v>
      </c>
      <c r="B14" s="12" t="n">
        <f aca="false">SUM(B11:B13)</f>
        <v>30</v>
      </c>
      <c r="C14" s="12" t="n">
        <f aca="false">SUM(C11:C13)</f>
        <v>40</v>
      </c>
      <c r="D14" s="12" t="n">
        <f aca="false">SUM(D11:D13)</f>
        <v>70</v>
      </c>
    </row>
    <row r="16" customFormat="false" ht="15" hidden="false" customHeight="false" outlineLevel="0" collapsed="false">
      <c r="A16" s="1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5" t="s">
        <v>88</v>
      </c>
    </row>
    <row r="2" customFormat="false" ht="15" hidden="false" customHeight="false" outlineLevel="0" collapsed="false">
      <c r="A2" s="4" t="s">
        <v>89</v>
      </c>
    </row>
    <row r="4" customFormat="false" ht="15" hidden="false" customHeight="false" outlineLevel="0" collapsed="false">
      <c r="A4" s="2" t="s">
        <v>90</v>
      </c>
    </row>
    <row r="5" customFormat="false" ht="15" hidden="false" customHeight="false" outlineLevel="0" collapsed="false">
      <c r="A5" s="1" t="s">
        <v>1</v>
      </c>
      <c r="B5" s="1" t="str">
        <f aca="false">Task1_Contingency!B3</f>
        <v>Paytm</v>
      </c>
      <c r="C5" s="1" t="str">
        <f aca="false">Task1_Contingency!C3</f>
        <v>PhonePe</v>
      </c>
      <c r="D5" s="1" t="str">
        <f aca="false">Task1_Contingency!D3</f>
        <v>Credit Card</v>
      </c>
      <c r="E5" s="1" t="s">
        <v>75</v>
      </c>
    </row>
    <row r="6" customFormat="false" ht="15" hidden="false" customHeight="false" outlineLevel="0" collapsed="false">
      <c r="A6" s="6" t="str">
        <f aca="false">Task1_Contingency!A4</f>
        <v>Zomato</v>
      </c>
      <c r="B6" s="7" t="n">
        <f aca="false">Task1_Contingency!B4</f>
        <v>9</v>
      </c>
      <c r="C6" s="7" t="n">
        <f aca="false">Task1_Contingency!C4</f>
        <v>7</v>
      </c>
      <c r="D6" s="7" t="n">
        <f aca="false">Task1_Contingency!D4</f>
        <v>6</v>
      </c>
      <c r="E6" s="8" t="n">
        <f aca="false">Task1_Contingency!E4</f>
        <v>22</v>
      </c>
    </row>
    <row r="7" customFormat="false" ht="15" hidden="false" customHeight="false" outlineLevel="0" collapsed="false">
      <c r="A7" s="6" t="str">
        <f aca="false">Task1_Contingency!A5</f>
        <v>Swiggy</v>
      </c>
      <c r="B7" s="7" t="n">
        <f aca="false">Task1_Contingency!B5</f>
        <v>5</v>
      </c>
      <c r="C7" s="7" t="n">
        <f aca="false">Task1_Contingency!C5</f>
        <v>10</v>
      </c>
      <c r="D7" s="7" t="n">
        <f aca="false">Task1_Contingency!D5</f>
        <v>5</v>
      </c>
      <c r="E7" s="8" t="n">
        <f aca="false">Task1_Contingency!E5</f>
        <v>20</v>
      </c>
    </row>
    <row r="8" customFormat="false" ht="15" hidden="false" customHeight="false" outlineLevel="0" collapsed="false">
      <c r="A8" s="6" t="str">
        <f aca="false">Task1_Contingency!A6</f>
        <v>Uber Eats</v>
      </c>
      <c r="B8" s="7" t="n">
        <f aca="false">Task1_Contingency!B6</f>
        <v>5</v>
      </c>
      <c r="C8" s="7" t="n">
        <f aca="false">Task1_Contingency!C6</f>
        <v>6</v>
      </c>
      <c r="D8" s="7" t="n">
        <f aca="false">Task1_Contingency!D6</f>
        <v>7</v>
      </c>
      <c r="E8" s="8" t="n">
        <f aca="false">Task1_Contingency!E6</f>
        <v>18</v>
      </c>
    </row>
    <row r="9" customFormat="false" ht="15" hidden="false" customHeight="false" outlineLevel="0" collapsed="false">
      <c r="A9" s="6" t="str">
        <f aca="false">Task1_Contingency!A7</f>
        <v>Total</v>
      </c>
      <c r="B9" s="8" t="n">
        <f aca="false">Task1_Contingency!B7</f>
        <v>19</v>
      </c>
      <c r="C9" s="8" t="n">
        <f aca="false">Task1_Contingency!C7</f>
        <v>23</v>
      </c>
      <c r="D9" s="8" t="n">
        <f aca="false">Task1_Contingency!D7</f>
        <v>18</v>
      </c>
      <c r="E9" s="8" t="n">
        <f aca="false">Task1_Contingency!E7</f>
        <v>60</v>
      </c>
    </row>
    <row r="11" customFormat="false" ht="15" hidden="false" customHeight="false" outlineLevel="0" collapsed="false">
      <c r="A11" s="2" t="s">
        <v>91</v>
      </c>
    </row>
    <row r="12" customFormat="false" ht="15" hidden="false" customHeight="false" outlineLevel="0" collapsed="false">
      <c r="A12" s="1" t="s">
        <v>1</v>
      </c>
      <c r="B12" s="1" t="str">
        <f aca="false">B5</f>
        <v>Paytm</v>
      </c>
      <c r="C12" s="1" t="str">
        <f aca="false">C5</f>
        <v>PhonePe</v>
      </c>
      <c r="D12" s="1" t="str">
        <f aca="false">D5</f>
        <v>Credit Card</v>
      </c>
    </row>
    <row r="13" customFormat="false" ht="15" hidden="false" customHeight="false" outlineLevel="0" collapsed="false">
      <c r="A13" s="6" t="str">
        <f aca="false">A6</f>
        <v>Zomato</v>
      </c>
      <c r="B13" s="14" t="n">
        <f aca="false">$E6*B$9/$E$9</f>
        <v>6.96666666666667</v>
      </c>
      <c r="C13" s="14" t="n">
        <f aca="false">$E6*C$9/$E$9</f>
        <v>8.43333333333333</v>
      </c>
      <c r="D13" s="14" t="n">
        <f aca="false">$E6*D$9/$E$9</f>
        <v>6.6</v>
      </c>
    </row>
    <row r="14" customFormat="false" ht="15" hidden="false" customHeight="false" outlineLevel="0" collapsed="false">
      <c r="A14" s="6" t="str">
        <f aca="false">A7</f>
        <v>Swiggy</v>
      </c>
      <c r="B14" s="14" t="n">
        <f aca="false">$E7*B$9/$E$9</f>
        <v>6.33333333333333</v>
      </c>
      <c r="C14" s="14" t="n">
        <f aca="false">$E7*C$9/$E$9</f>
        <v>7.66666666666667</v>
      </c>
      <c r="D14" s="14" t="n">
        <f aca="false">$E7*D$9/$E$9</f>
        <v>6</v>
      </c>
    </row>
    <row r="15" customFormat="false" ht="15" hidden="false" customHeight="false" outlineLevel="0" collapsed="false">
      <c r="A15" s="6" t="str">
        <f aca="false">A8</f>
        <v>Uber Eats</v>
      </c>
      <c r="B15" s="14" t="n">
        <f aca="false">$E8*B$9/$E$9</f>
        <v>5.7</v>
      </c>
      <c r="C15" s="14" t="n">
        <f aca="false">$E8*C$9/$E$9</f>
        <v>6.9</v>
      </c>
      <c r="D15" s="14" t="n">
        <f aca="false">$E8*D$9/$E$9</f>
        <v>5.4</v>
      </c>
    </row>
    <row r="17" customFormat="false" ht="15" hidden="false" customHeight="false" outlineLevel="0" collapsed="false">
      <c r="A17" s="2" t="s">
        <v>92</v>
      </c>
    </row>
    <row r="18" customFormat="false" ht="15" hidden="false" customHeight="false" outlineLevel="0" collapsed="false">
      <c r="A18" s="1" t="s">
        <v>1</v>
      </c>
      <c r="B18" s="1" t="str">
        <f aca="false">B5</f>
        <v>Paytm</v>
      </c>
      <c r="C18" s="1" t="str">
        <f aca="false">C5</f>
        <v>PhonePe</v>
      </c>
      <c r="D18" s="1" t="str">
        <f aca="false">D5</f>
        <v>Credit Card</v>
      </c>
    </row>
    <row r="19" customFormat="false" ht="15" hidden="false" customHeight="false" outlineLevel="0" collapsed="false">
      <c r="A19" s="6" t="str">
        <f aca="false">A6</f>
        <v>Zomato</v>
      </c>
      <c r="B19" s="15" t="n">
        <f aca="false">(B6-B13)^2/B13</f>
        <v>0.593460925039872</v>
      </c>
      <c r="C19" s="15" t="n">
        <f aca="false">(C6-C13)^2/C13</f>
        <v>0.243610013175231</v>
      </c>
      <c r="D19" s="15" t="n">
        <f aca="false">(D6-D13)^2/D13</f>
        <v>0.0545454545454545</v>
      </c>
    </row>
    <row r="20" customFormat="false" ht="15" hidden="false" customHeight="false" outlineLevel="0" collapsed="false">
      <c r="A20" s="6" t="str">
        <f aca="false">A7</f>
        <v>Swiggy</v>
      </c>
      <c r="B20" s="15" t="n">
        <f aca="false">(B7-B14)^2/B14</f>
        <v>0.280701754385965</v>
      </c>
      <c r="C20" s="15" t="n">
        <f aca="false">(C7-C14)^2/C14</f>
        <v>0.710144927536232</v>
      </c>
      <c r="D20" s="15" t="n">
        <f aca="false">(D7-D14)^2/D14</f>
        <v>0.166666666666667</v>
      </c>
    </row>
    <row r="21" customFormat="false" ht="15" hidden="false" customHeight="false" outlineLevel="0" collapsed="false">
      <c r="A21" s="6" t="str">
        <f aca="false">A8</f>
        <v>Uber Eats</v>
      </c>
      <c r="B21" s="15" t="n">
        <f aca="false">(B8-B15)^2/B15</f>
        <v>0.0859649122807018</v>
      </c>
      <c r="C21" s="15" t="n">
        <f aca="false">(C8-C15)^2/C15</f>
        <v>0.117391304347826</v>
      </c>
      <c r="D21" s="15" t="n">
        <f aca="false">(D8-D15)^2/D15</f>
        <v>0.474074074074074</v>
      </c>
    </row>
    <row r="23" customFormat="false" ht="15" hidden="false" customHeight="false" outlineLevel="0" collapsed="false">
      <c r="A23" s="2" t="s">
        <v>93</v>
      </c>
    </row>
    <row r="24" customFormat="false" ht="15" hidden="false" customHeight="false" outlineLevel="0" collapsed="false">
      <c r="A24" s="16" t="s">
        <v>94</v>
      </c>
      <c r="B24" s="15" t="n">
        <f aca="false">SUM(B19:D21)</f>
        <v>2.72656003205202</v>
      </c>
    </row>
    <row r="25" customFormat="false" ht="15" hidden="false" customHeight="false" outlineLevel="0" collapsed="false">
      <c r="A25" s="16" t="s">
        <v>95</v>
      </c>
      <c r="B25" s="17" t="n">
        <f aca="false">(ROWS(B6:D8)-1)*(COLUMNS(B6:D8)-1)</f>
        <v>4</v>
      </c>
    </row>
    <row r="26" customFormat="false" ht="15" hidden="false" customHeight="false" outlineLevel="0" collapsed="false">
      <c r="A26" s="16" t="s">
        <v>96</v>
      </c>
      <c r="B26" s="18" t="n">
        <v>0.05</v>
      </c>
    </row>
    <row r="27" customFormat="false" ht="15" hidden="false" customHeight="false" outlineLevel="0" collapsed="false">
      <c r="A27" s="16" t="s">
        <v>97</v>
      </c>
      <c r="B27" s="15" t="n">
        <f aca="false">CHIINV(B26,B25)</f>
        <v>9.48772903678116</v>
      </c>
    </row>
    <row r="28" customFormat="false" ht="15" hidden="false" customHeight="false" outlineLevel="0" collapsed="false">
      <c r="A28" s="16" t="s">
        <v>98</v>
      </c>
      <c r="B28" s="19" t="n">
        <f aca="false">CHIDIST(B24,B25)</f>
        <v>0.60457501361813</v>
      </c>
    </row>
    <row r="29" customFormat="false" ht="15" hidden="false" customHeight="false" outlineLevel="0" collapsed="false">
      <c r="A29" s="16" t="s">
        <v>99</v>
      </c>
      <c r="B29" s="19" t="n">
        <f aca="false">CHITEST(B6:D8,B13:D15)</f>
        <v>0.60457501361813</v>
      </c>
    </row>
    <row r="30" customFormat="false" ht="15" hidden="false" customHeight="false" outlineLevel="0" collapsed="false">
      <c r="A30" s="16" t="s">
        <v>100</v>
      </c>
      <c r="B30" s="20" t="n">
        <f aca="false">MIN(B13:D15)</f>
        <v>5.4</v>
      </c>
    </row>
    <row r="31" customFormat="false" ht="15" hidden="false" customHeight="false" outlineLevel="0" collapsed="false">
      <c r="A31" s="16" t="s">
        <v>101</v>
      </c>
      <c r="B31" s="15" t="n">
        <f aca="false">SQRT(B24/(E9*(MIN(ROWS(B6:D8),COLUMNS(B6:D8))-1)))</f>
        <v>0.150735973146537</v>
      </c>
    </row>
    <row r="32" customFormat="false" ht="15" hidden="false" customHeight="false" outlineLevel="0" collapsed="false">
      <c r="A32" s="16" t="s">
        <v>102</v>
      </c>
      <c r="B32" s="21" t="str">
        <f aca="false">IF(B24&gt;B27,"Reject H0: significant association","Fail to reject H0: no significant association")</f>
        <v>Fail to reject H0: no significant association</v>
      </c>
      <c r="C32" s="21"/>
      <c r="D32" s="21"/>
      <c r="E32" s="21"/>
    </row>
    <row r="34" customFormat="false" ht="15" hidden="false" customHeight="false" outlineLevel="0" collapsed="false">
      <c r="A34" s="13" t="s">
        <v>103</v>
      </c>
    </row>
  </sheetData>
  <mergeCells count="1"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</cols>
  <sheetData>
    <row r="1" customFormat="false" ht="16.15" hidden="false" customHeight="false" outlineLevel="0" collapsed="false">
      <c r="A1" s="5" t="s">
        <v>104</v>
      </c>
    </row>
    <row r="2" customFormat="false" ht="15" hidden="false" customHeight="false" outlineLevel="0" collapsed="false">
      <c r="A2" s="4" t="s">
        <v>105</v>
      </c>
    </row>
    <row r="4" customFormat="false" ht="15" hidden="false" customHeight="false" outlineLevel="0" collapsed="false">
      <c r="A4" s="1" t="s">
        <v>106</v>
      </c>
      <c r="B4" s="1" t="s">
        <v>107</v>
      </c>
      <c r="C4" s="1" t="s">
        <v>108</v>
      </c>
      <c r="D4" s="1" t="s">
        <v>109</v>
      </c>
      <c r="E4" s="1" t="s">
        <v>110</v>
      </c>
    </row>
    <row r="5" customFormat="false" ht="15" hidden="false" customHeight="false" outlineLevel="0" collapsed="false">
      <c r="A5" s="6" t="s">
        <v>111</v>
      </c>
      <c r="B5" s="10" t="n">
        <v>18</v>
      </c>
      <c r="C5" s="22" t="n">
        <v>0.7</v>
      </c>
      <c r="D5" s="14" t="n">
        <f aca="false">$B$7*C5</f>
        <v>21</v>
      </c>
      <c r="E5" s="19" t="n">
        <f aca="false">(B5-D5)^2/D5</f>
        <v>0.428571428571429</v>
      </c>
    </row>
    <row r="6" customFormat="false" ht="15" hidden="false" customHeight="false" outlineLevel="0" collapsed="false">
      <c r="A6" s="6" t="s">
        <v>112</v>
      </c>
      <c r="B6" s="10" t="n">
        <v>12</v>
      </c>
      <c r="C6" s="22" t="n">
        <v>0.3</v>
      </c>
      <c r="D6" s="14" t="n">
        <f aca="false">$B$7*C6</f>
        <v>9</v>
      </c>
      <c r="E6" s="19" t="n">
        <f aca="false">(B6-D6)^2/D6</f>
        <v>1</v>
      </c>
    </row>
    <row r="7" customFormat="false" ht="15" hidden="false" customHeight="false" outlineLevel="0" collapsed="false">
      <c r="A7" s="6" t="s">
        <v>75</v>
      </c>
      <c r="B7" s="8" t="n">
        <f aca="false">SUM(B5:B6)</f>
        <v>30</v>
      </c>
      <c r="C7" s="23" t="n">
        <f aca="false">SUM(C5:C6)</f>
        <v>1</v>
      </c>
      <c r="D7" s="24" t="n">
        <f aca="false">SUM(D5:D6)</f>
        <v>30</v>
      </c>
      <c r="E7" s="25" t="n">
        <f aca="false">SUM(E5:E6)</f>
        <v>1.42857142857143</v>
      </c>
    </row>
    <row r="9" customFormat="false" ht="15" hidden="false" customHeight="false" outlineLevel="0" collapsed="false">
      <c r="A9" s="16" t="s">
        <v>113</v>
      </c>
      <c r="B9" s="19" t="n">
        <f aca="false">E7</f>
        <v>1.42857142857143</v>
      </c>
    </row>
    <row r="10" customFormat="false" ht="15" hidden="false" customHeight="false" outlineLevel="0" collapsed="false">
      <c r="A10" s="16" t="s">
        <v>114</v>
      </c>
      <c r="B10" s="17" t="n">
        <f aca="false">ROWS(B5:B6)-1</f>
        <v>1</v>
      </c>
    </row>
    <row r="11" customFormat="false" ht="15" hidden="false" customHeight="false" outlineLevel="0" collapsed="false">
      <c r="A11" s="16" t="s">
        <v>96</v>
      </c>
      <c r="B11" s="18" t="n">
        <v>0.05</v>
      </c>
    </row>
    <row r="12" customFormat="false" ht="15" hidden="false" customHeight="false" outlineLevel="0" collapsed="false">
      <c r="A12" s="16" t="s">
        <v>97</v>
      </c>
      <c r="B12" s="15" t="n">
        <f aca="false">CHIINV(B11,B10)</f>
        <v>3.84145882069413</v>
      </c>
    </row>
    <row r="13" customFormat="false" ht="15" hidden="false" customHeight="false" outlineLevel="0" collapsed="false">
      <c r="A13" s="16" t="s">
        <v>98</v>
      </c>
      <c r="B13" s="19" t="n">
        <f aca="false">CHIDIST(B9,B10)</f>
        <v>0.231997723628734</v>
      </c>
    </row>
    <row r="14" customFormat="false" ht="15" hidden="false" customHeight="false" outlineLevel="0" collapsed="false">
      <c r="A14" s="16" t="s">
        <v>99</v>
      </c>
      <c r="B14" s="19" t="n">
        <f aca="false">CHITEST(B5:B6,D5:D6)</f>
        <v>0.231997723628734</v>
      </c>
    </row>
    <row r="15" customFormat="false" ht="15" hidden="false" customHeight="false" outlineLevel="0" collapsed="false">
      <c r="A15" s="16" t="s">
        <v>115</v>
      </c>
      <c r="B15" s="7" t="str">
        <f aca="false">IF(MIN(D5:D6)&gt;=5,"Yes","No")</f>
        <v>Yes</v>
      </c>
    </row>
    <row r="16" customFormat="false" ht="15" hidden="false" customHeight="false" outlineLevel="0" collapsed="false">
      <c r="A16" s="16" t="s">
        <v>116</v>
      </c>
      <c r="B16" s="9" t="n">
        <f aca="false">B5/B7</f>
        <v>0.6</v>
      </c>
    </row>
    <row r="17" customFormat="false" ht="15" hidden="false" customHeight="false" outlineLevel="0" collapsed="false">
      <c r="A17" s="16" t="s">
        <v>102</v>
      </c>
      <c r="B17" s="21" t="str">
        <f aca="false">IF(B9&gt;B12,"Reject H0: claim not supported","Fail to reject H0: data consistent with the 70% claim")</f>
        <v>Fail to reject H0: data consistent with the 70% claim</v>
      </c>
      <c r="C17" s="21"/>
      <c r="D17" s="21"/>
      <c r="E17" s="21"/>
    </row>
    <row r="19" customFormat="false" ht="15" hidden="false" customHeight="false" outlineLevel="0" collapsed="false">
      <c r="A19" s="13" t="s">
        <v>117</v>
      </c>
    </row>
  </sheetData>
  <mergeCells count="1"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2026-10-23T09:39:18Z</dcterms:created>
  <dc:creator>openpyxl</dc:creator>
  <dc:description/>
  <dc:language>en-US</dc:language>
  <cp:lastModifiedBy/>
  <dcterms:modified xsi:type="dcterms:W3CDTF">2026-10-23T09:39:18Z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