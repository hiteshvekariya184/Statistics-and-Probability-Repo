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Task1_UK_Filter" sheetId="2" state="visible" r:id="rId4"/>
    <sheet name="Task2_Sales_by_Country" sheetId="3" state="visible" r:id="rId5"/>
    <sheet name="Task3_Order_Value" sheetId="4" state="visible" r:id="rId6"/>
    <sheet name="Task4_TTest" sheetId="5" state="visible" r:id="rId7"/>
    <sheet name="Insights" sheetId="6" state="visible" r:id="rId8"/>
  </sheets>
  <definedNames>
    <definedName function="false" hidden="true" localSheetId="0" name="_xlnm._FilterDatabase" vbProcedure="false">Data!$A$1:$K$3990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<sst xmlns="http://schemas.openxmlformats.org/spreadsheetml/2006/main" count="16754" uniqueCount="868">
  <si>
    <t xml:space="preserve">InvoiceNo</t>
  </si>
  <si>
    <t xml:space="preserve">StockCode</t>
  </si>
  <si>
    <t xml:space="preserve">Description</t>
  </si>
  <si>
    <t xml:space="preserve">Quantity</t>
  </si>
  <si>
    <t xml:space="preserve">InvoiceDate</t>
  </si>
  <si>
    <t xml:space="preserve">UnitPrice</t>
  </si>
  <si>
    <t xml:space="preserve">CustomerID</t>
  </si>
  <si>
    <t xml:space="preserve">Country</t>
  </si>
  <si>
    <t xml:space="preserve">LineTotal</t>
  </si>
  <si>
    <t xml:space="preserve">Valid</t>
  </si>
  <si>
    <t xml:space="preserve">UK_FirstCustomerRow</t>
  </si>
  <si>
    <t xml:space="preserve">536366</t>
  </si>
  <si>
    <t xml:space="preserve">10029</t>
  </si>
  <si>
    <t xml:space="preserve">DOORMAT</t>
  </si>
  <si>
    <t xml:space="preserve">United Kingdom</t>
  </si>
  <si>
    <t xml:space="preserve">10016</t>
  </si>
  <si>
    <t xml:space="preserve">NOTEBOOK</t>
  </si>
  <si>
    <t xml:space="preserve">10025</t>
  </si>
  <si>
    <t xml:space="preserve">TRAY</t>
  </si>
  <si>
    <t xml:space="preserve">536365</t>
  </si>
  <si>
    <t xml:space="preserve">10011</t>
  </si>
  <si>
    <t xml:space="preserve">LUNCH BAG</t>
  </si>
  <si>
    <t xml:space="preserve">10027</t>
  </si>
  <si>
    <t xml:space="preserve">CAKE STAND</t>
  </si>
  <si>
    <t xml:space="preserve">536367</t>
  </si>
  <si>
    <t xml:space="preserve">10023</t>
  </si>
  <si>
    <t xml:space="preserve">MIRROR</t>
  </si>
  <si>
    <t xml:space="preserve">10010</t>
  </si>
  <si>
    <t xml:space="preserve">BIRD HOUSE</t>
  </si>
  <si>
    <t xml:space="preserve">10022</t>
  </si>
  <si>
    <t xml:space="preserve">PICNIC BASKET</t>
  </si>
  <si>
    <t xml:space="preserve">536370</t>
  </si>
  <si>
    <t xml:space="preserve">10001</t>
  </si>
  <si>
    <t xml:space="preserve">CERAMIC MUG</t>
  </si>
  <si>
    <t xml:space="preserve">10019</t>
  </si>
  <si>
    <t xml:space="preserve">ADVENT CALENDAR</t>
  </si>
  <si>
    <t xml:space="preserve">536368</t>
  </si>
  <si>
    <t xml:space="preserve">10024</t>
  </si>
  <si>
    <t xml:space="preserve">VASE</t>
  </si>
  <si>
    <t xml:space="preserve">10012</t>
  </si>
  <si>
    <t xml:space="preserve">WALL CLOCK</t>
  </si>
  <si>
    <t xml:space="preserve">10028</t>
  </si>
  <si>
    <t xml:space="preserve">LANTERN</t>
  </si>
  <si>
    <t xml:space="preserve">10015</t>
  </si>
  <si>
    <t xml:space="preserve">COASTER SET</t>
  </si>
  <si>
    <t xml:space="preserve">10018</t>
  </si>
  <si>
    <t xml:space="preserve">CHRISTMAS BAUBLE</t>
  </si>
  <si>
    <t xml:space="preserve">536369</t>
  </si>
  <si>
    <t xml:space="preserve">10009</t>
  </si>
  <si>
    <t xml:space="preserve">PHOTO FRAME</t>
  </si>
  <si>
    <t xml:space="preserve">10013</t>
  </si>
  <si>
    <t xml:space="preserve">DOOR SIGN</t>
  </si>
  <si>
    <t xml:space="preserve">10002</t>
  </si>
  <si>
    <t xml:space="preserve">CANDLE HOLDER</t>
  </si>
  <si>
    <t xml:space="preserve">10005</t>
  </si>
  <si>
    <t xml:space="preserve">GLASS JAR</t>
  </si>
  <si>
    <t xml:space="preserve">536371</t>
  </si>
  <si>
    <t xml:space="preserve">Germany</t>
  </si>
  <si>
    <t xml:space="preserve">10020</t>
  </si>
  <si>
    <t xml:space="preserve">KEY RING</t>
  </si>
  <si>
    <t xml:space="preserve">10004</t>
  </si>
  <si>
    <t xml:space="preserve">PAPER BUNTING</t>
  </si>
  <si>
    <t xml:space="preserve">536372</t>
  </si>
  <si>
    <t xml:space="preserve">10008</t>
  </si>
  <si>
    <t xml:space="preserve">STORAGE TIN</t>
  </si>
  <si>
    <t xml:space="preserve">10003</t>
  </si>
  <si>
    <t xml:space="preserve">WOODEN TOY TRAIN</t>
  </si>
  <si>
    <t xml:space="preserve">536374</t>
  </si>
  <si>
    <t xml:space="preserve">10017</t>
  </si>
  <si>
    <t xml:space="preserve">WRAPPING PAPER</t>
  </si>
  <si>
    <t xml:space="preserve">536373</t>
  </si>
  <si>
    <t xml:space="preserve">536375</t>
  </si>
  <si>
    <t xml:space="preserve">10006</t>
  </si>
  <si>
    <t xml:space="preserve">CUSHION COVER</t>
  </si>
  <si>
    <t xml:space="preserve">536376</t>
  </si>
  <si>
    <t xml:space="preserve">10007</t>
  </si>
  <si>
    <t xml:space="preserve">TEA TOWEL</t>
  </si>
  <si>
    <t xml:space="preserve">10014</t>
  </si>
  <si>
    <t xml:space="preserve">PLANT POT</t>
  </si>
  <si>
    <t xml:space="preserve">536378</t>
  </si>
  <si>
    <t xml:space="preserve">10021</t>
  </si>
  <si>
    <t xml:space="preserve">HOT WATER BOTTLE</t>
  </si>
  <si>
    <t xml:space="preserve">536377</t>
  </si>
  <si>
    <t xml:space="preserve">536380</t>
  </si>
  <si>
    <t xml:space="preserve">536379</t>
  </si>
  <si>
    <t xml:space="preserve">536381</t>
  </si>
  <si>
    <t xml:space="preserve">536382</t>
  </si>
  <si>
    <t xml:space="preserve">536383</t>
  </si>
  <si>
    <t xml:space="preserve">Switzerland</t>
  </si>
  <si>
    <t xml:space="preserve">536384</t>
  </si>
  <si>
    <t xml:space="preserve">10000</t>
  </si>
  <si>
    <t xml:space="preserve">GIFT BOX SET</t>
  </si>
  <si>
    <t xml:space="preserve">536385</t>
  </si>
  <si>
    <t xml:space="preserve">536386</t>
  </si>
  <si>
    <t xml:space="preserve">536387</t>
  </si>
  <si>
    <t xml:space="preserve">536388</t>
  </si>
  <si>
    <t xml:space="preserve">536389</t>
  </si>
  <si>
    <t xml:space="preserve">EIRE</t>
  </si>
  <si>
    <t xml:space="preserve">536390</t>
  </si>
  <si>
    <t xml:space="preserve">536392</t>
  </si>
  <si>
    <t xml:space="preserve">536391</t>
  </si>
  <si>
    <t xml:space="preserve">Belgium</t>
  </si>
  <si>
    <t xml:space="preserve">536393</t>
  </si>
  <si>
    <t xml:space="preserve">536395</t>
  </si>
  <si>
    <t xml:space="preserve">536396</t>
  </si>
  <si>
    <t xml:space="preserve">536394</t>
  </si>
  <si>
    <t xml:space="preserve">536397</t>
  </si>
  <si>
    <t xml:space="preserve">536399</t>
  </si>
  <si>
    <t xml:space="preserve">536400</t>
  </si>
  <si>
    <t xml:space="preserve">536398</t>
  </si>
  <si>
    <t xml:space="preserve">536401</t>
  </si>
  <si>
    <t xml:space="preserve">536404</t>
  </si>
  <si>
    <t xml:space="preserve">536403</t>
  </si>
  <si>
    <t xml:space="preserve">10026</t>
  </si>
  <si>
    <t xml:space="preserve">APRON</t>
  </si>
  <si>
    <t xml:space="preserve">536402</t>
  </si>
  <si>
    <t xml:space="preserve">536405</t>
  </si>
  <si>
    <t xml:space="preserve">10099</t>
  </si>
  <si>
    <t xml:space="preserve">BULK ORDER CHRISTMAS BAUBLE</t>
  </si>
  <si>
    <t xml:space="preserve">536406</t>
  </si>
  <si>
    <t xml:space="preserve">France</t>
  </si>
  <si>
    <t xml:space="preserve">536407</t>
  </si>
  <si>
    <t xml:space="preserve">536408</t>
  </si>
  <si>
    <t xml:space="preserve">536410</t>
  </si>
  <si>
    <t xml:space="preserve">Netherlands</t>
  </si>
  <si>
    <t xml:space="preserve">536409</t>
  </si>
  <si>
    <t xml:space="preserve">536412</t>
  </si>
  <si>
    <t xml:space="preserve">536413</t>
  </si>
  <si>
    <t xml:space="preserve">536411</t>
  </si>
  <si>
    <t xml:space="preserve">536414</t>
  </si>
  <si>
    <t xml:space="preserve">536415</t>
  </si>
  <si>
    <t xml:space="preserve">536416</t>
  </si>
  <si>
    <t xml:space="preserve">536417</t>
  </si>
  <si>
    <t xml:space="preserve">536419</t>
  </si>
  <si>
    <t xml:space="preserve">536418</t>
  </si>
  <si>
    <t xml:space="preserve">536421</t>
  </si>
  <si>
    <t xml:space="preserve">536420</t>
  </si>
  <si>
    <t xml:space="preserve">536422</t>
  </si>
  <si>
    <t xml:space="preserve">536423</t>
  </si>
  <si>
    <t xml:space="preserve">536424</t>
  </si>
  <si>
    <t xml:space="preserve">536425</t>
  </si>
  <si>
    <t xml:space="preserve">C537085</t>
  </si>
  <si>
    <t xml:space="preserve">536426</t>
  </si>
  <si>
    <t xml:space="preserve">536427</t>
  </si>
  <si>
    <t xml:space="preserve">536428</t>
  </si>
  <si>
    <t xml:space="preserve">536429</t>
  </si>
  <si>
    <t xml:space="preserve">536430</t>
  </si>
  <si>
    <t xml:space="preserve">C537088</t>
  </si>
  <si>
    <t xml:space="preserve">536431</t>
  </si>
  <si>
    <t xml:space="preserve">536432</t>
  </si>
  <si>
    <t xml:space="preserve">536433</t>
  </si>
  <si>
    <t xml:space="preserve">536434</t>
  </si>
  <si>
    <t xml:space="preserve">536436</t>
  </si>
  <si>
    <t xml:space="preserve">536435</t>
  </si>
  <si>
    <t xml:space="preserve">536437</t>
  </si>
  <si>
    <t xml:space="preserve">536439</t>
  </si>
  <si>
    <t xml:space="preserve">536440</t>
  </si>
  <si>
    <t xml:space="preserve">536438</t>
  </si>
  <si>
    <t xml:space="preserve">536441</t>
  </si>
  <si>
    <t xml:space="preserve">536442</t>
  </si>
  <si>
    <t xml:space="preserve">536443</t>
  </si>
  <si>
    <t xml:space="preserve">536444</t>
  </si>
  <si>
    <t xml:space="preserve">536445</t>
  </si>
  <si>
    <t xml:space="preserve">536447</t>
  </si>
  <si>
    <t xml:space="preserve">536446</t>
  </si>
  <si>
    <t xml:space="preserve">536448</t>
  </si>
  <si>
    <t xml:space="preserve">536449</t>
  </si>
  <si>
    <t xml:space="preserve">536450</t>
  </si>
  <si>
    <t xml:space="preserve">536451</t>
  </si>
  <si>
    <t xml:space="preserve">536452</t>
  </si>
  <si>
    <t xml:space="preserve">536453</t>
  </si>
  <si>
    <t xml:space="preserve">536454</t>
  </si>
  <si>
    <t xml:space="preserve">536455</t>
  </si>
  <si>
    <t xml:space="preserve">536456</t>
  </si>
  <si>
    <t xml:space="preserve">536458</t>
  </si>
  <si>
    <t xml:space="preserve">536460</t>
  </si>
  <si>
    <t xml:space="preserve">536459</t>
  </si>
  <si>
    <t xml:space="preserve">Australia</t>
  </si>
  <si>
    <t xml:space="preserve">536457</t>
  </si>
  <si>
    <t xml:space="preserve">536462</t>
  </si>
  <si>
    <t xml:space="preserve">536463</t>
  </si>
  <si>
    <t xml:space="preserve">536461</t>
  </si>
  <si>
    <t xml:space="preserve">536464</t>
  </si>
  <si>
    <t xml:space="preserve">536465</t>
  </si>
  <si>
    <t xml:space="preserve">536466</t>
  </si>
  <si>
    <t xml:space="preserve">536469</t>
  </si>
  <si>
    <t xml:space="preserve">536468</t>
  </si>
  <si>
    <t xml:space="preserve">536467</t>
  </si>
  <si>
    <t xml:space="preserve">536471</t>
  </si>
  <si>
    <t xml:space="preserve">536470</t>
  </si>
  <si>
    <t xml:space="preserve">536472</t>
  </si>
  <si>
    <t xml:space="preserve">536473</t>
  </si>
  <si>
    <t xml:space="preserve">536474</t>
  </si>
  <si>
    <t xml:space="preserve">536476</t>
  </si>
  <si>
    <t xml:space="preserve">536475</t>
  </si>
  <si>
    <t xml:space="preserve">536478</t>
  </si>
  <si>
    <t xml:space="preserve">536477</t>
  </si>
  <si>
    <t xml:space="preserve">536479</t>
  </si>
  <si>
    <t xml:space="preserve">536480</t>
  </si>
  <si>
    <t xml:space="preserve">536481</t>
  </si>
  <si>
    <t xml:space="preserve">536482</t>
  </si>
  <si>
    <t xml:space="preserve">536484</t>
  </si>
  <si>
    <t xml:space="preserve">536483</t>
  </si>
  <si>
    <t xml:space="preserve">536486</t>
  </si>
  <si>
    <t xml:space="preserve">536485</t>
  </si>
  <si>
    <t xml:space="preserve">536488</t>
  </si>
  <si>
    <t xml:space="preserve">536487</t>
  </si>
  <si>
    <t xml:space="preserve">536489</t>
  </si>
  <si>
    <t xml:space="preserve">536491</t>
  </si>
  <si>
    <t xml:space="preserve">536492</t>
  </si>
  <si>
    <t xml:space="preserve">536490</t>
  </si>
  <si>
    <t xml:space="preserve">536493</t>
  </si>
  <si>
    <t xml:space="preserve">536494</t>
  </si>
  <si>
    <t xml:space="preserve">536495</t>
  </si>
  <si>
    <t xml:space="preserve">536497</t>
  </si>
  <si>
    <t xml:space="preserve">536498</t>
  </si>
  <si>
    <t xml:space="preserve">536496</t>
  </si>
  <si>
    <t xml:space="preserve">536501</t>
  </si>
  <si>
    <t xml:space="preserve">536502</t>
  </si>
  <si>
    <t xml:space="preserve">536499</t>
  </si>
  <si>
    <t xml:space="preserve">536500</t>
  </si>
  <si>
    <t xml:space="preserve">536503</t>
  </si>
  <si>
    <t xml:space="preserve">536506</t>
  </si>
  <si>
    <t xml:space="preserve">536505</t>
  </si>
  <si>
    <t xml:space="preserve">536504</t>
  </si>
  <si>
    <t xml:space="preserve">536507</t>
  </si>
  <si>
    <t xml:space="preserve">536508</t>
  </si>
  <si>
    <t xml:space="preserve">536509</t>
  </si>
  <si>
    <t xml:space="preserve">536511</t>
  </si>
  <si>
    <t xml:space="preserve">536510</t>
  </si>
  <si>
    <t xml:space="preserve">536512</t>
  </si>
  <si>
    <t xml:space="preserve">C537086</t>
  </si>
  <si>
    <t xml:space="preserve">536514</t>
  </si>
  <si>
    <t xml:space="preserve">536513</t>
  </si>
  <si>
    <t xml:space="preserve">536516</t>
  </si>
  <si>
    <t xml:space="preserve">536515</t>
  </si>
  <si>
    <t xml:space="preserve">536517</t>
  </si>
  <si>
    <t xml:space="preserve">536518</t>
  </si>
  <si>
    <t xml:space="preserve">536519</t>
  </si>
  <si>
    <t xml:space="preserve">536520</t>
  </si>
  <si>
    <t xml:space="preserve">536521</t>
  </si>
  <si>
    <t xml:space="preserve">536522</t>
  </si>
  <si>
    <t xml:space="preserve">536523</t>
  </si>
  <si>
    <t xml:space="preserve">536525</t>
  </si>
  <si>
    <t xml:space="preserve">536524</t>
  </si>
  <si>
    <t xml:space="preserve">536526</t>
  </si>
  <si>
    <t xml:space="preserve">536527</t>
  </si>
  <si>
    <t xml:space="preserve">536528</t>
  </si>
  <si>
    <t xml:space="preserve">536529</t>
  </si>
  <si>
    <t xml:space="preserve">536530</t>
  </si>
  <si>
    <t xml:space="preserve">536531</t>
  </si>
  <si>
    <t xml:space="preserve">536532</t>
  </si>
  <si>
    <t xml:space="preserve">536533</t>
  </si>
  <si>
    <t xml:space="preserve">536536</t>
  </si>
  <si>
    <t xml:space="preserve">536535</t>
  </si>
  <si>
    <t xml:space="preserve">536537</t>
  </si>
  <si>
    <t xml:space="preserve">536534</t>
  </si>
  <si>
    <t xml:space="preserve">536538</t>
  </si>
  <si>
    <t xml:space="preserve">536540</t>
  </si>
  <si>
    <t xml:space="preserve">536539</t>
  </si>
  <si>
    <t xml:space="preserve">536541</t>
  </si>
  <si>
    <t xml:space="preserve">536542</t>
  </si>
  <si>
    <t xml:space="preserve">536543</t>
  </si>
  <si>
    <t xml:space="preserve">536544</t>
  </si>
  <si>
    <t xml:space="preserve">536546</t>
  </si>
  <si>
    <t xml:space="preserve">536547</t>
  </si>
  <si>
    <t xml:space="preserve">536545</t>
  </si>
  <si>
    <t xml:space="preserve">536548</t>
  </si>
  <si>
    <t xml:space="preserve">536549</t>
  </si>
  <si>
    <t xml:space="preserve">536550</t>
  </si>
  <si>
    <t xml:space="preserve">536551</t>
  </si>
  <si>
    <t xml:space="preserve">536552</t>
  </si>
  <si>
    <t xml:space="preserve">536554</t>
  </si>
  <si>
    <t xml:space="preserve">536555</t>
  </si>
  <si>
    <t xml:space="preserve">536553</t>
  </si>
  <si>
    <t xml:space="preserve">536557</t>
  </si>
  <si>
    <t xml:space="preserve">536556</t>
  </si>
  <si>
    <t xml:space="preserve">536558</t>
  </si>
  <si>
    <t xml:space="preserve">536559</t>
  </si>
  <si>
    <t xml:space="preserve">536560</t>
  </si>
  <si>
    <t xml:space="preserve">536561</t>
  </si>
  <si>
    <t xml:space="preserve">536562</t>
  </si>
  <si>
    <t xml:space="preserve">536563</t>
  </si>
  <si>
    <t xml:space="preserve">536564</t>
  </si>
  <si>
    <t xml:space="preserve">536566</t>
  </si>
  <si>
    <t xml:space="preserve">536565</t>
  </si>
  <si>
    <t xml:space="preserve">536567</t>
  </si>
  <si>
    <t xml:space="preserve">536568</t>
  </si>
  <si>
    <t xml:space="preserve">536569</t>
  </si>
  <si>
    <t xml:space="preserve">536571</t>
  </si>
  <si>
    <t xml:space="preserve">536572</t>
  </si>
  <si>
    <t xml:space="preserve">536570</t>
  </si>
  <si>
    <t xml:space="preserve">536573</t>
  </si>
  <si>
    <t xml:space="preserve">536575</t>
  </si>
  <si>
    <t xml:space="preserve">536574</t>
  </si>
  <si>
    <t xml:space="preserve">536576</t>
  </si>
  <si>
    <t xml:space="preserve">536577</t>
  </si>
  <si>
    <t xml:space="preserve">536580</t>
  </si>
  <si>
    <t xml:space="preserve">536578</t>
  </si>
  <si>
    <t xml:space="preserve">536581</t>
  </si>
  <si>
    <t xml:space="preserve">536579</t>
  </si>
  <si>
    <t xml:space="preserve">536582</t>
  </si>
  <si>
    <t xml:space="preserve">536585</t>
  </si>
  <si>
    <t xml:space="preserve">536584</t>
  </si>
  <si>
    <t xml:space="preserve">536583</t>
  </si>
  <si>
    <t xml:space="preserve">536587</t>
  </si>
  <si>
    <t xml:space="preserve">536588</t>
  </si>
  <si>
    <t xml:space="preserve">536586</t>
  </si>
  <si>
    <t xml:space="preserve">536590</t>
  </si>
  <si>
    <t xml:space="preserve">536589</t>
  </si>
  <si>
    <t xml:space="preserve">536591</t>
  </si>
  <si>
    <t xml:space="preserve">536593</t>
  </si>
  <si>
    <t xml:space="preserve">536592</t>
  </si>
  <si>
    <t xml:space="preserve">536595</t>
  </si>
  <si>
    <t xml:space="preserve">536597</t>
  </si>
  <si>
    <t xml:space="preserve">536594</t>
  </si>
  <si>
    <t xml:space="preserve">536596</t>
  </si>
  <si>
    <t xml:space="preserve">536598</t>
  </si>
  <si>
    <t xml:space="preserve">536599</t>
  </si>
  <si>
    <t xml:space="preserve">536603</t>
  </si>
  <si>
    <t xml:space="preserve">536601</t>
  </si>
  <si>
    <t xml:space="preserve">536604</t>
  </si>
  <si>
    <t xml:space="preserve">536602</t>
  </si>
  <si>
    <t xml:space="preserve">536600</t>
  </si>
  <si>
    <t xml:space="preserve">536606</t>
  </si>
  <si>
    <t xml:space="preserve">536605</t>
  </si>
  <si>
    <t xml:space="preserve">C537096</t>
  </si>
  <si>
    <t xml:space="preserve">536607</t>
  </si>
  <si>
    <t xml:space="preserve">536609</t>
  </si>
  <si>
    <t xml:space="preserve">536608</t>
  </si>
  <si>
    <t xml:space="preserve">536610</t>
  </si>
  <si>
    <t xml:space="preserve">536611</t>
  </si>
  <si>
    <t xml:space="preserve">536612</t>
  </si>
  <si>
    <t xml:space="preserve">536613</t>
  </si>
  <si>
    <t xml:space="preserve">536614</t>
  </si>
  <si>
    <t xml:space="preserve">536615</t>
  </si>
  <si>
    <t xml:space="preserve">536616</t>
  </si>
  <si>
    <t xml:space="preserve">536617</t>
  </si>
  <si>
    <t xml:space="preserve">536618</t>
  </si>
  <si>
    <t xml:space="preserve">536619</t>
  </si>
  <si>
    <t xml:space="preserve">536621</t>
  </si>
  <si>
    <t xml:space="preserve">536622</t>
  </si>
  <si>
    <t xml:space="preserve">536620</t>
  </si>
  <si>
    <t xml:space="preserve">536623</t>
  </si>
  <si>
    <t xml:space="preserve">536624</t>
  </si>
  <si>
    <t xml:space="preserve">536625</t>
  </si>
  <si>
    <t xml:space="preserve">536626</t>
  </si>
  <si>
    <t xml:space="preserve">536627</t>
  </si>
  <si>
    <t xml:space="preserve">536629</t>
  </si>
  <si>
    <t xml:space="preserve">536630</t>
  </si>
  <si>
    <t xml:space="preserve">536628</t>
  </si>
  <si>
    <t xml:space="preserve">536633</t>
  </si>
  <si>
    <t xml:space="preserve">536632</t>
  </si>
  <si>
    <t xml:space="preserve">536631</t>
  </si>
  <si>
    <t xml:space="preserve">536635</t>
  </si>
  <si>
    <t xml:space="preserve">536634</t>
  </si>
  <si>
    <t xml:space="preserve">536636</t>
  </si>
  <si>
    <t xml:space="preserve">536637</t>
  </si>
  <si>
    <t xml:space="preserve">536638</t>
  </si>
  <si>
    <t xml:space="preserve">536640</t>
  </si>
  <si>
    <t xml:space="preserve">536639</t>
  </si>
  <si>
    <t xml:space="preserve">536642</t>
  </si>
  <si>
    <t xml:space="preserve">536641</t>
  </si>
  <si>
    <t xml:space="preserve">536643</t>
  </si>
  <si>
    <t xml:space="preserve">536644</t>
  </si>
  <si>
    <t xml:space="preserve">536646</t>
  </si>
  <si>
    <t xml:space="preserve">536645</t>
  </si>
  <si>
    <t xml:space="preserve">536647</t>
  </si>
  <si>
    <t xml:space="preserve">536651</t>
  </si>
  <si>
    <t xml:space="preserve">536649</t>
  </si>
  <si>
    <t xml:space="preserve">536650</t>
  </si>
  <si>
    <t xml:space="preserve">536648</t>
  </si>
  <si>
    <t xml:space="preserve">536652</t>
  </si>
  <si>
    <t xml:space="preserve">536653</t>
  </si>
  <si>
    <t xml:space="preserve">536654</t>
  </si>
  <si>
    <t xml:space="preserve">536655</t>
  </si>
  <si>
    <t xml:space="preserve">536656</t>
  </si>
  <si>
    <t xml:space="preserve">536657</t>
  </si>
  <si>
    <t xml:space="preserve">536658</t>
  </si>
  <si>
    <t xml:space="preserve">536662</t>
  </si>
  <si>
    <t xml:space="preserve">536659</t>
  </si>
  <si>
    <t xml:space="preserve">536661</t>
  </si>
  <si>
    <t xml:space="preserve">536660</t>
  </si>
  <si>
    <t xml:space="preserve">536663</t>
  </si>
  <si>
    <t xml:space="preserve">536664</t>
  </si>
  <si>
    <t xml:space="preserve">536666</t>
  </si>
  <si>
    <t xml:space="preserve">536665</t>
  </si>
  <si>
    <t xml:space="preserve">536667</t>
  </si>
  <si>
    <t xml:space="preserve">536670</t>
  </si>
  <si>
    <t xml:space="preserve">536671</t>
  </si>
  <si>
    <t xml:space="preserve">536669</t>
  </si>
  <si>
    <t xml:space="preserve">536668</t>
  </si>
  <si>
    <t xml:space="preserve">536672</t>
  </si>
  <si>
    <t xml:space="preserve">536673</t>
  </si>
  <si>
    <t xml:space="preserve">536674</t>
  </si>
  <si>
    <t xml:space="preserve">536675</t>
  </si>
  <si>
    <t xml:space="preserve">536676</t>
  </si>
  <si>
    <t xml:space="preserve">536677</t>
  </si>
  <si>
    <t xml:space="preserve">536678</t>
  </si>
  <si>
    <t xml:space="preserve">536680</t>
  </si>
  <si>
    <t xml:space="preserve">536679</t>
  </si>
  <si>
    <t xml:space="preserve">536681</t>
  </si>
  <si>
    <t xml:space="preserve">536682</t>
  </si>
  <si>
    <t xml:space="preserve">536683</t>
  </si>
  <si>
    <t xml:space="preserve">536684</t>
  </si>
  <si>
    <t xml:space="preserve">536686</t>
  </si>
  <si>
    <t xml:space="preserve">536685</t>
  </si>
  <si>
    <t xml:space="preserve">536689</t>
  </si>
  <si>
    <t xml:space="preserve">536688</t>
  </si>
  <si>
    <t xml:space="preserve">536687</t>
  </si>
  <si>
    <t xml:space="preserve">536690</t>
  </si>
  <si>
    <t xml:space="preserve">536691</t>
  </si>
  <si>
    <t xml:space="preserve">536692</t>
  </si>
  <si>
    <t xml:space="preserve">536693</t>
  </si>
  <si>
    <t xml:space="preserve">536694</t>
  </si>
  <si>
    <t xml:space="preserve">536695</t>
  </si>
  <si>
    <t xml:space="preserve">536697</t>
  </si>
  <si>
    <t xml:space="preserve">536696</t>
  </si>
  <si>
    <t xml:space="preserve">536698</t>
  </si>
  <si>
    <t xml:space="preserve">536699</t>
  </si>
  <si>
    <t xml:space="preserve">536700</t>
  </si>
  <si>
    <t xml:space="preserve">536702</t>
  </si>
  <si>
    <t xml:space="preserve">536701</t>
  </si>
  <si>
    <t xml:space="preserve">536704</t>
  </si>
  <si>
    <t xml:space="preserve">536703</t>
  </si>
  <si>
    <t xml:space="preserve">536705</t>
  </si>
  <si>
    <t xml:space="preserve">536706</t>
  </si>
  <si>
    <t xml:space="preserve">536707</t>
  </si>
  <si>
    <t xml:space="preserve">536709</t>
  </si>
  <si>
    <t xml:space="preserve">536710</t>
  </si>
  <si>
    <t xml:space="preserve">536708</t>
  </si>
  <si>
    <t xml:space="preserve">536711</t>
  </si>
  <si>
    <t xml:space="preserve">536712</t>
  </si>
  <si>
    <t xml:space="preserve">536713</t>
  </si>
  <si>
    <t xml:space="preserve">536715</t>
  </si>
  <si>
    <t xml:space="preserve">536714</t>
  </si>
  <si>
    <t xml:space="preserve">536716</t>
  </si>
  <si>
    <t xml:space="preserve">536718</t>
  </si>
  <si>
    <t xml:space="preserve">536717</t>
  </si>
  <si>
    <t xml:space="preserve">536720</t>
  </si>
  <si>
    <t xml:space="preserve">536719</t>
  </si>
  <si>
    <t xml:space="preserve">536721</t>
  </si>
  <si>
    <t xml:space="preserve">536722</t>
  </si>
  <si>
    <t xml:space="preserve">536724</t>
  </si>
  <si>
    <t xml:space="preserve">536726</t>
  </si>
  <si>
    <t xml:space="preserve">536723</t>
  </si>
  <si>
    <t xml:space="preserve">536725</t>
  </si>
  <si>
    <t xml:space="preserve">536727</t>
  </si>
  <si>
    <t xml:space="preserve">536729</t>
  </si>
  <si>
    <t xml:space="preserve">536728</t>
  </si>
  <si>
    <t xml:space="preserve">536730</t>
  </si>
  <si>
    <t xml:space="preserve">536731</t>
  </si>
  <si>
    <t xml:space="preserve">536732</t>
  </si>
  <si>
    <t xml:space="preserve">536733</t>
  </si>
  <si>
    <t xml:space="preserve">536734</t>
  </si>
  <si>
    <t xml:space="preserve">536736</t>
  </si>
  <si>
    <t xml:space="preserve">536735</t>
  </si>
  <si>
    <t xml:space="preserve">536738</t>
  </si>
  <si>
    <t xml:space="preserve">536737</t>
  </si>
  <si>
    <t xml:space="preserve">Spain</t>
  </si>
  <si>
    <t xml:space="preserve">536739</t>
  </si>
  <si>
    <t xml:space="preserve">536740</t>
  </si>
  <si>
    <t xml:space="preserve">536742</t>
  </si>
  <si>
    <t xml:space="preserve">536741</t>
  </si>
  <si>
    <t xml:space="preserve">536744</t>
  </si>
  <si>
    <t xml:space="preserve">536743</t>
  </si>
  <si>
    <t xml:space="preserve">536745</t>
  </si>
  <si>
    <t xml:space="preserve">536746</t>
  </si>
  <si>
    <t xml:space="preserve">536747</t>
  </si>
  <si>
    <t xml:space="preserve">536748</t>
  </si>
  <si>
    <t xml:space="preserve">536749</t>
  </si>
  <si>
    <t xml:space="preserve">536750</t>
  </si>
  <si>
    <t xml:space="preserve">536751</t>
  </si>
  <si>
    <t xml:space="preserve">536752</t>
  </si>
  <si>
    <t xml:space="preserve">C537091</t>
  </si>
  <si>
    <t xml:space="preserve">536753</t>
  </si>
  <si>
    <t xml:space="preserve">536754</t>
  </si>
  <si>
    <t xml:space="preserve">536756</t>
  </si>
  <si>
    <t xml:space="preserve">536758</t>
  </si>
  <si>
    <t xml:space="preserve">536759</t>
  </si>
  <si>
    <t xml:space="preserve">536755</t>
  </si>
  <si>
    <t xml:space="preserve">536757</t>
  </si>
  <si>
    <t xml:space="preserve">536760</t>
  </si>
  <si>
    <t xml:space="preserve">536761</t>
  </si>
  <si>
    <t xml:space="preserve">536762</t>
  </si>
  <si>
    <t xml:space="preserve">536763</t>
  </si>
  <si>
    <t xml:space="preserve">536764</t>
  </si>
  <si>
    <t xml:space="preserve">536765</t>
  </si>
  <si>
    <t xml:space="preserve">536768</t>
  </si>
  <si>
    <t xml:space="preserve">536767</t>
  </si>
  <si>
    <t xml:space="preserve">536766</t>
  </si>
  <si>
    <t xml:space="preserve">536770</t>
  </si>
  <si>
    <t xml:space="preserve">536772</t>
  </si>
  <si>
    <t xml:space="preserve">C537089</t>
  </si>
  <si>
    <t xml:space="preserve">536771</t>
  </si>
  <si>
    <t xml:space="preserve">536769</t>
  </si>
  <si>
    <t xml:space="preserve">536773</t>
  </si>
  <si>
    <t xml:space="preserve">536774</t>
  </si>
  <si>
    <t xml:space="preserve">536775</t>
  </si>
  <si>
    <t xml:space="preserve">536776</t>
  </si>
  <si>
    <t xml:space="preserve">536778</t>
  </si>
  <si>
    <t xml:space="preserve">536777</t>
  </si>
  <si>
    <t xml:space="preserve">536780</t>
  </si>
  <si>
    <t xml:space="preserve">536779</t>
  </si>
  <si>
    <t xml:space="preserve">536785</t>
  </si>
  <si>
    <t xml:space="preserve">536783</t>
  </si>
  <si>
    <t xml:space="preserve">536781</t>
  </si>
  <si>
    <t xml:space="preserve">536782</t>
  </si>
  <si>
    <t xml:space="preserve">536784</t>
  </si>
  <si>
    <t xml:space="preserve">536788</t>
  </si>
  <si>
    <t xml:space="preserve">536787</t>
  </si>
  <si>
    <t xml:space="preserve">536786</t>
  </si>
  <si>
    <t xml:space="preserve">536789</t>
  </si>
  <si>
    <t xml:space="preserve">536792</t>
  </si>
  <si>
    <t xml:space="preserve">536793</t>
  </si>
  <si>
    <t xml:space="preserve">536790</t>
  </si>
  <si>
    <t xml:space="preserve">536791</t>
  </si>
  <si>
    <t xml:space="preserve">536797</t>
  </si>
  <si>
    <t xml:space="preserve">536794</t>
  </si>
  <si>
    <t xml:space="preserve">536796</t>
  </si>
  <si>
    <t xml:space="preserve">536795</t>
  </si>
  <si>
    <t xml:space="preserve">536798</t>
  </si>
  <si>
    <t xml:space="preserve">536799</t>
  </si>
  <si>
    <t xml:space="preserve">536801</t>
  </si>
  <si>
    <t xml:space="preserve">536800</t>
  </si>
  <si>
    <t xml:space="preserve">536803</t>
  </si>
  <si>
    <t xml:space="preserve">536804</t>
  </si>
  <si>
    <t xml:space="preserve">536802</t>
  </si>
  <si>
    <t xml:space="preserve">536805</t>
  </si>
  <si>
    <t xml:space="preserve">536806</t>
  </si>
  <si>
    <t xml:space="preserve">536809</t>
  </si>
  <si>
    <t xml:space="preserve">536807</t>
  </si>
  <si>
    <t xml:space="preserve">536808</t>
  </si>
  <si>
    <t xml:space="preserve">536811</t>
  </si>
  <si>
    <t xml:space="preserve">536812</t>
  </si>
  <si>
    <t xml:space="preserve">536810</t>
  </si>
  <si>
    <t xml:space="preserve">536813</t>
  </si>
  <si>
    <t xml:space="preserve">536814</t>
  </si>
  <si>
    <t xml:space="preserve">536815</t>
  </si>
  <si>
    <t xml:space="preserve">536817</t>
  </si>
  <si>
    <t xml:space="preserve">536816</t>
  </si>
  <si>
    <t xml:space="preserve">536818</t>
  </si>
  <si>
    <t xml:space="preserve">536822</t>
  </si>
  <si>
    <t xml:space="preserve">536819</t>
  </si>
  <si>
    <t xml:space="preserve">536820</t>
  </si>
  <si>
    <t xml:space="preserve">536821</t>
  </si>
  <si>
    <t xml:space="preserve">536824</t>
  </si>
  <si>
    <t xml:space="preserve">C537090</t>
  </si>
  <si>
    <t xml:space="preserve">536825</t>
  </si>
  <si>
    <t xml:space="preserve">536823</t>
  </si>
  <si>
    <t xml:space="preserve">C537095</t>
  </si>
  <si>
    <t xml:space="preserve">536826</t>
  </si>
  <si>
    <t xml:space="preserve">536827</t>
  </si>
  <si>
    <t xml:space="preserve">536828</t>
  </si>
  <si>
    <t xml:space="preserve">536829</t>
  </si>
  <si>
    <t xml:space="preserve">536832</t>
  </si>
  <si>
    <t xml:space="preserve">536831</t>
  </si>
  <si>
    <t xml:space="preserve">536830</t>
  </si>
  <si>
    <t xml:space="preserve">536833</t>
  </si>
  <si>
    <t xml:space="preserve">536834</t>
  </si>
  <si>
    <t xml:space="preserve">536835</t>
  </si>
  <si>
    <t xml:space="preserve">536837</t>
  </si>
  <si>
    <t xml:space="preserve">536836</t>
  </si>
  <si>
    <t xml:space="preserve">536838</t>
  </si>
  <si>
    <t xml:space="preserve">536839</t>
  </si>
  <si>
    <t xml:space="preserve">536841</t>
  </si>
  <si>
    <t xml:space="preserve">536840</t>
  </si>
  <si>
    <t xml:space="preserve">536842</t>
  </si>
  <si>
    <t xml:space="preserve">536843</t>
  </si>
  <si>
    <t xml:space="preserve">536844</t>
  </si>
  <si>
    <t xml:space="preserve">C537099</t>
  </si>
  <si>
    <t xml:space="preserve">536845</t>
  </si>
  <si>
    <t xml:space="preserve">536846</t>
  </si>
  <si>
    <t xml:space="preserve">536847</t>
  </si>
  <si>
    <t xml:space="preserve">536849</t>
  </si>
  <si>
    <t xml:space="preserve">536848</t>
  </si>
  <si>
    <t xml:space="preserve">536850</t>
  </si>
  <si>
    <t xml:space="preserve">536851</t>
  </si>
  <si>
    <t xml:space="preserve">536853</t>
  </si>
  <si>
    <t xml:space="preserve">536852</t>
  </si>
  <si>
    <t xml:space="preserve">536854</t>
  </si>
  <si>
    <t xml:space="preserve">536855</t>
  </si>
  <si>
    <t xml:space="preserve">536856</t>
  </si>
  <si>
    <t xml:space="preserve">536857</t>
  </si>
  <si>
    <t xml:space="preserve">536858</t>
  </si>
  <si>
    <t xml:space="preserve">536859</t>
  </si>
  <si>
    <t xml:space="preserve">536860</t>
  </si>
  <si>
    <t xml:space="preserve">536861</t>
  </si>
  <si>
    <t xml:space="preserve">536862</t>
  </si>
  <si>
    <t xml:space="preserve">536864</t>
  </si>
  <si>
    <t xml:space="preserve">536863</t>
  </si>
  <si>
    <t xml:space="preserve">536865</t>
  </si>
  <si>
    <t xml:space="preserve">536866</t>
  </si>
  <si>
    <t xml:space="preserve">536867</t>
  </si>
  <si>
    <t xml:space="preserve">536868</t>
  </si>
  <si>
    <t xml:space="preserve">536869</t>
  </si>
  <si>
    <t xml:space="preserve">536870</t>
  </si>
  <si>
    <t xml:space="preserve">536872</t>
  </si>
  <si>
    <t xml:space="preserve">536871</t>
  </si>
  <si>
    <t xml:space="preserve">536873</t>
  </si>
  <si>
    <t xml:space="preserve">536874</t>
  </si>
  <si>
    <t xml:space="preserve">536876</t>
  </si>
  <si>
    <t xml:space="preserve">C537093</t>
  </si>
  <si>
    <t xml:space="preserve">536875</t>
  </si>
  <si>
    <t xml:space="preserve">536879</t>
  </si>
  <si>
    <t xml:space="preserve">536877</t>
  </si>
  <si>
    <t xml:space="preserve">536878</t>
  </si>
  <si>
    <t xml:space="preserve">536880</t>
  </si>
  <si>
    <t xml:space="preserve">536881</t>
  </si>
  <si>
    <t xml:space="preserve">536882</t>
  </si>
  <si>
    <t xml:space="preserve">536884</t>
  </si>
  <si>
    <t xml:space="preserve">536883</t>
  </si>
  <si>
    <t xml:space="preserve">536887</t>
  </si>
  <si>
    <t xml:space="preserve">536886</t>
  </si>
  <si>
    <t xml:space="preserve">536888</t>
  </si>
  <si>
    <t xml:space="preserve">536885</t>
  </si>
  <si>
    <t xml:space="preserve">536889</t>
  </si>
  <si>
    <t xml:space="preserve">536890</t>
  </si>
  <si>
    <t xml:space="preserve">536891</t>
  </si>
  <si>
    <t xml:space="preserve">536892</t>
  </si>
  <si>
    <t xml:space="preserve">536896</t>
  </si>
  <si>
    <t xml:space="preserve">536894</t>
  </si>
  <si>
    <t xml:space="preserve">536893</t>
  </si>
  <si>
    <t xml:space="preserve">536897</t>
  </si>
  <si>
    <t xml:space="preserve">536895</t>
  </si>
  <si>
    <t xml:space="preserve">536898</t>
  </si>
  <si>
    <t xml:space="preserve">536900</t>
  </si>
  <si>
    <t xml:space="preserve">C537087</t>
  </si>
  <si>
    <t xml:space="preserve">536899</t>
  </si>
  <si>
    <t xml:space="preserve">536901</t>
  </si>
  <si>
    <t xml:space="preserve">536902</t>
  </si>
  <si>
    <t xml:space="preserve">536904</t>
  </si>
  <si>
    <t xml:space="preserve">536903</t>
  </si>
  <si>
    <t xml:space="preserve">536905</t>
  </si>
  <si>
    <t xml:space="preserve">536907</t>
  </si>
  <si>
    <t xml:space="preserve">536906</t>
  </si>
  <si>
    <t xml:space="preserve">536908</t>
  </si>
  <si>
    <t xml:space="preserve">536909</t>
  </si>
  <si>
    <t xml:space="preserve">536913</t>
  </si>
  <si>
    <t xml:space="preserve">536914</t>
  </si>
  <si>
    <t xml:space="preserve">536910</t>
  </si>
  <si>
    <t xml:space="preserve">536915</t>
  </si>
  <si>
    <t xml:space="preserve">536911</t>
  </si>
  <si>
    <t xml:space="preserve">536912</t>
  </si>
  <si>
    <t xml:space="preserve">536918</t>
  </si>
  <si>
    <t xml:space="preserve">536916</t>
  </si>
  <si>
    <t xml:space="preserve">536920</t>
  </si>
  <si>
    <t xml:space="preserve">536921</t>
  </si>
  <si>
    <t xml:space="preserve">536917</t>
  </si>
  <si>
    <t xml:space="preserve">536919</t>
  </si>
  <si>
    <t xml:space="preserve">536926</t>
  </si>
  <si>
    <t xml:space="preserve">536922</t>
  </si>
  <si>
    <t xml:space="preserve">536928</t>
  </si>
  <si>
    <t xml:space="preserve">536925</t>
  </si>
  <si>
    <t xml:space="preserve">536923</t>
  </si>
  <si>
    <t xml:space="preserve">536927</t>
  </si>
  <si>
    <t xml:space="preserve">536924</t>
  </si>
  <si>
    <t xml:space="preserve">536929</t>
  </si>
  <si>
    <t xml:space="preserve">536930</t>
  </si>
  <si>
    <t xml:space="preserve">536931</t>
  </si>
  <si>
    <t xml:space="preserve">536932</t>
  </si>
  <si>
    <t xml:space="preserve">536933</t>
  </si>
  <si>
    <t xml:space="preserve">536937</t>
  </si>
  <si>
    <t xml:space="preserve">536938</t>
  </si>
  <si>
    <t xml:space="preserve">536935</t>
  </si>
  <si>
    <t xml:space="preserve">536939</t>
  </si>
  <si>
    <t xml:space="preserve">536936</t>
  </si>
  <si>
    <t xml:space="preserve">536934</t>
  </si>
  <si>
    <t xml:space="preserve">536945</t>
  </si>
  <si>
    <t xml:space="preserve">536940</t>
  </si>
  <si>
    <t xml:space="preserve">536943</t>
  </si>
  <si>
    <t xml:space="preserve">536942</t>
  </si>
  <si>
    <t xml:space="preserve">536944</t>
  </si>
  <si>
    <t xml:space="preserve">536946</t>
  </si>
  <si>
    <t xml:space="preserve">536947</t>
  </si>
  <si>
    <t xml:space="preserve">536941</t>
  </si>
  <si>
    <t xml:space="preserve">536948</t>
  </si>
  <si>
    <t xml:space="preserve">536949</t>
  </si>
  <si>
    <t xml:space="preserve">536950</t>
  </si>
  <si>
    <t xml:space="preserve">536951</t>
  </si>
  <si>
    <t xml:space="preserve">536952</t>
  </si>
  <si>
    <t xml:space="preserve">536953</t>
  </si>
  <si>
    <t xml:space="preserve">536955</t>
  </si>
  <si>
    <t xml:space="preserve">536956</t>
  </si>
  <si>
    <t xml:space="preserve">536954</t>
  </si>
  <si>
    <t xml:space="preserve">536957</t>
  </si>
  <si>
    <t xml:space="preserve">C537092</t>
  </si>
  <si>
    <t xml:space="preserve">536961</t>
  </si>
  <si>
    <t xml:space="preserve">536962</t>
  </si>
  <si>
    <t xml:space="preserve">536960</t>
  </si>
  <si>
    <t xml:space="preserve">536958</t>
  </si>
  <si>
    <t xml:space="preserve">536959</t>
  </si>
  <si>
    <t xml:space="preserve">536963</t>
  </si>
  <si>
    <t xml:space="preserve">536964</t>
  </si>
  <si>
    <t xml:space="preserve">536967</t>
  </si>
  <si>
    <t xml:space="preserve">536965</t>
  </si>
  <si>
    <t xml:space="preserve">536968</t>
  </si>
  <si>
    <t xml:space="preserve">536966</t>
  </si>
  <si>
    <t xml:space="preserve">536970</t>
  </si>
  <si>
    <t xml:space="preserve">536969</t>
  </si>
  <si>
    <t xml:space="preserve">536971</t>
  </si>
  <si>
    <t xml:space="preserve">536972</t>
  </si>
  <si>
    <t xml:space="preserve">536974</t>
  </si>
  <si>
    <t xml:space="preserve">536975</t>
  </si>
  <si>
    <t xml:space="preserve">536973</t>
  </si>
  <si>
    <t xml:space="preserve">536978</t>
  </si>
  <si>
    <t xml:space="preserve">536979</t>
  </si>
  <si>
    <t xml:space="preserve">536980</t>
  </si>
  <si>
    <t xml:space="preserve">536981</t>
  </si>
  <si>
    <t xml:space="preserve">536976</t>
  </si>
  <si>
    <t xml:space="preserve">536977</t>
  </si>
  <si>
    <t xml:space="preserve">536983</t>
  </si>
  <si>
    <t xml:space="preserve">536982</t>
  </si>
  <si>
    <t xml:space="preserve">536986</t>
  </si>
  <si>
    <t xml:space="preserve">536985</t>
  </si>
  <si>
    <t xml:space="preserve">536984</t>
  </si>
  <si>
    <t xml:space="preserve">536987</t>
  </si>
  <si>
    <t xml:space="preserve">536988</t>
  </si>
  <si>
    <t xml:space="preserve">536991</t>
  </si>
  <si>
    <t xml:space="preserve">536990</t>
  </si>
  <si>
    <t xml:space="preserve">536989</t>
  </si>
  <si>
    <t xml:space="preserve">536992</t>
  </si>
  <si>
    <t xml:space="preserve">536993</t>
  </si>
  <si>
    <t xml:space="preserve">536994</t>
  </si>
  <si>
    <t xml:space="preserve">536995</t>
  </si>
  <si>
    <t xml:space="preserve">536997</t>
  </si>
  <si>
    <t xml:space="preserve">536999</t>
  </si>
  <si>
    <t xml:space="preserve">536996</t>
  </si>
  <si>
    <t xml:space="preserve">536998</t>
  </si>
  <si>
    <t xml:space="preserve">537000</t>
  </si>
  <si>
    <t xml:space="preserve">537001</t>
  </si>
  <si>
    <t xml:space="preserve">537002</t>
  </si>
  <si>
    <t xml:space="preserve">537005</t>
  </si>
  <si>
    <t xml:space="preserve">537006</t>
  </si>
  <si>
    <t xml:space="preserve">537004</t>
  </si>
  <si>
    <t xml:space="preserve">537003</t>
  </si>
  <si>
    <t xml:space="preserve">537007</t>
  </si>
  <si>
    <t xml:space="preserve">537010</t>
  </si>
  <si>
    <t xml:space="preserve">537012</t>
  </si>
  <si>
    <t xml:space="preserve">537009</t>
  </si>
  <si>
    <t xml:space="preserve">537011</t>
  </si>
  <si>
    <t xml:space="preserve">537008</t>
  </si>
  <si>
    <t xml:space="preserve">537017</t>
  </si>
  <si>
    <t xml:space="preserve">537014</t>
  </si>
  <si>
    <t xml:space="preserve">537016</t>
  </si>
  <si>
    <t xml:space="preserve">537013</t>
  </si>
  <si>
    <t xml:space="preserve">537015</t>
  </si>
  <si>
    <t xml:space="preserve">537018</t>
  </si>
  <si>
    <t xml:space="preserve">537019</t>
  </si>
  <si>
    <t xml:space="preserve">537020</t>
  </si>
  <si>
    <t xml:space="preserve">537021</t>
  </si>
  <si>
    <t xml:space="preserve">537022</t>
  </si>
  <si>
    <t xml:space="preserve">537024</t>
  </si>
  <si>
    <t xml:space="preserve">537025</t>
  </si>
  <si>
    <t xml:space="preserve">C537098</t>
  </si>
  <si>
    <t xml:space="preserve">537027</t>
  </si>
  <si>
    <t xml:space="preserve">537026</t>
  </si>
  <si>
    <t xml:space="preserve">537028</t>
  </si>
  <si>
    <t xml:space="preserve">537023</t>
  </si>
  <si>
    <t xml:space="preserve">537029</t>
  </si>
  <si>
    <t xml:space="preserve">537030</t>
  </si>
  <si>
    <t xml:space="preserve">537032</t>
  </si>
  <si>
    <t xml:space="preserve">537033</t>
  </si>
  <si>
    <t xml:space="preserve">537031</t>
  </si>
  <si>
    <t xml:space="preserve">537035</t>
  </si>
  <si>
    <t xml:space="preserve">537034</t>
  </si>
  <si>
    <t xml:space="preserve">537036</t>
  </si>
  <si>
    <t xml:space="preserve">537038</t>
  </si>
  <si>
    <t xml:space="preserve">537037</t>
  </si>
  <si>
    <t xml:space="preserve">537039</t>
  </si>
  <si>
    <t xml:space="preserve">537041</t>
  </si>
  <si>
    <t xml:space="preserve">537040</t>
  </si>
  <si>
    <t xml:space="preserve">537043</t>
  </si>
  <si>
    <t xml:space="preserve">537042</t>
  </si>
  <si>
    <t xml:space="preserve">537044</t>
  </si>
  <si>
    <t xml:space="preserve">537045</t>
  </si>
  <si>
    <t xml:space="preserve">537046</t>
  </si>
  <si>
    <t xml:space="preserve">537047</t>
  </si>
  <si>
    <t xml:space="preserve">537048</t>
  </si>
  <si>
    <t xml:space="preserve">537049</t>
  </si>
  <si>
    <t xml:space="preserve">537051</t>
  </si>
  <si>
    <t xml:space="preserve">537052</t>
  </si>
  <si>
    <t xml:space="preserve">537050</t>
  </si>
  <si>
    <t xml:space="preserve">537053</t>
  </si>
  <si>
    <t xml:space="preserve">C537097</t>
  </si>
  <si>
    <t xml:space="preserve">537054</t>
  </si>
  <si>
    <t xml:space="preserve">537057</t>
  </si>
  <si>
    <t xml:space="preserve">537056</t>
  </si>
  <si>
    <t xml:space="preserve">537055</t>
  </si>
  <si>
    <t xml:space="preserve">C537094</t>
  </si>
  <si>
    <t xml:space="preserve">537058</t>
  </si>
  <si>
    <t xml:space="preserve">537059</t>
  </si>
  <si>
    <t xml:space="preserve">537060</t>
  </si>
  <si>
    <t xml:space="preserve">537061</t>
  </si>
  <si>
    <t xml:space="preserve">537063</t>
  </si>
  <si>
    <t xml:space="preserve">537062</t>
  </si>
  <si>
    <t xml:space="preserve">537064</t>
  </si>
  <si>
    <t xml:space="preserve">537066</t>
  </si>
  <si>
    <t xml:space="preserve">537065</t>
  </si>
  <si>
    <t xml:space="preserve">537069</t>
  </si>
  <si>
    <t xml:space="preserve">537068</t>
  </si>
  <si>
    <t xml:space="preserve">537067</t>
  </si>
  <si>
    <t xml:space="preserve">537072</t>
  </si>
  <si>
    <t xml:space="preserve">537071</t>
  </si>
  <si>
    <t xml:space="preserve">537073</t>
  </si>
  <si>
    <t xml:space="preserve">537070</t>
  </si>
  <si>
    <t xml:space="preserve">537074</t>
  </si>
  <si>
    <t xml:space="preserve">537075</t>
  </si>
  <si>
    <t xml:space="preserve">537076</t>
  </si>
  <si>
    <t xml:space="preserve">537078</t>
  </si>
  <si>
    <t xml:space="preserve">537077</t>
  </si>
  <si>
    <t xml:space="preserve">537080</t>
  </si>
  <si>
    <t xml:space="preserve">537079</t>
  </si>
  <si>
    <t xml:space="preserve">537082</t>
  </si>
  <si>
    <t xml:space="preserve">537081</t>
  </si>
  <si>
    <t xml:space="preserve">537083</t>
  </si>
  <si>
    <t xml:space="preserve">537084</t>
  </si>
  <si>
    <t xml:space="preserve">Task 1: United Kingdom transactions and unique customers</t>
  </si>
  <si>
    <t xml:space="preserve">On the Data sheet use the Country filter arrow and tick only United Kingdom (Data &gt; Filter).</t>
  </si>
  <si>
    <t xml:space="preserve">Total transaction rows in data</t>
  </si>
  <si>
    <t xml:space="preserve">UK transaction rows</t>
  </si>
  <si>
    <t xml:space="preserve">Rows currently visible after filtering (SUBTOTAL)</t>
  </si>
  <si>
    <t xml:space="preserve">UK rows with a missing CustomerID</t>
  </si>
  <si>
    <t xml:space="preserve">Unique CustomerIDs who purchased from the UK</t>
  </si>
  <si>
    <t xml:space="preserve">How the unique count works: column K on the Data sheet marks the first row of each UK CustomerID with 1, so the sum is the number of distinct customers. (Blank CustomerIDs are not counted.)</t>
  </si>
  <si>
    <t xml:space="preserve">Task 2: Total sales (Quantity x UnitPrice) by country</t>
  </si>
  <si>
    <t xml:space="preserve">This table is the formula version of a PivotTable (Rows = Country, Values = Sum of LineTotal). Valid sales only (no cancellations).</t>
  </si>
  <si>
    <t xml:space="preserve">Total sales</t>
  </si>
  <si>
    <t xml:space="preserve">Rank</t>
  </si>
  <si>
    <t xml:space="preserve">Share of sales</t>
  </si>
  <si>
    <t xml:space="preserve">Total</t>
  </si>
  <si>
    <t xml:space="preserve">Top 3 countries by total sales</t>
  </si>
  <si>
    <t xml:space="preserve">1st</t>
  </si>
  <si>
    <t xml:space="preserve">2nd</t>
  </si>
  <si>
    <t xml:space="preserve">3rd</t>
  </si>
  <si>
    <t xml:space="preserve">Task 3: Order value per InvoiceNo (highlight above 10,000)</t>
  </si>
  <si>
    <t xml:space="preserve">Order value</t>
  </si>
  <si>
    <t xml:space="preserve">Flag</t>
  </si>
  <si>
    <t xml:space="preserve">Summary</t>
  </si>
  <si>
    <t xml:space="preserve">Number of invoices</t>
  </si>
  <si>
    <t xml:space="preserve">Average order value</t>
  </si>
  <si>
    <t xml:space="preserve">Median order value</t>
  </si>
  <si>
    <t xml:space="preserve">Largest order</t>
  </si>
  <si>
    <t xml:space="preserve">Invoices above 10,000</t>
  </si>
  <si>
    <t xml:space="preserve">Threshold</t>
  </si>
  <si>
    <t xml:space="preserve">Invoice list is static; in Excel you can build it with Remove Duplicates or =UNIQUE().</t>
  </si>
  <si>
    <t xml:space="preserve">Task 4: t-Test Two-Sample Assuming Unequal Variances (France vs Germany order values)</t>
  </si>
  <si>
    <t xml:space="preserve">t-Test: Two-Sample Assuming Unequal Variances</t>
  </si>
  <si>
    <t xml:space="preserve">Mean</t>
  </si>
  <si>
    <t xml:space="preserve">Variance</t>
  </si>
  <si>
    <t xml:space="preserve">Observations</t>
  </si>
  <si>
    <t xml:space="preserve">Hypothesized Mean Difference</t>
  </si>
  <si>
    <t xml:space="preserve">df</t>
  </si>
  <si>
    <t xml:space="preserve">t Stat</t>
  </si>
  <si>
    <t xml:space="preserve">P(T&lt;=t) two-tail</t>
  </si>
  <si>
    <t xml:space="preserve">Significance level (alpha)</t>
  </si>
  <si>
    <t xml:space="preserve">t Critical two-tail</t>
  </si>
  <si>
    <t xml:space="preserve">Decision</t>
  </si>
  <si>
    <t xml:space="preserve">Order values are copied from Task3_Order_Value (France and Germany invoices). Hypothesis: H0 means are equal; H1 means differ.</t>
  </si>
  <si>
    <t xml:space="preserve">Insights: key customer purchasing patterns</t>
  </si>
  <si>
    <t xml:space="preserve">Prompt given to the AI tool</t>
  </si>
  <si>
    <t xml:space="preserve">I analysed an e-commerce dataset (Online Retail). Facts: total sales {X}; top 3 countries by sales are {A}, {B}, {C} with shares {..}; average order value {..} and median {..}; {n} invoices above 10,000; sales peak in {month}; Sep-Nov accounts for {..}% of sales; France vs Germany order value t-test p = {..}. Write a short summary of the key purchasing patterns and business recommendations.</t>
  </si>
  <si>
    <t xml:space="preserve">AI summary (EXAMPLE written from the simulated stand-in data - replace the numbers with your real results)</t>
  </si>
  <si>
    <t xml:space="preserve">1. High-value countries: the United Kingdom produces about 66% of sales, followed by Germany (15%) and EIRE (6%). Sales are concentrated in a few markets, so protecting UK and Germany customers matters most, while smaller markets such as Australia and the Netherlands show room to grow.</t>
  </si>
  <si>
    <t xml:space="preserve">2. Order size: the average order value is about 436, but the median is only about 80. A few very large wholesale-style orders (3 invoices above 10,000, about 11% of all sales) pull the average up, so the average alone overstates a typical order.</t>
  </si>
  <si>
    <t xml:space="preserve">3. Market differences: Germany's average order (about 776) is much larger than France's (about 176), and a two-sample t-test shows this difference is statistically significant (p = 0.038 &lt; 0.05). Germany looks like a bulk-buying market, France like a small-basket market.</t>
  </si>
  <si>
    <t xml:space="preserve">4. Seasonality: sales are about 27% in September to November against 25% for an even spread, pointing to a pre-Christmas build-up. Stock and marketing for gift items should start in early autumn.</t>
  </si>
  <si>
    <t xml:space="preserve">5. Recommendation: offer volume discounts and dedicated account management to bulk buyers, run basket-building offers (bundles, free-shipping thresholds) for low-value markets, and prepare inventory for the autumn peak.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</si>
</sst>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\ hh:mm"/>
    <numFmt numFmtId="166" formatCode="#,##0.00"/>
    <numFmt numFmtId="167" formatCode="#,##0"/>
    <numFmt numFmtId="168" formatCode="General"/>
    <numFmt numFmtId="169" formatCode="0.0%"/>
    <numFmt numFmtId="170" formatCode="0"/>
    <numFmt numFmtId="171" formatCode="0.0000"/>
    <numFmt numFmtId="172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</font>
      <fill>
        <patternFill>
          <bgColor rgb="FFFFEB8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4</v>
      </c>
      <c r="E2" s="2" t="n">
        <v>40513.3548611111</v>
      </c>
      <c r="F2" s="0" t="n">
        <v>3.33</v>
      </c>
      <c r="G2" s="0" t="n">
        <v>17203</v>
      </c>
      <c r="H2" s="3" t="s">
        <v>14</v>
      </c>
      <c r="I2" s="4" t="n">
        <f aca="false">D2*F2</f>
        <v>13.32</v>
      </c>
      <c r="J2" s="3" t="n">
        <f aca="false">IF(AND(LEFT(A2,1)&lt;&gt;"C",D2&gt;0,F2&gt;0),1,0)</f>
        <v>1</v>
      </c>
      <c r="K2" s="3" t="n">
        <f aca="false">IF(AND(H2="United Kingdom",G2&lt;&gt;"",COUNTIFS($G$2:G2,G2,$H$2:H2,"United Kingdom")=1),1,0)</f>
        <v>1</v>
      </c>
    </row>
    <row r="3" customFormat="false" ht="15" hidden="false" customHeight="false" outlineLevel="0" collapsed="false">
      <c r="A3" s="0" t="s">
        <v>11</v>
      </c>
      <c r="B3" s="0" t="s">
        <v>15</v>
      </c>
      <c r="C3" s="0" t="s">
        <v>16</v>
      </c>
      <c r="D3" s="0" t="n">
        <v>2</v>
      </c>
      <c r="E3" s="2" t="n">
        <v>40513.3548611111</v>
      </c>
      <c r="F3" s="0" t="n">
        <v>3.18</v>
      </c>
      <c r="G3" s="0" t="n">
        <v>17203</v>
      </c>
      <c r="H3" s="3" t="s">
        <v>14</v>
      </c>
      <c r="I3" s="4" t="n">
        <f aca="false">D3*F3</f>
        <v>6.36</v>
      </c>
      <c r="J3" s="3" t="n">
        <f aca="false">IF(AND(LEFT(A3,1)&lt;&gt;"C",D3&gt;0,F3&gt;0),1,0)</f>
        <v>1</v>
      </c>
      <c r="K3" s="3" t="n">
        <f aca="false">IF(AND(H3="United Kingdom",G3&lt;&gt;"",COUNTIFS($G$2:G3,G3,$H$2:H3,"United Kingdom")=1),1,0)</f>
        <v>0</v>
      </c>
    </row>
    <row r="4" customFormat="false" ht="15" hidden="false" customHeight="false" outlineLevel="0" collapsed="false">
      <c r="A4" s="0" t="s">
        <v>11</v>
      </c>
      <c r="B4" s="0" t="s">
        <v>17</v>
      </c>
      <c r="C4" s="0" t="s">
        <v>18</v>
      </c>
      <c r="D4" s="0" t="n">
        <v>8</v>
      </c>
      <c r="E4" s="2" t="n">
        <v>40513.3548611111</v>
      </c>
      <c r="F4" s="0" t="n">
        <v>1.92</v>
      </c>
      <c r="G4" s="0" t="n">
        <v>17203</v>
      </c>
      <c r="H4" s="3" t="s">
        <v>14</v>
      </c>
      <c r="I4" s="4" t="n">
        <f aca="false">D4*F4</f>
        <v>15.36</v>
      </c>
      <c r="J4" s="3" t="n">
        <f aca="false">IF(AND(LEFT(A4,1)&lt;&gt;"C",D4&gt;0,F4&gt;0),1,0)</f>
        <v>1</v>
      </c>
      <c r="K4" s="3" t="n">
        <f aca="false">IF(AND(H4="United Kingdom",G4&lt;&gt;"",COUNTIFS($G$2:G4,G4,$H$2:H4,"United Kingdom")=1),1,0)</f>
        <v>0</v>
      </c>
    </row>
    <row r="5" customFormat="false" ht="15" hidden="false" customHeight="false" outlineLevel="0" collapsed="false">
      <c r="A5" s="0" t="s">
        <v>19</v>
      </c>
      <c r="B5" s="0" t="s">
        <v>17</v>
      </c>
      <c r="C5" s="0" t="s">
        <v>18</v>
      </c>
      <c r="D5" s="0" t="n">
        <v>6</v>
      </c>
      <c r="E5" s="2" t="n">
        <v>40513.6909722222</v>
      </c>
      <c r="F5" s="0" t="n">
        <v>1.92</v>
      </c>
      <c r="H5" s="3" t="s">
        <v>14</v>
      </c>
      <c r="I5" s="4" t="n">
        <f aca="false">D5*F5</f>
        <v>11.52</v>
      </c>
      <c r="J5" s="3" t="n">
        <f aca="false">IF(AND(LEFT(A5,1)&lt;&gt;"C",D5&gt;0,F5&gt;0),1,0)</f>
        <v>1</v>
      </c>
      <c r="K5" s="3" t="n">
        <f aca="false">IF(AND(H5="United Kingdom",G5&lt;&gt;"",COUNTIFS($G$2:G5,G5,$H$2:H5,"United Kingdom")=1),1,0)</f>
        <v>0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21</v>
      </c>
      <c r="D6" s="0" t="n">
        <v>16</v>
      </c>
      <c r="E6" s="2" t="n">
        <v>40513.6909722222</v>
      </c>
      <c r="F6" s="0" t="n">
        <v>4.24</v>
      </c>
      <c r="H6" s="3" t="s">
        <v>14</v>
      </c>
      <c r="I6" s="4" t="n">
        <f aca="false">D6*F6</f>
        <v>67.84</v>
      </c>
      <c r="J6" s="3" t="n">
        <f aca="false">IF(AND(LEFT(A6,1)&lt;&gt;"C",D6&gt;0,F6&gt;0),1,0)</f>
        <v>1</v>
      </c>
      <c r="K6" s="3" t="n">
        <f aca="false">IF(AND(H6="United Kingdom",G6&lt;&gt;"",COUNTIFS($G$2:G6,G6,$H$2:H6,"United Kingdom")=1),1,0)</f>
        <v>0</v>
      </c>
    </row>
    <row r="7" customFormat="false" ht="15" hidden="false" customHeight="false" outlineLevel="0" collapsed="false">
      <c r="A7" s="0" t="s">
        <v>19</v>
      </c>
      <c r="B7" s="0" t="s">
        <v>22</v>
      </c>
      <c r="C7" s="0" t="s">
        <v>23</v>
      </c>
      <c r="D7" s="0" t="n">
        <v>4</v>
      </c>
      <c r="E7" s="2" t="n">
        <v>40513.6909722222</v>
      </c>
      <c r="F7" s="0" t="n">
        <v>3.18</v>
      </c>
      <c r="H7" s="3" t="s">
        <v>14</v>
      </c>
      <c r="I7" s="4" t="n">
        <f aca="false">D7*F7</f>
        <v>12.72</v>
      </c>
      <c r="J7" s="3" t="n">
        <f aca="false">IF(AND(LEFT(A7,1)&lt;&gt;"C",D7&gt;0,F7&gt;0),1,0)</f>
        <v>1</v>
      </c>
      <c r="K7" s="3" t="n">
        <f aca="false">IF(AND(H7="United Kingdom",G7&lt;&gt;"",COUNTIFS($G$2:G7,G7,$H$2:H7,"United Kingdom")=1),1,0)</f>
        <v>0</v>
      </c>
    </row>
    <row r="8" customFormat="false" ht="15" hidden="false" customHeight="false" outlineLevel="0" collapsed="false">
      <c r="A8" s="0" t="s">
        <v>24</v>
      </c>
      <c r="B8" s="0" t="s">
        <v>17</v>
      </c>
      <c r="C8" s="0" t="s">
        <v>18</v>
      </c>
      <c r="D8" s="0" t="n">
        <v>6</v>
      </c>
      <c r="E8" s="2" t="n">
        <v>40514.4361111111</v>
      </c>
      <c r="F8" s="0" t="n">
        <v>1.92</v>
      </c>
      <c r="H8" s="3" t="s">
        <v>14</v>
      </c>
      <c r="I8" s="4" t="n">
        <f aca="false">D8*F8</f>
        <v>11.52</v>
      </c>
      <c r="J8" s="3" t="n">
        <f aca="false">IF(AND(LEFT(A8,1)&lt;&gt;"C",D8&gt;0,F8&gt;0),1,0)</f>
        <v>1</v>
      </c>
      <c r="K8" s="3" t="n">
        <f aca="false">IF(AND(H8="United Kingdom",G8&lt;&gt;"",COUNTIFS($G$2:G8,G8,$H$2:H8,"United Kingdom")=1),1,0)</f>
        <v>0</v>
      </c>
    </row>
    <row r="9" customFormat="false" ht="15" hidden="false" customHeight="false" outlineLevel="0" collapsed="false">
      <c r="A9" s="0" t="s">
        <v>24</v>
      </c>
      <c r="B9" s="0" t="s">
        <v>25</v>
      </c>
      <c r="C9" s="0" t="s">
        <v>26</v>
      </c>
      <c r="D9" s="0" t="n">
        <v>6</v>
      </c>
      <c r="E9" s="2" t="n">
        <v>40514.4361111111</v>
      </c>
      <c r="F9" s="0" t="n">
        <v>2.21</v>
      </c>
      <c r="H9" s="3" t="s">
        <v>14</v>
      </c>
      <c r="I9" s="4" t="n">
        <f aca="false">D9*F9</f>
        <v>13.26</v>
      </c>
      <c r="J9" s="3" t="n">
        <f aca="false">IF(AND(LEFT(A9,1)&lt;&gt;"C",D9&gt;0,F9&gt;0),1,0)</f>
        <v>1</v>
      </c>
      <c r="K9" s="3" t="n">
        <f aca="false">IF(AND(H9="United Kingdom",G9&lt;&gt;"",COUNTIFS($G$2:G9,G9,$H$2:H9,"United Kingdom")=1),1,0)</f>
        <v>0</v>
      </c>
    </row>
    <row r="10" customFormat="false" ht="15" hidden="false" customHeight="false" outlineLevel="0" collapsed="false">
      <c r="A10" s="0" t="s">
        <v>24</v>
      </c>
      <c r="B10" s="0" t="s">
        <v>27</v>
      </c>
      <c r="C10" s="0" t="s">
        <v>28</v>
      </c>
      <c r="D10" s="0" t="n">
        <v>24</v>
      </c>
      <c r="E10" s="2" t="n">
        <v>40514.4361111111</v>
      </c>
      <c r="F10" s="0" t="n">
        <v>4.55</v>
      </c>
      <c r="H10" s="3" t="s">
        <v>14</v>
      </c>
      <c r="I10" s="4" t="n">
        <f aca="false">D10*F10</f>
        <v>109.2</v>
      </c>
      <c r="J10" s="3" t="n">
        <f aca="false">IF(AND(LEFT(A10,1)&lt;&gt;"C",D10&gt;0,F10&gt;0),1,0)</f>
        <v>1</v>
      </c>
      <c r="K10" s="3" t="n">
        <f aca="false">IF(AND(H10="United Kingdom",G10&lt;&gt;"",COUNTIFS($G$2:G10,G10,$H$2:H10,"United Kingdom")=1),1,0)</f>
        <v>0</v>
      </c>
    </row>
    <row r="11" customFormat="false" ht="15" hidden="false" customHeight="false" outlineLevel="0" collapsed="false">
      <c r="A11" s="0" t="s">
        <v>24</v>
      </c>
      <c r="B11" s="0" t="s">
        <v>29</v>
      </c>
      <c r="C11" s="0" t="s">
        <v>30</v>
      </c>
      <c r="D11" s="0" t="n">
        <v>1</v>
      </c>
      <c r="E11" s="2" t="n">
        <v>40514.4361111111</v>
      </c>
      <c r="F11" s="0" t="n">
        <v>5.79</v>
      </c>
      <c r="H11" s="3" t="s">
        <v>14</v>
      </c>
      <c r="I11" s="4" t="n">
        <f aca="false">D11*F11</f>
        <v>5.79</v>
      </c>
      <c r="J11" s="3" t="n">
        <f aca="false">IF(AND(LEFT(A11,1)&lt;&gt;"C",D11&gt;0,F11&gt;0),1,0)</f>
        <v>1</v>
      </c>
      <c r="K11" s="3" t="n">
        <f aca="false">IF(AND(H11="United Kingdom",G11&lt;&gt;"",COUNTIFS($G$2:G11,G11,$H$2:H11,"United Kingdom")=1),1,0)</f>
        <v>0</v>
      </c>
    </row>
    <row r="12" customFormat="false" ht="15" hidden="false" customHeight="false" outlineLevel="0" collapsed="false">
      <c r="A12" s="0" t="s">
        <v>24</v>
      </c>
      <c r="B12" s="0" t="s">
        <v>22</v>
      </c>
      <c r="C12" s="0" t="s">
        <v>23</v>
      </c>
      <c r="D12" s="0" t="n">
        <v>8</v>
      </c>
      <c r="E12" s="2" t="n">
        <v>40514.4361111111</v>
      </c>
      <c r="F12" s="0" t="n">
        <v>3.18</v>
      </c>
      <c r="H12" s="3" t="s">
        <v>14</v>
      </c>
      <c r="I12" s="4" t="n">
        <f aca="false">D12*F12</f>
        <v>25.44</v>
      </c>
      <c r="J12" s="3" t="n">
        <f aca="false">IF(AND(LEFT(A12,1)&lt;&gt;"C",D12&gt;0,F12&gt;0),1,0)</f>
        <v>1</v>
      </c>
      <c r="K12" s="3" t="n">
        <f aca="false">IF(AND(H12="United Kingdom",G12&lt;&gt;"",COUNTIFS($G$2:G12,G12,$H$2:H12,"United Kingdom")=1),1,0)</f>
        <v>0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33</v>
      </c>
      <c r="D13" s="0" t="n">
        <v>4</v>
      </c>
      <c r="E13" s="2" t="n">
        <v>40515.5375</v>
      </c>
      <c r="F13" s="0" t="n">
        <v>1.19</v>
      </c>
      <c r="G13" s="0" t="n">
        <v>16661</v>
      </c>
      <c r="H13" s="3" t="s">
        <v>14</v>
      </c>
      <c r="I13" s="4" t="n">
        <f aca="false">D13*F13</f>
        <v>4.76</v>
      </c>
      <c r="J13" s="3" t="n">
        <f aca="false">IF(AND(LEFT(A13,1)&lt;&gt;"C",D13&gt;0,F13&gt;0),1,0)</f>
        <v>1</v>
      </c>
      <c r="K13" s="3" t="n">
        <f aca="false">IF(AND(H13="United Kingdom",G13&lt;&gt;"",COUNTIFS($G$2:G13,G13,$H$2:H13,"United Kingdom")=1),1,0)</f>
        <v>1</v>
      </c>
    </row>
    <row r="14" customFormat="false" ht="15" hidden="false" customHeight="false" outlineLevel="0" collapsed="false">
      <c r="A14" s="0" t="s">
        <v>31</v>
      </c>
      <c r="B14" s="0" t="s">
        <v>34</v>
      </c>
      <c r="C14" s="0" t="s">
        <v>35</v>
      </c>
      <c r="D14" s="0" t="n">
        <v>2</v>
      </c>
      <c r="E14" s="2" t="n">
        <v>40515.5375</v>
      </c>
      <c r="F14" s="0" t="n">
        <v>2.38</v>
      </c>
      <c r="G14" s="0" t="n">
        <v>16661</v>
      </c>
      <c r="H14" s="3" t="s">
        <v>14</v>
      </c>
      <c r="I14" s="4" t="n">
        <f aca="false">D14*F14</f>
        <v>4.76</v>
      </c>
      <c r="J14" s="3" t="n">
        <f aca="false">IF(AND(LEFT(A14,1)&lt;&gt;"C",D14&gt;0,F14&gt;0),1,0)</f>
        <v>1</v>
      </c>
      <c r="K14" s="3" t="n">
        <f aca="false">IF(AND(H14="United Kingdom",G14&lt;&gt;"",COUNTIFS($G$2:G14,G14,$H$2:H14,"United Kingdom")=1),1,0)</f>
        <v>0</v>
      </c>
    </row>
    <row r="15" customFormat="false" ht="15" hidden="false" customHeight="false" outlineLevel="0" collapsed="false">
      <c r="A15" s="0" t="s">
        <v>36</v>
      </c>
      <c r="B15" s="0" t="s">
        <v>17</v>
      </c>
      <c r="C15" s="0" t="s">
        <v>18</v>
      </c>
      <c r="D15" s="0" t="n">
        <v>8</v>
      </c>
      <c r="E15" s="2" t="n">
        <v>40515.6347222222</v>
      </c>
      <c r="F15" s="0" t="n">
        <v>1.92</v>
      </c>
      <c r="G15" s="0" t="n">
        <v>13924</v>
      </c>
      <c r="H15" s="3" t="s">
        <v>14</v>
      </c>
      <c r="I15" s="4" t="n">
        <f aca="false">D15*F15</f>
        <v>15.36</v>
      </c>
      <c r="J15" s="3" t="n">
        <f aca="false">IF(AND(LEFT(A15,1)&lt;&gt;"C",D15&gt;0,F15&gt;0),1,0)</f>
        <v>1</v>
      </c>
      <c r="K15" s="3" t="n">
        <f aca="false">IF(AND(H15="United Kingdom",G15&lt;&gt;"",COUNTIFS($G$2:G15,G15,$H$2:H15,"United Kingdom")=1),1,0)</f>
        <v>1</v>
      </c>
    </row>
    <row r="16" customFormat="false" ht="15" hidden="false" customHeight="false" outlineLevel="0" collapsed="false">
      <c r="A16" s="0" t="s">
        <v>36</v>
      </c>
      <c r="B16" s="0" t="s">
        <v>37</v>
      </c>
      <c r="C16" s="0" t="s">
        <v>38</v>
      </c>
      <c r="D16" s="0" t="n">
        <v>4</v>
      </c>
      <c r="E16" s="2" t="n">
        <v>40515.6347222222</v>
      </c>
      <c r="F16" s="0" t="n">
        <v>1.82</v>
      </c>
      <c r="G16" s="0" t="n">
        <v>13924</v>
      </c>
      <c r="H16" s="3" t="s">
        <v>14</v>
      </c>
      <c r="I16" s="4" t="n">
        <f aca="false">D16*F16</f>
        <v>7.28</v>
      </c>
      <c r="J16" s="3" t="n">
        <f aca="false">IF(AND(LEFT(A16,1)&lt;&gt;"C",D16&gt;0,F16&gt;0),1,0)</f>
        <v>1</v>
      </c>
      <c r="K16" s="3" t="n">
        <f aca="false">IF(AND(H16="United Kingdom",G16&lt;&gt;"",COUNTIFS($G$2:G16,G16,$H$2:H16,"United Kingdom")=1),1,0)</f>
        <v>0</v>
      </c>
    </row>
    <row r="17" customFormat="false" ht="15" hidden="false" customHeight="false" outlineLevel="0" collapsed="false">
      <c r="A17" s="0" t="s">
        <v>36</v>
      </c>
      <c r="B17" s="0" t="s">
        <v>15</v>
      </c>
      <c r="C17" s="0" t="s">
        <v>16</v>
      </c>
      <c r="D17" s="0" t="n">
        <v>1</v>
      </c>
      <c r="E17" s="2" t="n">
        <v>40515.6347222222</v>
      </c>
      <c r="F17" s="0" t="n">
        <v>3.18</v>
      </c>
      <c r="G17" s="0" t="n">
        <v>13924</v>
      </c>
      <c r="H17" s="3" t="s">
        <v>14</v>
      </c>
      <c r="I17" s="4" t="n">
        <f aca="false">D17*F17</f>
        <v>3.18</v>
      </c>
      <c r="J17" s="3" t="n">
        <f aca="false">IF(AND(LEFT(A17,1)&lt;&gt;"C",D17&gt;0,F17&gt;0),1,0)</f>
        <v>1</v>
      </c>
      <c r="K17" s="3" t="n">
        <f aca="false">IF(AND(H17="United Kingdom",G17&lt;&gt;"",COUNTIFS($G$2:G17,G17,$H$2:H17,"United Kingdom")=1),1,0)</f>
        <v>0</v>
      </c>
    </row>
    <row r="18" customFormat="false" ht="15" hidden="false" customHeight="false" outlineLevel="0" collapsed="false">
      <c r="A18" s="0" t="s">
        <v>36</v>
      </c>
      <c r="B18" s="0" t="s">
        <v>39</v>
      </c>
      <c r="C18" s="0" t="s">
        <v>40</v>
      </c>
      <c r="D18" s="0" t="n">
        <v>3</v>
      </c>
      <c r="E18" s="2" t="n">
        <v>40515.6347222222</v>
      </c>
      <c r="F18" s="0" t="n">
        <v>2.58</v>
      </c>
      <c r="G18" s="0" t="n">
        <v>13924</v>
      </c>
      <c r="H18" s="3" t="s">
        <v>14</v>
      </c>
      <c r="I18" s="4" t="n">
        <f aca="false">D18*F18</f>
        <v>7.74</v>
      </c>
      <c r="J18" s="3" t="n">
        <f aca="false">IF(AND(LEFT(A18,1)&lt;&gt;"C",D18&gt;0,F18&gt;0),1,0)</f>
        <v>1</v>
      </c>
      <c r="K18" s="3" t="n">
        <f aca="false">IF(AND(H18="United Kingdom",G18&lt;&gt;"",COUNTIFS($G$2:G18,G18,$H$2:H18,"United Kingdom")=1),1,0)</f>
        <v>0</v>
      </c>
    </row>
    <row r="19" customFormat="false" ht="15" hidden="false" customHeight="false" outlineLevel="0" collapsed="false">
      <c r="A19" s="0" t="s">
        <v>36</v>
      </c>
      <c r="B19" s="0" t="s">
        <v>41</v>
      </c>
      <c r="C19" s="0" t="s">
        <v>42</v>
      </c>
      <c r="D19" s="0" t="n">
        <v>1</v>
      </c>
      <c r="E19" s="2" t="n">
        <v>40515.6347222222</v>
      </c>
      <c r="F19" s="0" t="n">
        <v>3.28</v>
      </c>
      <c r="G19" s="0" t="n">
        <v>13924</v>
      </c>
      <c r="H19" s="3" t="s">
        <v>14</v>
      </c>
      <c r="I19" s="4" t="n">
        <f aca="false">D19*F19</f>
        <v>3.28</v>
      </c>
      <c r="J19" s="3" t="n">
        <f aca="false">IF(AND(LEFT(A19,1)&lt;&gt;"C",D19&gt;0,F19&gt;0),1,0)</f>
        <v>1</v>
      </c>
      <c r="K19" s="3" t="n">
        <f aca="false">IF(AND(H19="United Kingdom",G19&lt;&gt;"",COUNTIFS($G$2:G19,G19,$H$2:H19,"United Kingdom")=1),1,0)</f>
        <v>0</v>
      </c>
    </row>
    <row r="20" customFormat="false" ht="15" hidden="false" customHeight="false" outlineLevel="0" collapsed="false">
      <c r="A20" s="0" t="s">
        <v>36</v>
      </c>
      <c r="B20" s="0" t="s">
        <v>43</v>
      </c>
      <c r="C20" s="0" t="s">
        <v>44</v>
      </c>
      <c r="D20" s="0" t="n">
        <v>2</v>
      </c>
      <c r="E20" s="2" t="n">
        <v>40515.6347222222</v>
      </c>
      <c r="F20" s="0" t="n">
        <v>1.35</v>
      </c>
      <c r="G20" s="0" t="n">
        <v>13924</v>
      </c>
      <c r="H20" s="3" t="s">
        <v>14</v>
      </c>
      <c r="I20" s="4" t="n">
        <f aca="false">D20*F20</f>
        <v>2.7</v>
      </c>
      <c r="J20" s="3" t="n">
        <f aca="false">IF(AND(LEFT(A20,1)&lt;&gt;"C",D20&gt;0,F20&gt;0),1,0)</f>
        <v>1</v>
      </c>
      <c r="K20" s="3" t="n">
        <f aca="false">IF(AND(H20="United Kingdom",G20&lt;&gt;"",COUNTIFS($G$2:G20,G20,$H$2:H20,"United Kingdom")=1),1,0)</f>
        <v>0</v>
      </c>
    </row>
    <row r="21" customFormat="false" ht="15" hidden="false" customHeight="false" outlineLevel="0" collapsed="false">
      <c r="A21" s="0" t="s">
        <v>36</v>
      </c>
      <c r="B21" s="0" t="s">
        <v>45</v>
      </c>
      <c r="C21" s="0" t="s">
        <v>46</v>
      </c>
      <c r="D21" s="0" t="n">
        <v>1</v>
      </c>
      <c r="E21" s="2" t="n">
        <v>40515.6347222222</v>
      </c>
      <c r="F21" s="0" t="n">
        <v>4.55</v>
      </c>
      <c r="G21" s="0" t="n">
        <v>13924</v>
      </c>
      <c r="H21" s="3" t="s">
        <v>14</v>
      </c>
      <c r="I21" s="4" t="n">
        <f aca="false">D21*F21</f>
        <v>4.55</v>
      </c>
      <c r="J21" s="3" t="n">
        <f aca="false">IF(AND(LEFT(A21,1)&lt;&gt;"C",D21&gt;0,F21&gt;0),1,0)</f>
        <v>1</v>
      </c>
      <c r="K21" s="3" t="n">
        <f aca="false">IF(AND(H21="United Kingdom",G21&lt;&gt;"",COUNTIFS($G$2:G21,G21,$H$2:H21,"United Kingdom")=1),1,0)</f>
        <v>0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0" t="s">
        <v>49</v>
      </c>
      <c r="D22" s="0" t="n">
        <v>16</v>
      </c>
      <c r="E22" s="2" t="n">
        <v>40515.8034722222</v>
      </c>
      <c r="F22" s="0" t="n">
        <v>1.35</v>
      </c>
      <c r="G22" s="0" t="n">
        <v>14264</v>
      </c>
      <c r="H22" s="3" t="s">
        <v>14</v>
      </c>
      <c r="I22" s="4" t="n">
        <f aca="false">D22*F22</f>
        <v>21.6</v>
      </c>
      <c r="J22" s="3" t="n">
        <f aca="false">IF(AND(LEFT(A22,1)&lt;&gt;"C",D22&gt;0,F22&gt;0),1,0)</f>
        <v>1</v>
      </c>
      <c r="K22" s="3" t="n">
        <f aca="false">IF(AND(H22="United Kingdom",G22&lt;&gt;"",COUNTIFS($G$2:G22,G22,$H$2:H22,"United Kingdom")=1),1,0)</f>
        <v>1</v>
      </c>
    </row>
    <row r="23" customFormat="false" ht="15" hidden="false" customHeight="false" outlineLevel="0" collapsed="false">
      <c r="A23" s="0" t="s">
        <v>47</v>
      </c>
      <c r="B23" s="0" t="s">
        <v>50</v>
      </c>
      <c r="C23" s="0" t="s">
        <v>51</v>
      </c>
      <c r="D23" s="0" t="n">
        <v>1</v>
      </c>
      <c r="E23" s="2" t="n">
        <v>40515.8034722222</v>
      </c>
      <c r="F23" s="0" t="n">
        <v>5.41</v>
      </c>
      <c r="G23" s="0" t="n">
        <v>14264</v>
      </c>
      <c r="H23" s="3" t="s">
        <v>14</v>
      </c>
      <c r="I23" s="4" t="n">
        <f aca="false">D23*F23</f>
        <v>5.41</v>
      </c>
      <c r="J23" s="3" t="n">
        <f aca="false">IF(AND(LEFT(A23,1)&lt;&gt;"C",D23&gt;0,F23&gt;0),1,0)</f>
        <v>1</v>
      </c>
      <c r="K23" s="3" t="n">
        <f aca="false">IF(AND(H23="United Kingdom",G23&lt;&gt;"",COUNTIFS($G$2:G23,G23,$H$2:H23,"United Kingdom")=1),1,0)</f>
        <v>0</v>
      </c>
    </row>
    <row r="24" customFormat="false" ht="15" hidden="false" customHeight="false" outlineLevel="0" collapsed="false">
      <c r="A24" s="0" t="s">
        <v>47</v>
      </c>
      <c r="B24" s="0" t="s">
        <v>52</v>
      </c>
      <c r="C24" s="0" t="s">
        <v>53</v>
      </c>
      <c r="D24" s="0" t="n">
        <v>8</v>
      </c>
      <c r="E24" s="2" t="n">
        <v>40515.8034722222</v>
      </c>
      <c r="F24" s="0" t="n">
        <v>4.16</v>
      </c>
      <c r="G24" s="0" t="n">
        <v>14264</v>
      </c>
      <c r="H24" s="3" t="s">
        <v>14</v>
      </c>
      <c r="I24" s="4" t="n">
        <f aca="false">D24*F24</f>
        <v>33.28</v>
      </c>
      <c r="J24" s="3" t="n">
        <f aca="false">IF(AND(LEFT(A24,1)&lt;&gt;"C",D24&gt;0,F24&gt;0),1,0)</f>
        <v>1</v>
      </c>
      <c r="K24" s="3" t="n">
        <f aca="false">IF(AND(H24="United Kingdom",G24&lt;&gt;"",COUNTIFS($G$2:G24,G24,$H$2:H24,"United Kingdom")=1),1,0)</f>
        <v>0</v>
      </c>
    </row>
    <row r="25" customFormat="false" ht="15" hidden="false" customHeight="false" outlineLevel="0" collapsed="false">
      <c r="A25" s="0" t="s">
        <v>47</v>
      </c>
      <c r="B25" s="0" t="s">
        <v>54</v>
      </c>
      <c r="C25" s="0" t="s">
        <v>55</v>
      </c>
      <c r="D25" s="0" t="n">
        <v>3</v>
      </c>
      <c r="E25" s="2" t="n">
        <v>40515.8034722222</v>
      </c>
      <c r="F25" s="0" t="n">
        <v>0.99</v>
      </c>
      <c r="G25" s="0" t="n">
        <v>14264</v>
      </c>
      <c r="H25" s="3" t="s">
        <v>14</v>
      </c>
      <c r="I25" s="4" t="n">
        <f aca="false">D25*F25</f>
        <v>2.97</v>
      </c>
      <c r="J25" s="3" t="n">
        <f aca="false">IF(AND(LEFT(A25,1)&lt;&gt;"C",D25&gt;0,F25&gt;0),1,0)</f>
        <v>1</v>
      </c>
      <c r="K25" s="3" t="n">
        <f aca="false">IF(AND(H25="United Kingdom",G25&lt;&gt;"",COUNTIFS($G$2:G25,G25,$H$2:H25,"United Kingdom")=1),1,0)</f>
        <v>0</v>
      </c>
    </row>
    <row r="26" customFormat="false" ht="15" hidden="false" customHeight="false" outlineLevel="0" collapsed="false">
      <c r="A26" s="0" t="s">
        <v>56</v>
      </c>
      <c r="B26" s="0" t="s">
        <v>37</v>
      </c>
      <c r="C26" s="0" t="s">
        <v>38</v>
      </c>
      <c r="D26" s="0" t="n">
        <v>4</v>
      </c>
      <c r="E26" s="2" t="n">
        <v>40516.3930555556</v>
      </c>
      <c r="F26" s="0" t="n">
        <v>1.82</v>
      </c>
      <c r="G26" s="0" t="n">
        <v>13034</v>
      </c>
      <c r="H26" s="3" t="s">
        <v>57</v>
      </c>
      <c r="I26" s="4" t="n">
        <f aca="false">D26*F26</f>
        <v>7.28</v>
      </c>
      <c r="J26" s="3" t="n">
        <f aca="false">IF(AND(LEFT(A26,1)&lt;&gt;"C",D26&gt;0,F26&gt;0),1,0)</f>
        <v>1</v>
      </c>
      <c r="K26" s="3" t="n">
        <f aca="false">IF(AND(H26="United Kingdom",G26&lt;&gt;"",COUNTIFS($G$2:G26,G26,$H$2:H26,"United Kingdom")=1),1,0)</f>
        <v>0</v>
      </c>
    </row>
    <row r="27" customFormat="false" ht="15" hidden="false" customHeight="false" outlineLevel="0" collapsed="false">
      <c r="A27" s="0" t="s">
        <v>56</v>
      </c>
      <c r="B27" s="0" t="s">
        <v>58</v>
      </c>
      <c r="C27" s="0" t="s">
        <v>59</v>
      </c>
      <c r="D27" s="0" t="n">
        <v>19</v>
      </c>
      <c r="E27" s="2" t="n">
        <v>40516.3930555556</v>
      </c>
      <c r="F27" s="0" t="n">
        <v>2.16</v>
      </c>
      <c r="G27" s="0" t="n">
        <v>13034</v>
      </c>
      <c r="H27" s="3" t="s">
        <v>57</v>
      </c>
      <c r="I27" s="4" t="n">
        <f aca="false">D27*F27</f>
        <v>41.04</v>
      </c>
      <c r="J27" s="3" t="n">
        <f aca="false">IF(AND(LEFT(A27,1)&lt;&gt;"C",D27&gt;0,F27&gt;0),1,0)</f>
        <v>1</v>
      </c>
      <c r="K27" s="3" t="n">
        <f aca="false">IF(AND(H27="United Kingdom",G27&lt;&gt;"",COUNTIFS($G$2:G27,G27,$H$2:H27,"United Kingdom")=1),1,0)</f>
        <v>0</v>
      </c>
    </row>
    <row r="28" customFormat="false" ht="15" hidden="false" customHeight="false" outlineLevel="0" collapsed="false">
      <c r="A28" s="0" t="s">
        <v>56</v>
      </c>
      <c r="B28" s="0" t="s">
        <v>60</v>
      </c>
      <c r="C28" s="0" t="s">
        <v>61</v>
      </c>
      <c r="D28" s="0" t="n">
        <v>1</v>
      </c>
      <c r="E28" s="2" t="n">
        <v>40516.3930555556</v>
      </c>
      <c r="F28" s="0" t="n">
        <v>0.63</v>
      </c>
      <c r="G28" s="0" t="n">
        <v>13034</v>
      </c>
      <c r="H28" s="3" t="s">
        <v>57</v>
      </c>
      <c r="I28" s="4" t="n">
        <f aca="false">D28*F28</f>
        <v>0.63</v>
      </c>
      <c r="J28" s="3" t="n">
        <f aca="false">IF(AND(LEFT(A28,1)&lt;&gt;"C",D28&gt;0,F28&gt;0),1,0)</f>
        <v>1</v>
      </c>
      <c r="K28" s="3" t="n">
        <f aca="false">IF(AND(H28="United Kingdom",G28&lt;&gt;"",COUNTIFS($G$2:G28,G28,$H$2:H28,"United Kingdom")=1),1,0)</f>
        <v>0</v>
      </c>
    </row>
    <row r="29" customFormat="false" ht="15" hidden="false" customHeight="false" outlineLevel="0" collapsed="false">
      <c r="A29" s="0" t="s">
        <v>56</v>
      </c>
      <c r="B29" s="0" t="s">
        <v>43</v>
      </c>
      <c r="C29" s="0" t="s">
        <v>44</v>
      </c>
      <c r="D29" s="0" t="n">
        <v>19</v>
      </c>
      <c r="E29" s="2" t="n">
        <v>40516.3930555556</v>
      </c>
      <c r="F29" s="0" t="n">
        <v>1.35</v>
      </c>
      <c r="G29" s="0" t="n">
        <v>13034</v>
      </c>
      <c r="H29" s="3" t="s">
        <v>57</v>
      </c>
      <c r="I29" s="4" t="n">
        <f aca="false">D29*F29</f>
        <v>25.65</v>
      </c>
      <c r="J29" s="3" t="n">
        <f aca="false">IF(AND(LEFT(A29,1)&lt;&gt;"C",D29&gt;0,F29&gt;0),1,0)</f>
        <v>1</v>
      </c>
      <c r="K29" s="3" t="n">
        <f aca="false">IF(AND(H29="United Kingdom",G29&lt;&gt;"",COUNTIFS($G$2:G29,G29,$H$2:H29,"United Kingdom")=1),1,0)</f>
        <v>0</v>
      </c>
    </row>
    <row r="30" customFormat="false" ht="15" hidden="false" customHeight="false" outlineLevel="0" collapsed="false">
      <c r="A30" s="0" t="s">
        <v>56</v>
      </c>
      <c r="B30" s="0" t="s">
        <v>52</v>
      </c>
      <c r="C30" s="0" t="s">
        <v>53</v>
      </c>
      <c r="D30" s="0" t="n">
        <v>25</v>
      </c>
      <c r="E30" s="2" t="n">
        <v>40516.3930555556</v>
      </c>
      <c r="F30" s="0" t="n">
        <v>4.16</v>
      </c>
      <c r="G30" s="0" t="n">
        <v>13034</v>
      </c>
      <c r="H30" s="3" t="s">
        <v>57</v>
      </c>
      <c r="I30" s="4" t="n">
        <f aca="false">D30*F30</f>
        <v>104</v>
      </c>
      <c r="J30" s="3" t="n">
        <f aca="false">IF(AND(LEFT(A30,1)&lt;&gt;"C",D30&gt;0,F30&gt;0),1,0)</f>
        <v>1</v>
      </c>
      <c r="K30" s="3" t="n">
        <f aca="false">IF(AND(H30="United Kingdom",G30&lt;&gt;"",COUNTIFS($G$2:G30,G30,$H$2:H30,"United Kingdom")=1),1,0)</f>
        <v>0</v>
      </c>
    </row>
    <row r="31" customFormat="false" ht="15" hidden="false" customHeight="false" outlineLevel="0" collapsed="false">
      <c r="A31" s="0" t="s">
        <v>62</v>
      </c>
      <c r="B31" s="0" t="s">
        <v>29</v>
      </c>
      <c r="C31" s="0" t="s">
        <v>30</v>
      </c>
      <c r="D31" s="0" t="n">
        <v>4</v>
      </c>
      <c r="E31" s="2" t="n">
        <v>40517.4493055556</v>
      </c>
      <c r="F31" s="0" t="n">
        <v>5.79</v>
      </c>
      <c r="G31" s="0" t="n">
        <v>16787</v>
      </c>
      <c r="H31" s="3" t="s">
        <v>57</v>
      </c>
      <c r="I31" s="4" t="n">
        <f aca="false">D31*F31</f>
        <v>23.16</v>
      </c>
      <c r="J31" s="3" t="n">
        <f aca="false">IF(AND(LEFT(A31,1)&lt;&gt;"C",D31&gt;0,F31&gt;0),1,0)</f>
        <v>1</v>
      </c>
      <c r="K31" s="3" t="n">
        <f aca="false">IF(AND(H31="United Kingdom",G31&lt;&gt;"",COUNTIFS($G$2:G31,G31,$H$2:H31,"United Kingdom")=1),1,0)</f>
        <v>0</v>
      </c>
    </row>
    <row r="32" customFormat="false" ht="15" hidden="false" customHeight="false" outlineLevel="0" collapsed="false">
      <c r="A32" s="0" t="s">
        <v>62</v>
      </c>
      <c r="B32" s="0" t="s">
        <v>41</v>
      </c>
      <c r="C32" s="0" t="s">
        <v>42</v>
      </c>
      <c r="D32" s="0" t="n">
        <v>3</v>
      </c>
      <c r="E32" s="2" t="n">
        <v>40517.4493055556</v>
      </c>
      <c r="F32" s="0" t="n">
        <v>3.28</v>
      </c>
      <c r="G32" s="0" t="n">
        <v>16787</v>
      </c>
      <c r="H32" s="3" t="s">
        <v>57</v>
      </c>
      <c r="I32" s="4" t="n">
        <f aca="false">D32*F32</f>
        <v>9.84</v>
      </c>
      <c r="J32" s="3" t="n">
        <f aca="false">IF(AND(LEFT(A32,1)&lt;&gt;"C",D32&gt;0,F32&gt;0),1,0)</f>
        <v>1</v>
      </c>
      <c r="K32" s="3" t="n">
        <f aca="false">IF(AND(H32="United Kingdom",G32&lt;&gt;"",COUNTIFS($G$2:G32,G32,$H$2:H32,"United Kingdom")=1),1,0)</f>
        <v>0</v>
      </c>
    </row>
    <row r="33" customFormat="false" ht="15" hidden="false" customHeight="false" outlineLevel="0" collapsed="false">
      <c r="A33" s="0" t="s">
        <v>62</v>
      </c>
      <c r="B33" s="0" t="s">
        <v>43</v>
      </c>
      <c r="C33" s="0" t="s">
        <v>44</v>
      </c>
      <c r="D33" s="0" t="n">
        <v>3</v>
      </c>
      <c r="E33" s="2" t="n">
        <v>40517.4493055556</v>
      </c>
      <c r="F33" s="0" t="n">
        <v>1.35</v>
      </c>
      <c r="G33" s="0" t="n">
        <v>16787</v>
      </c>
      <c r="H33" s="3" t="s">
        <v>57</v>
      </c>
      <c r="I33" s="4" t="n">
        <f aca="false">D33*F33</f>
        <v>4.05</v>
      </c>
      <c r="J33" s="3" t="n">
        <f aca="false">IF(AND(LEFT(A33,1)&lt;&gt;"C",D33&gt;0,F33&gt;0),1,0)</f>
        <v>1</v>
      </c>
      <c r="K33" s="3" t="n">
        <f aca="false">IF(AND(H33="United Kingdom",G33&lt;&gt;"",COUNTIFS($G$2:G33,G33,$H$2:H33,"United Kingdom")=1),1,0)</f>
        <v>0</v>
      </c>
    </row>
    <row r="34" customFormat="false" ht="15" hidden="false" customHeight="false" outlineLevel="0" collapsed="false">
      <c r="A34" s="0" t="s">
        <v>62</v>
      </c>
      <c r="B34" s="0" t="s">
        <v>63</v>
      </c>
      <c r="C34" s="0" t="s">
        <v>64</v>
      </c>
      <c r="D34" s="0" t="n">
        <v>3</v>
      </c>
      <c r="E34" s="2" t="n">
        <v>40517.4493055556</v>
      </c>
      <c r="F34" s="0" t="n">
        <v>2.43</v>
      </c>
      <c r="G34" s="0" t="n">
        <v>16787</v>
      </c>
      <c r="H34" s="3" t="s">
        <v>57</v>
      </c>
      <c r="I34" s="4" t="n">
        <f aca="false">D34*F34</f>
        <v>7.29</v>
      </c>
      <c r="J34" s="3" t="n">
        <f aca="false">IF(AND(LEFT(A34,1)&lt;&gt;"C",D34&gt;0,F34&gt;0),1,0)</f>
        <v>1</v>
      </c>
      <c r="K34" s="3" t="n">
        <f aca="false">IF(AND(H34="United Kingdom",G34&lt;&gt;"",COUNTIFS($G$2:G34,G34,$H$2:H34,"United Kingdom")=1),1,0)</f>
        <v>0</v>
      </c>
    </row>
    <row r="35" customFormat="false" ht="15" hidden="false" customHeight="false" outlineLevel="0" collapsed="false">
      <c r="A35" s="0" t="s">
        <v>62</v>
      </c>
      <c r="B35" s="0" t="s">
        <v>37</v>
      </c>
      <c r="C35" s="0" t="s">
        <v>38</v>
      </c>
      <c r="D35" s="0" t="n">
        <v>9</v>
      </c>
      <c r="E35" s="2" t="n">
        <v>40517.4493055556</v>
      </c>
      <c r="F35" s="0" t="n">
        <v>1.82</v>
      </c>
      <c r="G35" s="0" t="n">
        <v>16787</v>
      </c>
      <c r="H35" s="3" t="s">
        <v>57</v>
      </c>
      <c r="I35" s="4" t="n">
        <f aca="false">D35*F35</f>
        <v>16.38</v>
      </c>
      <c r="J35" s="3" t="n">
        <f aca="false">IF(AND(LEFT(A35,1)&lt;&gt;"C",D35&gt;0,F35&gt;0),1,0)</f>
        <v>1</v>
      </c>
      <c r="K35" s="3" t="n">
        <f aca="false">IF(AND(H35="United Kingdom",G35&lt;&gt;"",COUNTIFS($G$2:G35,G35,$H$2:H35,"United Kingdom")=1),1,0)</f>
        <v>0</v>
      </c>
    </row>
    <row r="36" customFormat="false" ht="15" hidden="false" customHeight="false" outlineLevel="0" collapsed="false">
      <c r="A36" s="0" t="s">
        <v>62</v>
      </c>
      <c r="B36" s="0" t="s">
        <v>22</v>
      </c>
      <c r="C36" s="0" t="s">
        <v>23</v>
      </c>
      <c r="D36" s="0" t="n">
        <v>6</v>
      </c>
      <c r="E36" s="2" t="n">
        <v>40517.4493055556</v>
      </c>
      <c r="F36" s="0" t="n">
        <v>3.18</v>
      </c>
      <c r="G36" s="0" t="n">
        <v>16787</v>
      </c>
      <c r="H36" s="3" t="s">
        <v>57</v>
      </c>
      <c r="I36" s="4" t="n">
        <f aca="false">D36*F36</f>
        <v>19.08</v>
      </c>
      <c r="J36" s="3" t="n">
        <f aca="false">IF(AND(LEFT(A36,1)&lt;&gt;"C",D36&gt;0,F36&gt;0),1,0)</f>
        <v>1</v>
      </c>
      <c r="K36" s="3" t="n">
        <f aca="false">IF(AND(H36="United Kingdom",G36&lt;&gt;"",COUNTIFS($G$2:G36,G36,$H$2:H36,"United Kingdom")=1),1,0)</f>
        <v>0</v>
      </c>
    </row>
    <row r="37" customFormat="false" ht="15" hidden="false" customHeight="false" outlineLevel="0" collapsed="false">
      <c r="A37" s="0" t="s">
        <v>62</v>
      </c>
      <c r="B37" s="0" t="s">
        <v>15</v>
      </c>
      <c r="C37" s="0" t="s">
        <v>16</v>
      </c>
      <c r="D37" s="0" t="n">
        <v>1</v>
      </c>
      <c r="E37" s="2" t="n">
        <v>40517.4493055556</v>
      </c>
      <c r="F37" s="0" t="n">
        <v>3.18</v>
      </c>
      <c r="G37" s="0" t="n">
        <v>16787</v>
      </c>
      <c r="H37" s="3" t="s">
        <v>57</v>
      </c>
      <c r="I37" s="4" t="n">
        <f aca="false">D37*F37</f>
        <v>3.18</v>
      </c>
      <c r="J37" s="3" t="n">
        <f aca="false">IF(AND(LEFT(A37,1)&lt;&gt;"C",D37&gt;0,F37&gt;0),1,0)</f>
        <v>1</v>
      </c>
      <c r="K37" s="3" t="n">
        <f aca="false">IF(AND(H37="United Kingdom",G37&lt;&gt;"",COUNTIFS($G$2:G37,G37,$H$2:H37,"United Kingdom")=1),1,0)</f>
        <v>0</v>
      </c>
    </row>
    <row r="38" customFormat="false" ht="15" hidden="false" customHeight="false" outlineLevel="0" collapsed="false">
      <c r="A38" s="0" t="s">
        <v>62</v>
      </c>
      <c r="B38" s="0" t="s">
        <v>65</v>
      </c>
      <c r="C38" s="0" t="s">
        <v>66</v>
      </c>
      <c r="D38" s="0" t="n">
        <v>19</v>
      </c>
      <c r="E38" s="2" t="n">
        <v>40517.4493055556</v>
      </c>
      <c r="F38" s="0" t="n">
        <v>4.75</v>
      </c>
      <c r="G38" s="0" t="n">
        <v>16787</v>
      </c>
      <c r="H38" s="3" t="s">
        <v>57</v>
      </c>
      <c r="I38" s="4" t="n">
        <f aca="false">D38*F38</f>
        <v>90.25</v>
      </c>
      <c r="J38" s="3" t="n">
        <f aca="false">IF(AND(LEFT(A38,1)&lt;&gt;"C",D38&gt;0,F38&gt;0),1,0)</f>
        <v>1</v>
      </c>
      <c r="K38" s="3" t="n">
        <f aca="false">IF(AND(H38="United Kingdom",G38&lt;&gt;"",COUNTIFS($G$2:G38,G38,$H$2:H38,"United Kingdom")=1),1,0)</f>
        <v>0</v>
      </c>
    </row>
    <row r="39" customFormat="false" ht="15" hidden="false" customHeight="false" outlineLevel="0" collapsed="false">
      <c r="A39" s="0" t="s">
        <v>67</v>
      </c>
      <c r="B39" s="0" t="s">
        <v>68</v>
      </c>
      <c r="C39" s="0" t="s">
        <v>69</v>
      </c>
      <c r="D39" s="0" t="n">
        <v>12</v>
      </c>
      <c r="E39" s="2" t="n">
        <v>40518.6965277778</v>
      </c>
      <c r="F39" s="0" t="n">
        <v>1.26</v>
      </c>
      <c r="G39" s="0" t="n">
        <v>14902</v>
      </c>
      <c r="H39" s="3" t="s">
        <v>14</v>
      </c>
      <c r="I39" s="4" t="n">
        <f aca="false">D39*F39</f>
        <v>15.12</v>
      </c>
      <c r="J39" s="3" t="n">
        <f aca="false">IF(AND(LEFT(A39,1)&lt;&gt;"C",D39&gt;0,F39&gt;0),1,0)</f>
        <v>1</v>
      </c>
      <c r="K39" s="3" t="n">
        <f aca="false">IF(AND(H39="United Kingdom",G39&lt;&gt;"",COUNTIFS($G$2:G39,G39,$H$2:H39,"United Kingdom")=1),1,0)</f>
        <v>1</v>
      </c>
    </row>
    <row r="40" customFormat="false" ht="15" hidden="false" customHeight="false" outlineLevel="0" collapsed="false">
      <c r="A40" s="0" t="s">
        <v>67</v>
      </c>
      <c r="B40" s="0" t="s">
        <v>29</v>
      </c>
      <c r="C40" s="0" t="s">
        <v>30</v>
      </c>
      <c r="D40" s="0" t="n">
        <v>1</v>
      </c>
      <c r="E40" s="2" t="n">
        <v>40518.6965277778</v>
      </c>
      <c r="F40" s="0" t="n">
        <v>5.79</v>
      </c>
      <c r="G40" s="0" t="n">
        <v>14902</v>
      </c>
      <c r="H40" s="3" t="s">
        <v>14</v>
      </c>
      <c r="I40" s="4" t="n">
        <f aca="false">D40*F40</f>
        <v>5.79</v>
      </c>
      <c r="J40" s="3" t="n">
        <f aca="false">IF(AND(LEFT(A40,1)&lt;&gt;"C",D40&gt;0,F40&gt;0),1,0)</f>
        <v>1</v>
      </c>
      <c r="K40" s="3" t="n">
        <f aca="false">IF(AND(H40="United Kingdom",G40&lt;&gt;"",COUNTIFS($G$2:G40,G40,$H$2:H40,"United Kingdom")=1),1,0)</f>
        <v>0</v>
      </c>
    </row>
    <row r="41" customFormat="false" ht="15" hidden="false" customHeight="false" outlineLevel="0" collapsed="false">
      <c r="A41" s="0" t="s">
        <v>67</v>
      </c>
      <c r="B41" s="0" t="s">
        <v>15</v>
      </c>
      <c r="C41" s="0" t="s">
        <v>16</v>
      </c>
      <c r="D41" s="0" t="n">
        <v>6</v>
      </c>
      <c r="E41" s="2" t="n">
        <v>40518.6965277778</v>
      </c>
      <c r="F41" s="0" t="n">
        <v>3.18</v>
      </c>
      <c r="G41" s="0" t="n">
        <v>14902</v>
      </c>
      <c r="H41" s="3" t="s">
        <v>14</v>
      </c>
      <c r="I41" s="4" t="n">
        <f aca="false">D41*F41</f>
        <v>19.08</v>
      </c>
      <c r="J41" s="3" t="n">
        <f aca="false">IF(AND(LEFT(A41,1)&lt;&gt;"C",D41&gt;0,F41&gt;0),1,0)</f>
        <v>1</v>
      </c>
      <c r="K41" s="3" t="n">
        <f aca="false">IF(AND(H41="United Kingdom",G41&lt;&gt;"",COUNTIFS($G$2:G41,G41,$H$2:H41,"United Kingdom")=1),1,0)</f>
        <v>0</v>
      </c>
    </row>
    <row r="42" customFormat="false" ht="15" hidden="false" customHeight="false" outlineLevel="0" collapsed="false">
      <c r="A42" s="0" t="s">
        <v>67</v>
      </c>
      <c r="B42" s="0" t="s">
        <v>54</v>
      </c>
      <c r="C42" s="0" t="s">
        <v>55</v>
      </c>
      <c r="D42" s="0" t="n">
        <v>4</v>
      </c>
      <c r="E42" s="2" t="n">
        <v>40518.6965277778</v>
      </c>
      <c r="F42" s="0" t="n">
        <v>0.99</v>
      </c>
      <c r="G42" s="0" t="n">
        <v>14902</v>
      </c>
      <c r="H42" s="3" t="s">
        <v>14</v>
      </c>
      <c r="I42" s="4" t="n">
        <f aca="false">D42*F42</f>
        <v>3.96</v>
      </c>
      <c r="J42" s="3" t="n">
        <f aca="false">IF(AND(LEFT(A42,1)&lt;&gt;"C",D42&gt;0,F42&gt;0),1,0)</f>
        <v>1</v>
      </c>
      <c r="K42" s="3" t="n">
        <f aca="false">IF(AND(H42="United Kingdom",G42&lt;&gt;"",COUNTIFS($G$2:G42,G42,$H$2:H42,"United Kingdom")=1),1,0)</f>
        <v>0</v>
      </c>
    </row>
    <row r="43" customFormat="false" ht="15" hidden="false" customHeight="false" outlineLevel="0" collapsed="false">
      <c r="A43" s="0" t="s">
        <v>67</v>
      </c>
      <c r="B43" s="0" t="s">
        <v>43</v>
      </c>
      <c r="C43" s="0" t="s">
        <v>44</v>
      </c>
      <c r="D43" s="0" t="n">
        <v>3</v>
      </c>
      <c r="E43" s="2" t="n">
        <v>40518.6965277778</v>
      </c>
      <c r="F43" s="0" t="n">
        <v>1.35</v>
      </c>
      <c r="G43" s="0" t="n">
        <v>14902</v>
      </c>
      <c r="H43" s="3" t="s">
        <v>14</v>
      </c>
      <c r="I43" s="4" t="n">
        <f aca="false">D43*F43</f>
        <v>4.05</v>
      </c>
      <c r="J43" s="3" t="n">
        <f aca="false">IF(AND(LEFT(A43,1)&lt;&gt;"C",D43&gt;0,F43&gt;0),1,0)</f>
        <v>1</v>
      </c>
      <c r="K43" s="3" t="n">
        <f aca="false">IF(AND(H43="United Kingdom",G43&lt;&gt;"",COUNTIFS($G$2:G43,G43,$H$2:H43,"United Kingdom")=1),1,0)</f>
        <v>0</v>
      </c>
    </row>
    <row r="44" customFormat="false" ht="15" hidden="false" customHeight="false" outlineLevel="0" collapsed="false">
      <c r="A44" s="0" t="s">
        <v>70</v>
      </c>
      <c r="B44" s="0" t="s">
        <v>15</v>
      </c>
      <c r="C44" s="0" t="s">
        <v>16</v>
      </c>
      <c r="D44" s="0" t="n">
        <v>1</v>
      </c>
      <c r="E44" s="2" t="n">
        <v>40518.78125</v>
      </c>
      <c r="F44" s="0" t="n">
        <v>3.18</v>
      </c>
      <c r="G44" s="0" t="n">
        <v>15660</v>
      </c>
      <c r="H44" s="3" t="s">
        <v>14</v>
      </c>
      <c r="I44" s="4" t="n">
        <f aca="false">D44*F44</f>
        <v>3.18</v>
      </c>
      <c r="J44" s="3" t="n">
        <f aca="false">IF(AND(LEFT(A44,1)&lt;&gt;"C",D44&gt;0,F44&gt;0),1,0)</f>
        <v>1</v>
      </c>
      <c r="K44" s="3" t="n">
        <f aca="false">IF(AND(H44="United Kingdom",G44&lt;&gt;"",COUNTIFS($G$2:G44,G44,$H$2:H44,"United Kingdom")=1),1,0)</f>
        <v>1</v>
      </c>
    </row>
    <row r="45" customFormat="false" ht="15" hidden="false" customHeight="false" outlineLevel="0" collapsed="false">
      <c r="A45" s="0" t="s">
        <v>71</v>
      </c>
      <c r="B45" s="0" t="s">
        <v>25</v>
      </c>
      <c r="C45" s="0" t="s">
        <v>26</v>
      </c>
      <c r="D45" s="0" t="n">
        <v>2</v>
      </c>
      <c r="E45" s="2" t="n">
        <v>40519.3833333333</v>
      </c>
      <c r="F45" s="0" t="n">
        <v>2.21</v>
      </c>
      <c r="G45" s="0" t="n">
        <v>14919</v>
      </c>
      <c r="H45" s="3" t="s">
        <v>14</v>
      </c>
      <c r="I45" s="4" t="n">
        <f aca="false">D45*F45</f>
        <v>4.42</v>
      </c>
      <c r="J45" s="3" t="n">
        <f aca="false">IF(AND(LEFT(A45,1)&lt;&gt;"C",D45&gt;0,F45&gt;0),1,0)</f>
        <v>1</v>
      </c>
      <c r="K45" s="3" t="n">
        <f aca="false">IF(AND(H45="United Kingdom",G45&lt;&gt;"",COUNTIFS($G$2:G45,G45,$H$2:H45,"United Kingdom")=1),1,0)</f>
        <v>1</v>
      </c>
    </row>
    <row r="46" customFormat="false" ht="15" hidden="false" customHeight="false" outlineLevel="0" collapsed="false">
      <c r="A46" s="0" t="s">
        <v>71</v>
      </c>
      <c r="B46" s="0" t="s">
        <v>72</v>
      </c>
      <c r="C46" s="0" t="s">
        <v>73</v>
      </c>
      <c r="D46" s="0" t="n">
        <v>1</v>
      </c>
      <c r="E46" s="2" t="n">
        <v>40519.3833333333</v>
      </c>
      <c r="F46" s="0" t="n">
        <v>2.69</v>
      </c>
      <c r="G46" s="0" t="n">
        <v>14919</v>
      </c>
      <c r="H46" s="3" t="s">
        <v>14</v>
      </c>
      <c r="I46" s="4" t="n">
        <f aca="false">D46*F46</f>
        <v>2.69</v>
      </c>
      <c r="J46" s="3" t="n">
        <f aca="false">IF(AND(LEFT(A46,1)&lt;&gt;"C",D46&gt;0,F46&gt;0),1,0)</f>
        <v>1</v>
      </c>
      <c r="K46" s="3" t="n">
        <f aca="false">IF(AND(H46="United Kingdom",G46&lt;&gt;"",COUNTIFS($G$2:G46,G46,$H$2:H46,"United Kingdom")=1),1,0)</f>
        <v>0</v>
      </c>
    </row>
    <row r="47" customFormat="false" ht="15" hidden="false" customHeight="false" outlineLevel="0" collapsed="false">
      <c r="A47" s="0" t="s">
        <v>74</v>
      </c>
      <c r="B47" s="0" t="s">
        <v>75</v>
      </c>
      <c r="C47" s="0" t="s">
        <v>76</v>
      </c>
      <c r="D47" s="0" t="n">
        <v>1</v>
      </c>
      <c r="E47" s="2" t="n">
        <v>40520.5256944444</v>
      </c>
      <c r="F47" s="0" t="n">
        <v>1.97</v>
      </c>
      <c r="G47" s="0" t="n">
        <v>15287</v>
      </c>
      <c r="H47" s="3" t="s">
        <v>14</v>
      </c>
      <c r="I47" s="4" t="n">
        <f aca="false">D47*F47</f>
        <v>1.97</v>
      </c>
      <c r="J47" s="3" t="n">
        <f aca="false">IF(AND(LEFT(A47,1)&lt;&gt;"C",D47&gt;0,F47&gt;0),1,0)</f>
        <v>1</v>
      </c>
      <c r="K47" s="3" t="n">
        <f aca="false">IF(AND(H47="United Kingdom",G47&lt;&gt;"",COUNTIFS($G$2:G47,G47,$H$2:H47,"United Kingdom")=1),1,0)</f>
        <v>1</v>
      </c>
    </row>
    <row r="48" customFormat="false" ht="15" hidden="false" customHeight="false" outlineLevel="0" collapsed="false">
      <c r="A48" s="0" t="s">
        <v>74</v>
      </c>
      <c r="B48" s="0" t="s">
        <v>77</v>
      </c>
      <c r="C48" s="0" t="s">
        <v>78</v>
      </c>
      <c r="D48" s="0" t="n">
        <v>2</v>
      </c>
      <c r="E48" s="2" t="n">
        <v>40520.5256944444</v>
      </c>
      <c r="F48" s="0" t="n">
        <v>3.41</v>
      </c>
      <c r="G48" s="0" t="n">
        <v>15287</v>
      </c>
      <c r="H48" s="3" t="s">
        <v>14</v>
      </c>
      <c r="I48" s="4" t="n">
        <f aca="false">D48*F48</f>
        <v>6.82</v>
      </c>
      <c r="J48" s="3" t="n">
        <f aca="false">IF(AND(LEFT(A48,1)&lt;&gt;"C",D48&gt;0,F48&gt;0),1,0)</f>
        <v>1</v>
      </c>
      <c r="K48" s="3" t="n">
        <f aca="false">IF(AND(H48="United Kingdom",G48&lt;&gt;"",COUNTIFS($G$2:G48,G48,$H$2:H48,"United Kingdom")=1),1,0)</f>
        <v>0</v>
      </c>
    </row>
    <row r="49" customFormat="false" ht="15" hidden="false" customHeight="false" outlineLevel="0" collapsed="false">
      <c r="A49" s="0" t="s">
        <v>74</v>
      </c>
      <c r="B49" s="0" t="s">
        <v>22</v>
      </c>
      <c r="C49" s="0" t="s">
        <v>23</v>
      </c>
      <c r="D49" s="0" t="n">
        <v>2</v>
      </c>
      <c r="E49" s="2" t="n">
        <v>40520.5256944444</v>
      </c>
      <c r="F49" s="0" t="n">
        <v>3.18</v>
      </c>
      <c r="G49" s="0" t="n">
        <v>15287</v>
      </c>
      <c r="H49" s="3" t="s">
        <v>14</v>
      </c>
      <c r="I49" s="4" t="n">
        <f aca="false">D49*F49</f>
        <v>6.36</v>
      </c>
      <c r="J49" s="3" t="n">
        <f aca="false">IF(AND(LEFT(A49,1)&lt;&gt;"C",D49&gt;0,F49&gt;0),1,0)</f>
        <v>1</v>
      </c>
      <c r="K49" s="3" t="n">
        <f aca="false">IF(AND(H49="United Kingdom",G49&lt;&gt;"",COUNTIFS($G$2:G49,G49,$H$2:H49,"United Kingdom")=1),1,0)</f>
        <v>0</v>
      </c>
    </row>
    <row r="50" customFormat="false" ht="15" hidden="false" customHeight="false" outlineLevel="0" collapsed="false">
      <c r="A50" s="0" t="s">
        <v>74</v>
      </c>
      <c r="B50" s="0" t="s">
        <v>52</v>
      </c>
      <c r="C50" s="0" t="s">
        <v>53</v>
      </c>
      <c r="D50" s="0" t="n">
        <v>6</v>
      </c>
      <c r="E50" s="2" t="n">
        <v>40520.5256944444</v>
      </c>
      <c r="F50" s="0" t="n">
        <v>4.16</v>
      </c>
      <c r="G50" s="0" t="n">
        <v>15287</v>
      </c>
      <c r="H50" s="3" t="s">
        <v>14</v>
      </c>
      <c r="I50" s="4" t="n">
        <f aca="false">D50*F50</f>
        <v>24.96</v>
      </c>
      <c r="J50" s="3" t="n">
        <f aca="false">IF(AND(LEFT(A50,1)&lt;&gt;"C",D50&gt;0,F50&gt;0),1,0)</f>
        <v>1</v>
      </c>
      <c r="K50" s="3" t="n">
        <f aca="false">IF(AND(H50="United Kingdom",G50&lt;&gt;"",COUNTIFS($G$2:G50,G50,$H$2:H50,"United Kingdom")=1),1,0)</f>
        <v>0</v>
      </c>
    </row>
    <row r="51" customFormat="false" ht="15" hidden="false" customHeight="false" outlineLevel="0" collapsed="false">
      <c r="A51" s="0" t="s">
        <v>79</v>
      </c>
      <c r="B51" s="0" t="s">
        <v>80</v>
      </c>
      <c r="C51" s="0" t="s">
        <v>81</v>
      </c>
      <c r="D51" s="0" t="n">
        <v>2</v>
      </c>
      <c r="E51" s="2" t="n">
        <v>40521.4222222222</v>
      </c>
      <c r="F51" s="0" t="n">
        <v>1.53</v>
      </c>
      <c r="G51" s="0" t="n">
        <v>13045</v>
      </c>
      <c r="H51" s="3" t="s">
        <v>14</v>
      </c>
      <c r="I51" s="4" t="n">
        <f aca="false">D51*F51</f>
        <v>3.06</v>
      </c>
      <c r="J51" s="3" t="n">
        <f aca="false">IF(AND(LEFT(A51,1)&lt;&gt;"C",D51&gt;0,F51&gt;0),1,0)</f>
        <v>1</v>
      </c>
      <c r="K51" s="3" t="n">
        <f aca="false">IF(AND(H51="United Kingdom",G51&lt;&gt;"",COUNTIFS($G$2:G51,G51,$H$2:H51,"United Kingdom")=1),1,0)</f>
        <v>1</v>
      </c>
    </row>
    <row r="52" customFormat="false" ht="15" hidden="false" customHeight="false" outlineLevel="0" collapsed="false">
      <c r="A52" s="0" t="s">
        <v>82</v>
      </c>
      <c r="B52" s="0" t="s">
        <v>37</v>
      </c>
      <c r="C52" s="0" t="s">
        <v>38</v>
      </c>
      <c r="D52" s="0" t="n">
        <v>4</v>
      </c>
      <c r="E52" s="2" t="n">
        <v>40521.4652777778</v>
      </c>
      <c r="F52" s="0" t="n">
        <v>1.82</v>
      </c>
      <c r="H52" s="3" t="s">
        <v>14</v>
      </c>
      <c r="I52" s="4" t="n">
        <f aca="false">D52*F52</f>
        <v>7.28</v>
      </c>
      <c r="J52" s="3" t="n">
        <f aca="false">IF(AND(LEFT(A52,1)&lt;&gt;"C",D52&gt;0,F52&gt;0),1,0)</f>
        <v>1</v>
      </c>
      <c r="K52" s="3" t="n">
        <f aca="false">IF(AND(H52="United Kingdom",G52&lt;&gt;"",COUNTIFS($G$2:G52,G52,$H$2:H52,"United Kingdom")=1),1,0)</f>
        <v>0</v>
      </c>
    </row>
    <row r="53" customFormat="false" ht="15" hidden="false" customHeight="false" outlineLevel="0" collapsed="false">
      <c r="A53" s="0" t="s">
        <v>82</v>
      </c>
      <c r="B53" s="0" t="s">
        <v>45</v>
      </c>
      <c r="C53" s="0" t="s">
        <v>46</v>
      </c>
      <c r="D53" s="0" t="n">
        <v>12</v>
      </c>
      <c r="E53" s="2" t="n">
        <v>40521.4652777778</v>
      </c>
      <c r="F53" s="0" t="n">
        <v>4.55</v>
      </c>
      <c r="H53" s="3" t="s">
        <v>14</v>
      </c>
      <c r="I53" s="4" t="n">
        <f aca="false">D53*F53</f>
        <v>54.6</v>
      </c>
      <c r="J53" s="3" t="n">
        <f aca="false">IF(AND(LEFT(A53,1)&lt;&gt;"C",D53&gt;0,F53&gt;0),1,0)</f>
        <v>1</v>
      </c>
      <c r="K53" s="3" t="n">
        <f aca="false">IF(AND(H53="United Kingdom",G53&lt;&gt;"",COUNTIFS($G$2:G53,G53,$H$2:H53,"United Kingdom")=1),1,0)</f>
        <v>0</v>
      </c>
    </row>
    <row r="54" customFormat="false" ht="15" hidden="false" customHeight="false" outlineLevel="0" collapsed="false">
      <c r="A54" s="0" t="s">
        <v>82</v>
      </c>
      <c r="B54" s="0" t="s">
        <v>34</v>
      </c>
      <c r="C54" s="0" t="s">
        <v>35</v>
      </c>
      <c r="D54" s="0" t="n">
        <v>6</v>
      </c>
      <c r="E54" s="2" t="n">
        <v>40521.4652777778</v>
      </c>
      <c r="F54" s="0" t="n">
        <v>2.38</v>
      </c>
      <c r="H54" s="3" t="s">
        <v>14</v>
      </c>
      <c r="I54" s="4" t="n">
        <f aca="false">D54*F54</f>
        <v>14.28</v>
      </c>
      <c r="J54" s="3" t="n">
        <f aca="false">IF(AND(LEFT(A54,1)&lt;&gt;"C",D54&gt;0,F54&gt;0),1,0)</f>
        <v>1</v>
      </c>
      <c r="K54" s="3" t="n">
        <f aca="false">IF(AND(H54="United Kingdom",G54&lt;&gt;"",COUNTIFS($G$2:G54,G54,$H$2:H54,"United Kingdom")=1),1,0)</f>
        <v>0</v>
      </c>
    </row>
    <row r="55" customFormat="false" ht="15" hidden="false" customHeight="false" outlineLevel="0" collapsed="false">
      <c r="A55" s="0" t="s">
        <v>82</v>
      </c>
      <c r="B55" s="0" t="s">
        <v>20</v>
      </c>
      <c r="C55" s="0" t="s">
        <v>21</v>
      </c>
      <c r="D55" s="0" t="n">
        <v>6</v>
      </c>
      <c r="E55" s="2" t="n">
        <v>40521.4652777778</v>
      </c>
      <c r="F55" s="0" t="n">
        <v>4.24</v>
      </c>
      <c r="H55" s="3" t="s">
        <v>14</v>
      </c>
      <c r="I55" s="4" t="n">
        <f aca="false">D55*F55</f>
        <v>25.44</v>
      </c>
      <c r="J55" s="3" t="n">
        <f aca="false">IF(AND(LEFT(A55,1)&lt;&gt;"C",D55&gt;0,F55&gt;0),1,0)</f>
        <v>1</v>
      </c>
      <c r="K55" s="3" t="n">
        <f aca="false">IF(AND(H55="United Kingdom",G55&lt;&gt;"",COUNTIFS($G$2:G55,G55,$H$2:H55,"United Kingdom")=1),1,0)</f>
        <v>0</v>
      </c>
    </row>
    <row r="56" customFormat="false" ht="15" hidden="false" customHeight="false" outlineLevel="0" collapsed="false">
      <c r="A56" s="0" t="s">
        <v>82</v>
      </c>
      <c r="B56" s="0" t="s">
        <v>50</v>
      </c>
      <c r="C56" s="0" t="s">
        <v>51</v>
      </c>
      <c r="D56" s="0" t="n">
        <v>3</v>
      </c>
      <c r="E56" s="2" t="n">
        <v>40521.4652777778</v>
      </c>
      <c r="F56" s="0" t="n">
        <v>5.41</v>
      </c>
      <c r="H56" s="3" t="s">
        <v>14</v>
      </c>
      <c r="I56" s="4" t="n">
        <f aca="false">D56*F56</f>
        <v>16.23</v>
      </c>
      <c r="J56" s="3" t="n">
        <f aca="false">IF(AND(LEFT(A56,1)&lt;&gt;"C",D56&gt;0,F56&gt;0),1,0)</f>
        <v>1</v>
      </c>
      <c r="K56" s="3" t="n">
        <f aca="false">IF(AND(H56="United Kingdom",G56&lt;&gt;"",COUNTIFS($G$2:G56,G56,$H$2:H56,"United Kingdom")=1),1,0)</f>
        <v>0</v>
      </c>
    </row>
    <row r="57" customFormat="false" ht="15" hidden="false" customHeight="false" outlineLevel="0" collapsed="false">
      <c r="A57" s="0" t="s">
        <v>82</v>
      </c>
      <c r="B57" s="0" t="s">
        <v>58</v>
      </c>
      <c r="C57" s="0" t="s">
        <v>59</v>
      </c>
      <c r="D57" s="0" t="n">
        <v>6</v>
      </c>
      <c r="E57" s="2" t="n">
        <v>40521.4652777778</v>
      </c>
      <c r="F57" s="0" t="n">
        <v>2.16</v>
      </c>
      <c r="H57" s="3" t="s">
        <v>14</v>
      </c>
      <c r="I57" s="4" t="n">
        <f aca="false">D57*F57</f>
        <v>12.96</v>
      </c>
      <c r="J57" s="3" t="n">
        <f aca="false">IF(AND(LEFT(A57,1)&lt;&gt;"C",D57&gt;0,F57&gt;0),1,0)</f>
        <v>1</v>
      </c>
      <c r="K57" s="3" t="n">
        <f aca="false">IF(AND(H57="United Kingdom",G57&lt;&gt;"",COUNTIFS($G$2:G57,G57,$H$2:H57,"United Kingdom")=1),1,0)</f>
        <v>0</v>
      </c>
    </row>
    <row r="58" customFormat="false" ht="15" hidden="false" customHeight="false" outlineLevel="0" collapsed="false">
      <c r="A58" s="0" t="s">
        <v>83</v>
      </c>
      <c r="B58" s="0" t="s">
        <v>12</v>
      </c>
      <c r="C58" s="0" t="s">
        <v>13</v>
      </c>
      <c r="D58" s="0" t="n">
        <v>3</v>
      </c>
      <c r="E58" s="2" t="n">
        <v>40521.6416666667</v>
      </c>
      <c r="F58" s="0" t="n">
        <v>3.33</v>
      </c>
      <c r="G58" s="0" t="n">
        <v>17650</v>
      </c>
      <c r="H58" s="3" t="s">
        <v>57</v>
      </c>
      <c r="I58" s="4" t="n">
        <f aca="false">D58*F58</f>
        <v>9.99</v>
      </c>
      <c r="J58" s="3" t="n">
        <f aca="false">IF(AND(LEFT(A58,1)&lt;&gt;"C",D58&gt;0,F58&gt;0),1,0)</f>
        <v>1</v>
      </c>
      <c r="K58" s="3" t="n">
        <f aca="false">IF(AND(H58="United Kingdom",G58&lt;&gt;"",COUNTIFS($G$2:G58,G58,$H$2:H58,"United Kingdom")=1),1,0)</f>
        <v>0</v>
      </c>
    </row>
    <row r="59" customFormat="false" ht="15" hidden="false" customHeight="false" outlineLevel="0" collapsed="false">
      <c r="A59" s="0" t="s">
        <v>83</v>
      </c>
      <c r="B59" s="0" t="s">
        <v>54</v>
      </c>
      <c r="C59" s="0" t="s">
        <v>55</v>
      </c>
      <c r="D59" s="0" t="n">
        <v>9</v>
      </c>
      <c r="E59" s="2" t="n">
        <v>40521.6416666667</v>
      </c>
      <c r="F59" s="0" t="n">
        <v>0.99</v>
      </c>
      <c r="G59" s="0" t="n">
        <v>17650</v>
      </c>
      <c r="H59" s="3" t="s">
        <v>57</v>
      </c>
      <c r="I59" s="4" t="n">
        <f aca="false">D59*F59</f>
        <v>8.91</v>
      </c>
      <c r="J59" s="3" t="n">
        <f aca="false">IF(AND(LEFT(A59,1)&lt;&gt;"C",D59&gt;0,F59&gt;0),1,0)</f>
        <v>1</v>
      </c>
      <c r="K59" s="3" t="n">
        <f aca="false">IF(AND(H59="United Kingdom",G59&lt;&gt;"",COUNTIFS($G$2:G59,G59,$H$2:H59,"United Kingdom")=1),1,0)</f>
        <v>0</v>
      </c>
    </row>
    <row r="60" customFormat="false" ht="15" hidden="false" customHeight="false" outlineLevel="0" collapsed="false">
      <c r="A60" s="0" t="s">
        <v>84</v>
      </c>
      <c r="B60" s="0" t="s">
        <v>41</v>
      </c>
      <c r="C60" s="0" t="s">
        <v>42</v>
      </c>
      <c r="D60" s="0" t="n">
        <v>1</v>
      </c>
      <c r="E60" s="2" t="n">
        <v>40521.75625</v>
      </c>
      <c r="F60" s="0" t="n">
        <v>3.28</v>
      </c>
      <c r="G60" s="0" t="n">
        <v>14074</v>
      </c>
      <c r="H60" s="3" t="s">
        <v>14</v>
      </c>
      <c r="I60" s="4" t="n">
        <f aca="false">D60*F60</f>
        <v>3.28</v>
      </c>
      <c r="J60" s="3" t="n">
        <f aca="false">IF(AND(LEFT(A60,1)&lt;&gt;"C",D60&gt;0,F60&gt;0),1,0)</f>
        <v>1</v>
      </c>
      <c r="K60" s="3" t="n">
        <f aca="false">IF(AND(H60="United Kingdom",G60&lt;&gt;"",COUNTIFS($G$2:G60,G60,$H$2:H60,"United Kingdom")=1),1,0)</f>
        <v>1</v>
      </c>
    </row>
    <row r="61" customFormat="false" ht="15" hidden="false" customHeight="false" outlineLevel="0" collapsed="false">
      <c r="A61" s="0" t="s">
        <v>84</v>
      </c>
      <c r="B61" s="0" t="s">
        <v>34</v>
      </c>
      <c r="C61" s="0" t="s">
        <v>35</v>
      </c>
      <c r="D61" s="0" t="n">
        <v>2</v>
      </c>
      <c r="E61" s="2" t="n">
        <v>40521.75625</v>
      </c>
      <c r="F61" s="0" t="n">
        <v>2.38</v>
      </c>
      <c r="G61" s="0" t="n">
        <v>14074</v>
      </c>
      <c r="H61" s="3" t="s">
        <v>14</v>
      </c>
      <c r="I61" s="4" t="n">
        <f aca="false">D61*F61</f>
        <v>4.76</v>
      </c>
      <c r="J61" s="3" t="n">
        <f aca="false">IF(AND(LEFT(A61,1)&lt;&gt;"C",D61&gt;0,F61&gt;0),1,0)</f>
        <v>1</v>
      </c>
      <c r="K61" s="3" t="n">
        <f aca="false">IF(AND(H61="United Kingdom",G61&lt;&gt;"",COUNTIFS($G$2:G61,G61,$H$2:H61,"United Kingdom")=1),1,0)</f>
        <v>0</v>
      </c>
    </row>
    <row r="62" customFormat="false" ht="15" hidden="false" customHeight="false" outlineLevel="0" collapsed="false">
      <c r="A62" s="0" t="s">
        <v>84</v>
      </c>
      <c r="B62" s="0" t="s">
        <v>29</v>
      </c>
      <c r="C62" s="0" t="s">
        <v>30</v>
      </c>
      <c r="D62" s="0" t="n">
        <v>8</v>
      </c>
      <c r="E62" s="2" t="n">
        <v>40521.75625</v>
      </c>
      <c r="F62" s="0" t="n">
        <v>5.79</v>
      </c>
      <c r="G62" s="0" t="n">
        <v>14074</v>
      </c>
      <c r="H62" s="3" t="s">
        <v>14</v>
      </c>
      <c r="I62" s="4" t="n">
        <f aca="false">D62*F62</f>
        <v>46.32</v>
      </c>
      <c r="J62" s="3" t="n">
        <f aca="false">IF(AND(LEFT(A62,1)&lt;&gt;"C",D62&gt;0,F62&gt;0),1,0)</f>
        <v>1</v>
      </c>
      <c r="K62" s="3" t="n">
        <f aca="false">IF(AND(H62="United Kingdom",G62&lt;&gt;"",COUNTIFS($G$2:G62,G62,$H$2:H62,"United Kingdom")=1),1,0)</f>
        <v>0</v>
      </c>
    </row>
    <row r="63" customFormat="false" ht="15" hidden="false" customHeight="false" outlineLevel="0" collapsed="false">
      <c r="A63" s="0" t="s">
        <v>84</v>
      </c>
      <c r="B63" s="0" t="s">
        <v>80</v>
      </c>
      <c r="C63" s="0" t="s">
        <v>81</v>
      </c>
      <c r="D63" s="0" t="n">
        <v>1</v>
      </c>
      <c r="E63" s="2" t="n">
        <v>40521.75625</v>
      </c>
      <c r="F63" s="0" t="n">
        <v>1.53</v>
      </c>
      <c r="G63" s="0" t="n">
        <v>14074</v>
      </c>
      <c r="H63" s="3" t="s">
        <v>14</v>
      </c>
      <c r="I63" s="4" t="n">
        <f aca="false">D63*F63</f>
        <v>1.53</v>
      </c>
      <c r="J63" s="3" t="n">
        <f aca="false">IF(AND(LEFT(A63,1)&lt;&gt;"C",D63&gt;0,F63&gt;0),1,0)</f>
        <v>1</v>
      </c>
      <c r="K63" s="3" t="n">
        <f aca="false">IF(AND(H63="United Kingdom",G63&lt;&gt;"",COUNTIFS($G$2:G63,G63,$H$2:H63,"United Kingdom")=1),1,0)</f>
        <v>0</v>
      </c>
    </row>
    <row r="64" customFormat="false" ht="15" hidden="false" customHeight="false" outlineLevel="0" collapsed="false">
      <c r="A64" s="0" t="s">
        <v>84</v>
      </c>
      <c r="B64" s="0" t="s">
        <v>60</v>
      </c>
      <c r="C64" s="0" t="s">
        <v>61</v>
      </c>
      <c r="D64" s="0" t="n">
        <v>12</v>
      </c>
      <c r="E64" s="2" t="n">
        <v>40521.75625</v>
      </c>
      <c r="F64" s="0" t="n">
        <v>0.63</v>
      </c>
      <c r="G64" s="0" t="n">
        <v>14074</v>
      </c>
      <c r="H64" s="3" t="s">
        <v>14</v>
      </c>
      <c r="I64" s="4" t="n">
        <f aca="false">D64*F64</f>
        <v>7.56</v>
      </c>
      <c r="J64" s="3" t="n">
        <f aca="false">IF(AND(LEFT(A64,1)&lt;&gt;"C",D64&gt;0,F64&gt;0),1,0)</f>
        <v>1</v>
      </c>
      <c r="K64" s="3" t="n">
        <f aca="false">IF(AND(H64="United Kingdom",G64&lt;&gt;"",COUNTIFS($G$2:G64,G64,$H$2:H64,"United Kingdom")=1),1,0)</f>
        <v>0</v>
      </c>
    </row>
    <row r="65" customFormat="false" ht="15" hidden="false" customHeight="false" outlineLevel="0" collapsed="false">
      <c r="A65" s="0" t="s">
        <v>84</v>
      </c>
      <c r="B65" s="0" t="s">
        <v>12</v>
      </c>
      <c r="C65" s="0" t="s">
        <v>13</v>
      </c>
      <c r="D65" s="0" t="n">
        <v>8</v>
      </c>
      <c r="E65" s="2" t="n">
        <v>40521.75625</v>
      </c>
      <c r="F65" s="0" t="n">
        <v>3.33</v>
      </c>
      <c r="G65" s="0" t="n">
        <v>14074</v>
      </c>
      <c r="H65" s="3" t="s">
        <v>14</v>
      </c>
      <c r="I65" s="4" t="n">
        <f aca="false">D65*F65</f>
        <v>26.64</v>
      </c>
      <c r="J65" s="3" t="n">
        <f aca="false">IF(AND(LEFT(A65,1)&lt;&gt;"C",D65&gt;0,F65&gt;0),1,0)</f>
        <v>1</v>
      </c>
      <c r="K65" s="3" t="n">
        <f aca="false">IF(AND(H65="United Kingdom",G65&lt;&gt;"",COUNTIFS($G$2:G65,G65,$H$2:H65,"United Kingdom")=1),1,0)</f>
        <v>0</v>
      </c>
    </row>
    <row r="66" customFormat="false" ht="15" hidden="false" customHeight="false" outlineLevel="0" collapsed="false">
      <c r="A66" s="0" t="s">
        <v>85</v>
      </c>
      <c r="B66" s="0" t="s">
        <v>29</v>
      </c>
      <c r="C66" s="0" t="s">
        <v>30</v>
      </c>
      <c r="D66" s="0" t="n">
        <v>16</v>
      </c>
      <c r="E66" s="2" t="n">
        <v>40522.4229166667</v>
      </c>
      <c r="F66" s="0" t="n">
        <v>5.79</v>
      </c>
      <c r="G66" s="0" t="n">
        <v>17892</v>
      </c>
      <c r="H66" s="3" t="s">
        <v>14</v>
      </c>
      <c r="I66" s="4" t="n">
        <f aca="false">D66*F66</f>
        <v>92.64</v>
      </c>
      <c r="J66" s="3" t="n">
        <f aca="false">IF(AND(LEFT(A66,1)&lt;&gt;"C",D66&gt;0,F66&gt;0),1,0)</f>
        <v>1</v>
      </c>
      <c r="K66" s="3" t="n">
        <f aca="false">IF(AND(H66="United Kingdom",G66&lt;&gt;"",COUNTIFS($G$2:G66,G66,$H$2:H66,"United Kingdom")=1),1,0)</f>
        <v>1</v>
      </c>
    </row>
    <row r="67" customFormat="false" ht="15" hidden="false" customHeight="false" outlineLevel="0" collapsed="false">
      <c r="A67" s="0" t="s">
        <v>85</v>
      </c>
      <c r="B67" s="0" t="s">
        <v>37</v>
      </c>
      <c r="C67" s="0" t="s">
        <v>38</v>
      </c>
      <c r="D67" s="0" t="n">
        <v>8</v>
      </c>
      <c r="E67" s="2" t="n">
        <v>40522.4229166667</v>
      </c>
      <c r="F67" s="0" t="n">
        <v>1.82</v>
      </c>
      <c r="G67" s="0" t="n">
        <v>17892</v>
      </c>
      <c r="H67" s="3" t="s">
        <v>14</v>
      </c>
      <c r="I67" s="4" t="n">
        <f aca="false">D67*F67</f>
        <v>14.56</v>
      </c>
      <c r="J67" s="3" t="n">
        <f aca="false">IF(AND(LEFT(A67,1)&lt;&gt;"C",D67&gt;0,F67&gt;0),1,0)</f>
        <v>1</v>
      </c>
      <c r="K67" s="3" t="n">
        <f aca="false">IF(AND(H67="United Kingdom",G67&lt;&gt;"",COUNTIFS($G$2:G67,G67,$H$2:H67,"United Kingdom")=1),1,0)</f>
        <v>0</v>
      </c>
    </row>
    <row r="68" customFormat="false" ht="15" hidden="false" customHeight="false" outlineLevel="0" collapsed="false">
      <c r="A68" s="0" t="s">
        <v>85</v>
      </c>
      <c r="B68" s="0" t="s">
        <v>72</v>
      </c>
      <c r="C68" s="0" t="s">
        <v>73</v>
      </c>
      <c r="D68" s="0" t="n">
        <v>24</v>
      </c>
      <c r="E68" s="2" t="n">
        <v>40522.4229166667</v>
      </c>
      <c r="F68" s="0" t="n">
        <v>2.69</v>
      </c>
      <c r="G68" s="0" t="n">
        <v>17892</v>
      </c>
      <c r="H68" s="3" t="s">
        <v>14</v>
      </c>
      <c r="I68" s="4" t="n">
        <f aca="false">D68*F68</f>
        <v>64.56</v>
      </c>
      <c r="J68" s="3" t="n">
        <f aca="false">IF(AND(LEFT(A68,1)&lt;&gt;"C",D68&gt;0,F68&gt;0),1,0)</f>
        <v>1</v>
      </c>
      <c r="K68" s="3" t="n">
        <f aca="false">IF(AND(H68="United Kingdom",G68&lt;&gt;"",COUNTIFS($G$2:G68,G68,$H$2:H68,"United Kingdom")=1),1,0)</f>
        <v>0</v>
      </c>
    </row>
    <row r="69" customFormat="false" ht="15" hidden="false" customHeight="false" outlineLevel="0" collapsed="false">
      <c r="A69" s="0" t="s">
        <v>85</v>
      </c>
      <c r="B69" s="0" t="s">
        <v>48</v>
      </c>
      <c r="C69" s="0" t="s">
        <v>49</v>
      </c>
      <c r="D69" s="0" t="n">
        <v>3</v>
      </c>
      <c r="E69" s="2" t="n">
        <v>40522.4229166667</v>
      </c>
      <c r="F69" s="0" t="n">
        <v>1.35</v>
      </c>
      <c r="G69" s="0" t="n">
        <v>17892</v>
      </c>
      <c r="H69" s="3" t="s">
        <v>14</v>
      </c>
      <c r="I69" s="4" t="n">
        <f aca="false">D69*F69</f>
        <v>4.05</v>
      </c>
      <c r="J69" s="3" t="n">
        <f aca="false">IF(AND(LEFT(A69,1)&lt;&gt;"C",D69&gt;0,F69&gt;0),1,0)</f>
        <v>1</v>
      </c>
      <c r="K69" s="3" t="n">
        <f aca="false">IF(AND(H69="United Kingdom",G69&lt;&gt;"",COUNTIFS($G$2:G69,G69,$H$2:H69,"United Kingdom")=1),1,0)</f>
        <v>0</v>
      </c>
    </row>
    <row r="70" customFormat="false" ht="15" hidden="false" customHeight="false" outlineLevel="0" collapsed="false">
      <c r="A70" s="0" t="s">
        <v>85</v>
      </c>
      <c r="B70" s="0" t="s">
        <v>43</v>
      </c>
      <c r="C70" s="0" t="s">
        <v>44</v>
      </c>
      <c r="D70" s="0" t="n">
        <v>1</v>
      </c>
      <c r="E70" s="2" t="n">
        <v>40522.4229166667</v>
      </c>
      <c r="F70" s="0" t="n">
        <v>1.35</v>
      </c>
      <c r="G70" s="0" t="n">
        <v>17892</v>
      </c>
      <c r="H70" s="3" t="s">
        <v>14</v>
      </c>
      <c r="I70" s="4" t="n">
        <f aca="false">D70*F70</f>
        <v>1.35</v>
      </c>
      <c r="J70" s="3" t="n">
        <f aca="false">IF(AND(LEFT(A70,1)&lt;&gt;"C",D70&gt;0,F70&gt;0),1,0)</f>
        <v>1</v>
      </c>
      <c r="K70" s="3" t="n">
        <f aca="false">IF(AND(H70="United Kingdom",G70&lt;&gt;"",COUNTIFS($G$2:G70,G70,$H$2:H70,"United Kingdom")=1),1,0)</f>
        <v>0</v>
      </c>
    </row>
    <row r="71" customFormat="false" ht="15" hidden="false" customHeight="false" outlineLevel="0" collapsed="false">
      <c r="A71" s="0" t="s">
        <v>85</v>
      </c>
      <c r="B71" s="0" t="s">
        <v>80</v>
      </c>
      <c r="C71" s="0" t="s">
        <v>81</v>
      </c>
      <c r="D71" s="0" t="n">
        <v>3</v>
      </c>
      <c r="E71" s="2" t="n">
        <v>40522.4229166667</v>
      </c>
      <c r="F71" s="0" t="n">
        <v>1.53</v>
      </c>
      <c r="G71" s="0" t="n">
        <v>17892</v>
      </c>
      <c r="H71" s="3" t="s">
        <v>14</v>
      </c>
      <c r="I71" s="4" t="n">
        <f aca="false">D71*F71</f>
        <v>4.59</v>
      </c>
      <c r="J71" s="3" t="n">
        <f aca="false">IF(AND(LEFT(A71,1)&lt;&gt;"C",D71&gt;0,F71&gt;0),1,0)</f>
        <v>1</v>
      </c>
      <c r="K71" s="3" t="n">
        <f aca="false">IF(AND(H71="United Kingdom",G71&lt;&gt;"",COUNTIFS($G$2:G71,G71,$H$2:H71,"United Kingdom")=1),1,0)</f>
        <v>0</v>
      </c>
    </row>
    <row r="72" customFormat="false" ht="15" hidden="false" customHeight="false" outlineLevel="0" collapsed="false">
      <c r="A72" s="0" t="s">
        <v>86</v>
      </c>
      <c r="B72" s="0" t="s">
        <v>80</v>
      </c>
      <c r="C72" s="0" t="s">
        <v>81</v>
      </c>
      <c r="D72" s="0" t="n">
        <v>72</v>
      </c>
      <c r="E72" s="2" t="n">
        <v>40523.6583333333</v>
      </c>
      <c r="F72" s="0" t="n">
        <v>1.53</v>
      </c>
      <c r="G72" s="0" t="n">
        <v>15278</v>
      </c>
      <c r="H72" s="3" t="s">
        <v>14</v>
      </c>
      <c r="I72" s="4" t="n">
        <f aca="false">D72*F72</f>
        <v>110.16</v>
      </c>
      <c r="J72" s="3" t="n">
        <f aca="false">IF(AND(LEFT(A72,1)&lt;&gt;"C",D72&gt;0,F72&gt;0),1,0)</f>
        <v>1</v>
      </c>
      <c r="K72" s="3" t="n">
        <f aca="false">IF(AND(H72="United Kingdom",G72&lt;&gt;"",COUNTIFS($G$2:G72,G72,$H$2:H72,"United Kingdom")=1),1,0)</f>
        <v>1</v>
      </c>
    </row>
    <row r="73" customFormat="false" ht="15" hidden="false" customHeight="false" outlineLevel="0" collapsed="false">
      <c r="A73" s="0" t="s">
        <v>87</v>
      </c>
      <c r="B73" s="0" t="s">
        <v>65</v>
      </c>
      <c r="C73" s="0" t="s">
        <v>66</v>
      </c>
      <c r="D73" s="0" t="n">
        <v>8</v>
      </c>
      <c r="E73" s="2" t="n">
        <v>40524.5395833333</v>
      </c>
      <c r="F73" s="0" t="n">
        <v>4.75</v>
      </c>
      <c r="G73" s="0" t="n">
        <v>17481</v>
      </c>
      <c r="H73" s="3" t="s">
        <v>88</v>
      </c>
      <c r="I73" s="4" t="n">
        <f aca="false">D73*F73</f>
        <v>38</v>
      </c>
      <c r="J73" s="3" t="n">
        <f aca="false">IF(AND(LEFT(A73,1)&lt;&gt;"C",D73&gt;0,F73&gt;0),1,0)</f>
        <v>1</v>
      </c>
      <c r="K73" s="3" t="n">
        <f aca="false">IF(AND(H73="United Kingdom",G73&lt;&gt;"",COUNTIFS($G$2:G73,G73,$H$2:H73,"United Kingdom")=1),1,0)</f>
        <v>0</v>
      </c>
    </row>
    <row r="74" customFormat="false" ht="15" hidden="false" customHeight="false" outlineLevel="0" collapsed="false">
      <c r="A74" s="0" t="s">
        <v>87</v>
      </c>
      <c r="B74" s="0" t="s">
        <v>37</v>
      </c>
      <c r="C74" s="0" t="s">
        <v>38</v>
      </c>
      <c r="D74" s="0" t="n">
        <v>2</v>
      </c>
      <c r="E74" s="2" t="n">
        <v>40524.5395833333</v>
      </c>
      <c r="F74" s="0" t="n">
        <v>1.82</v>
      </c>
      <c r="G74" s="0" t="n">
        <v>17481</v>
      </c>
      <c r="H74" s="3" t="s">
        <v>88</v>
      </c>
      <c r="I74" s="4" t="n">
        <f aca="false">D74*F74</f>
        <v>3.64</v>
      </c>
      <c r="J74" s="3" t="n">
        <f aca="false">IF(AND(LEFT(A74,1)&lt;&gt;"C",D74&gt;0,F74&gt;0),1,0)</f>
        <v>1</v>
      </c>
      <c r="K74" s="3" t="n">
        <f aca="false">IF(AND(H74="United Kingdom",G74&lt;&gt;"",COUNTIFS($G$2:G74,G74,$H$2:H74,"United Kingdom")=1),1,0)</f>
        <v>0</v>
      </c>
    </row>
    <row r="75" customFormat="false" ht="15" hidden="false" customHeight="false" outlineLevel="0" collapsed="false">
      <c r="A75" s="0" t="s">
        <v>87</v>
      </c>
      <c r="B75" s="0" t="s">
        <v>39</v>
      </c>
      <c r="C75" s="0" t="s">
        <v>40</v>
      </c>
      <c r="D75" s="0" t="n">
        <v>2</v>
      </c>
      <c r="E75" s="2" t="n">
        <v>40524.5395833333</v>
      </c>
      <c r="F75" s="0" t="n">
        <v>2.58</v>
      </c>
      <c r="G75" s="0" t="n">
        <v>17481</v>
      </c>
      <c r="H75" s="3" t="s">
        <v>88</v>
      </c>
      <c r="I75" s="4" t="n">
        <f aca="false">D75*F75</f>
        <v>5.16</v>
      </c>
      <c r="J75" s="3" t="n">
        <f aca="false">IF(AND(LEFT(A75,1)&lt;&gt;"C",D75&gt;0,F75&gt;0),1,0)</f>
        <v>1</v>
      </c>
      <c r="K75" s="3" t="n">
        <f aca="false">IF(AND(H75="United Kingdom",G75&lt;&gt;"",COUNTIFS($G$2:G75,G75,$H$2:H75,"United Kingdom")=1),1,0)</f>
        <v>0</v>
      </c>
    </row>
    <row r="76" customFormat="false" ht="15" hidden="false" customHeight="false" outlineLevel="0" collapsed="false">
      <c r="A76" s="0" t="s">
        <v>89</v>
      </c>
      <c r="B76" s="0" t="s">
        <v>90</v>
      </c>
      <c r="C76" s="0" t="s">
        <v>91</v>
      </c>
      <c r="D76" s="0" t="n">
        <v>2</v>
      </c>
      <c r="E76" s="2" t="n">
        <v>40525.3638888889</v>
      </c>
      <c r="F76" s="0" t="n">
        <v>3.04</v>
      </c>
      <c r="G76" s="0" t="n">
        <v>16902</v>
      </c>
      <c r="H76" s="3" t="s">
        <v>14</v>
      </c>
      <c r="I76" s="4" t="n">
        <f aca="false">D76*F76</f>
        <v>6.08</v>
      </c>
      <c r="J76" s="3" t="n">
        <f aca="false">IF(AND(LEFT(A76,1)&lt;&gt;"C",D76&gt;0,F76&gt;0),1,0)</f>
        <v>1</v>
      </c>
      <c r="K76" s="3" t="n">
        <f aca="false">IF(AND(H76="United Kingdom",G76&lt;&gt;"",COUNTIFS($G$2:G76,G76,$H$2:H76,"United Kingdom")=1),1,0)</f>
        <v>1</v>
      </c>
    </row>
    <row r="77" customFormat="false" ht="15" hidden="false" customHeight="false" outlineLevel="0" collapsed="false">
      <c r="A77" s="0" t="s">
        <v>89</v>
      </c>
      <c r="B77" s="0" t="s">
        <v>32</v>
      </c>
      <c r="C77" s="0" t="s">
        <v>33</v>
      </c>
      <c r="D77" s="0" t="n">
        <v>4</v>
      </c>
      <c r="E77" s="2" t="n">
        <v>40525.3638888889</v>
      </c>
      <c r="F77" s="0" t="n">
        <v>1.19</v>
      </c>
      <c r="G77" s="0" t="n">
        <v>16902</v>
      </c>
      <c r="H77" s="3" t="s">
        <v>14</v>
      </c>
      <c r="I77" s="4" t="n">
        <f aca="false">D77*F77</f>
        <v>4.76</v>
      </c>
      <c r="J77" s="3" t="n">
        <f aca="false">IF(AND(LEFT(A77,1)&lt;&gt;"C",D77&gt;0,F77&gt;0),1,0)</f>
        <v>1</v>
      </c>
      <c r="K77" s="3" t="n">
        <f aca="false">IF(AND(H77="United Kingdom",G77&lt;&gt;"",COUNTIFS($G$2:G77,G77,$H$2:H77,"United Kingdom")=1),1,0)</f>
        <v>0</v>
      </c>
    </row>
    <row r="78" customFormat="false" ht="15" hidden="false" customHeight="false" outlineLevel="0" collapsed="false">
      <c r="A78" s="0" t="s">
        <v>89</v>
      </c>
      <c r="B78" s="0" t="s">
        <v>58</v>
      </c>
      <c r="C78" s="0" t="s">
        <v>59</v>
      </c>
      <c r="D78" s="0" t="n">
        <v>1</v>
      </c>
      <c r="E78" s="2" t="n">
        <v>40525.3638888889</v>
      </c>
      <c r="F78" s="0" t="n">
        <v>2.16</v>
      </c>
      <c r="G78" s="0" t="n">
        <v>16902</v>
      </c>
      <c r="H78" s="3" t="s">
        <v>14</v>
      </c>
      <c r="I78" s="4" t="n">
        <f aca="false">D78*F78</f>
        <v>2.16</v>
      </c>
      <c r="J78" s="3" t="n">
        <f aca="false">IF(AND(LEFT(A78,1)&lt;&gt;"C",D78&gt;0,F78&gt;0),1,0)</f>
        <v>1</v>
      </c>
      <c r="K78" s="3" t="n">
        <f aca="false">IF(AND(H78="United Kingdom",G78&lt;&gt;"",COUNTIFS($G$2:G78,G78,$H$2:H78,"United Kingdom")=1),1,0)</f>
        <v>0</v>
      </c>
    </row>
    <row r="79" customFormat="false" ht="15" hidden="false" customHeight="false" outlineLevel="0" collapsed="false">
      <c r="A79" s="0" t="s">
        <v>92</v>
      </c>
      <c r="B79" s="0" t="s">
        <v>15</v>
      </c>
      <c r="C79" s="0" t="s">
        <v>16</v>
      </c>
      <c r="D79" s="0" t="n">
        <v>4</v>
      </c>
      <c r="E79" s="2" t="n">
        <v>40525.5576388889</v>
      </c>
      <c r="F79" s="0" t="n">
        <v>3.18</v>
      </c>
      <c r="G79" s="0" t="n">
        <v>17650</v>
      </c>
      <c r="H79" s="3" t="s">
        <v>57</v>
      </c>
      <c r="I79" s="4" t="n">
        <f aca="false">D79*F79</f>
        <v>12.72</v>
      </c>
      <c r="J79" s="3" t="n">
        <f aca="false">IF(AND(LEFT(A79,1)&lt;&gt;"C",D79&gt;0,F79&gt;0),1,0)</f>
        <v>1</v>
      </c>
      <c r="K79" s="3" t="n">
        <f aca="false">IF(AND(H79="United Kingdom",G79&lt;&gt;"",COUNTIFS($G$2:G79,G79,$H$2:H79,"United Kingdom")=1),1,0)</f>
        <v>0</v>
      </c>
    </row>
    <row r="80" customFormat="false" ht="15" hidden="false" customHeight="false" outlineLevel="0" collapsed="false">
      <c r="A80" s="0" t="s">
        <v>92</v>
      </c>
      <c r="B80" s="0" t="s">
        <v>72</v>
      </c>
      <c r="C80" s="0" t="s">
        <v>73</v>
      </c>
      <c r="D80" s="0" t="n">
        <v>6</v>
      </c>
      <c r="E80" s="2" t="n">
        <v>40525.5576388889</v>
      </c>
      <c r="F80" s="0" t="n">
        <v>2.69</v>
      </c>
      <c r="G80" s="0" t="n">
        <v>17650</v>
      </c>
      <c r="H80" s="3" t="s">
        <v>57</v>
      </c>
      <c r="I80" s="4" t="n">
        <f aca="false">D80*F80</f>
        <v>16.14</v>
      </c>
      <c r="J80" s="3" t="n">
        <f aca="false">IF(AND(LEFT(A80,1)&lt;&gt;"C",D80&gt;0,F80&gt;0),1,0)</f>
        <v>1</v>
      </c>
      <c r="K80" s="3" t="n">
        <f aca="false">IF(AND(H80="United Kingdom",G80&lt;&gt;"",COUNTIFS($G$2:G80,G80,$H$2:H80,"United Kingdom")=1),1,0)</f>
        <v>0</v>
      </c>
    </row>
    <row r="81" customFormat="false" ht="15" hidden="false" customHeight="false" outlineLevel="0" collapsed="false">
      <c r="A81" s="0" t="s">
        <v>93</v>
      </c>
      <c r="B81" s="0" t="s">
        <v>20</v>
      </c>
      <c r="C81" s="0" t="s">
        <v>21</v>
      </c>
      <c r="D81" s="0" t="n">
        <v>48</v>
      </c>
      <c r="E81" s="2" t="n">
        <v>40527.4256944444</v>
      </c>
      <c r="F81" s="0" t="n">
        <v>4.24</v>
      </c>
      <c r="G81" s="0" t="n">
        <v>14746</v>
      </c>
      <c r="H81" s="3" t="s">
        <v>14</v>
      </c>
      <c r="I81" s="4" t="n">
        <f aca="false">D81*F81</f>
        <v>203.52</v>
      </c>
      <c r="J81" s="3" t="n">
        <f aca="false">IF(AND(LEFT(A81,1)&lt;&gt;"C",D81&gt;0,F81&gt;0),1,0)</f>
        <v>1</v>
      </c>
      <c r="K81" s="3" t="n">
        <f aca="false">IF(AND(H81="United Kingdom",G81&lt;&gt;"",COUNTIFS($G$2:G81,G81,$H$2:H81,"United Kingdom")=1),1,0)</f>
        <v>1</v>
      </c>
    </row>
    <row r="82" customFormat="false" ht="15" hidden="false" customHeight="false" outlineLevel="0" collapsed="false">
      <c r="A82" s="0" t="s">
        <v>94</v>
      </c>
      <c r="B82" s="0" t="s">
        <v>48</v>
      </c>
      <c r="C82" s="0" t="s">
        <v>49</v>
      </c>
      <c r="D82" s="0" t="n">
        <v>72</v>
      </c>
      <c r="E82" s="2" t="n">
        <v>40527.4555555556</v>
      </c>
      <c r="F82" s="0" t="n">
        <v>1.35</v>
      </c>
      <c r="G82" s="0" t="n">
        <v>13161</v>
      </c>
      <c r="H82" s="3" t="s">
        <v>14</v>
      </c>
      <c r="I82" s="4" t="n">
        <f aca="false">D82*F82</f>
        <v>97.2</v>
      </c>
      <c r="J82" s="3" t="n">
        <f aca="false">IF(AND(LEFT(A82,1)&lt;&gt;"C",D82&gt;0,F82&gt;0),1,0)</f>
        <v>1</v>
      </c>
      <c r="K82" s="3" t="n">
        <f aca="false">IF(AND(H82="United Kingdom",G82&lt;&gt;"",COUNTIFS($G$2:G82,G82,$H$2:H82,"United Kingdom")=1),1,0)</f>
        <v>1</v>
      </c>
    </row>
    <row r="83" customFormat="false" ht="15" hidden="false" customHeight="false" outlineLevel="0" collapsed="false">
      <c r="A83" s="0" t="s">
        <v>94</v>
      </c>
      <c r="B83" s="0" t="s">
        <v>20</v>
      </c>
      <c r="C83" s="0" t="s">
        <v>21</v>
      </c>
      <c r="D83" s="0" t="n">
        <v>192</v>
      </c>
      <c r="E83" s="2" t="n">
        <v>40527.4555555556</v>
      </c>
      <c r="F83" s="0" t="n">
        <v>4.24</v>
      </c>
      <c r="G83" s="0" t="n">
        <v>13161</v>
      </c>
      <c r="H83" s="3" t="s">
        <v>14</v>
      </c>
      <c r="I83" s="4" t="n">
        <f aca="false">D83*F83</f>
        <v>814.08</v>
      </c>
      <c r="J83" s="3" t="n">
        <f aca="false">IF(AND(LEFT(A83,1)&lt;&gt;"C",D83&gt;0,F83&gt;0),1,0)</f>
        <v>1</v>
      </c>
      <c r="K83" s="3" t="n">
        <f aca="false">IF(AND(H83="United Kingdom",G83&lt;&gt;"",COUNTIFS($G$2:G83,G83,$H$2:H83,"United Kingdom")=1),1,0)</f>
        <v>0</v>
      </c>
    </row>
    <row r="84" customFormat="false" ht="15" hidden="false" customHeight="false" outlineLevel="0" collapsed="false">
      <c r="A84" s="0" t="s">
        <v>94</v>
      </c>
      <c r="B84" s="0" t="s">
        <v>58</v>
      </c>
      <c r="C84" s="0" t="s">
        <v>59</v>
      </c>
      <c r="D84" s="0" t="n">
        <v>72</v>
      </c>
      <c r="E84" s="2" t="n">
        <v>40527.4555555556</v>
      </c>
      <c r="F84" s="0" t="n">
        <v>2.16</v>
      </c>
      <c r="G84" s="0" t="n">
        <v>13161</v>
      </c>
      <c r="H84" s="3" t="s">
        <v>14</v>
      </c>
      <c r="I84" s="4" t="n">
        <f aca="false">D84*F84</f>
        <v>155.52</v>
      </c>
      <c r="J84" s="3" t="n">
        <f aca="false">IF(AND(LEFT(A84,1)&lt;&gt;"C",D84&gt;0,F84&gt;0),1,0)</f>
        <v>1</v>
      </c>
      <c r="K84" s="3" t="n">
        <f aca="false">IF(AND(H84="United Kingdom",G84&lt;&gt;"",COUNTIFS($G$2:G84,G84,$H$2:H84,"United Kingdom")=1),1,0)</f>
        <v>0</v>
      </c>
    </row>
    <row r="85" customFormat="false" ht="15" hidden="false" customHeight="false" outlineLevel="0" collapsed="false">
      <c r="A85" s="0" t="s">
        <v>94</v>
      </c>
      <c r="B85" s="0" t="s">
        <v>60</v>
      </c>
      <c r="C85" s="0" t="s">
        <v>61</v>
      </c>
      <c r="D85" s="0" t="n">
        <v>144</v>
      </c>
      <c r="E85" s="2" t="n">
        <v>40527.4555555556</v>
      </c>
      <c r="F85" s="0" t="n">
        <v>0.63</v>
      </c>
      <c r="G85" s="0" t="n">
        <v>13161</v>
      </c>
      <c r="H85" s="3" t="s">
        <v>14</v>
      </c>
      <c r="I85" s="4" t="n">
        <f aca="false">D85*F85</f>
        <v>90.72</v>
      </c>
      <c r="J85" s="3" t="n">
        <f aca="false">IF(AND(LEFT(A85,1)&lt;&gt;"C",D85&gt;0,F85&gt;0),1,0)</f>
        <v>1</v>
      </c>
      <c r="K85" s="3" t="n">
        <f aca="false">IF(AND(H85="United Kingdom",G85&lt;&gt;"",COUNTIFS($G$2:G85,G85,$H$2:H85,"United Kingdom")=1),1,0)</f>
        <v>0</v>
      </c>
    </row>
    <row r="86" customFormat="false" ht="15" hidden="false" customHeight="false" outlineLevel="0" collapsed="false">
      <c r="A86" s="0" t="s">
        <v>94</v>
      </c>
      <c r="B86" s="0" t="s">
        <v>65</v>
      </c>
      <c r="C86" s="0" t="s">
        <v>66</v>
      </c>
      <c r="D86" s="0" t="n">
        <v>36</v>
      </c>
      <c r="E86" s="2" t="n">
        <v>40527.4555555556</v>
      </c>
      <c r="F86" s="0" t="n">
        <v>4.75</v>
      </c>
      <c r="G86" s="0" t="n">
        <v>13161</v>
      </c>
      <c r="H86" s="3" t="s">
        <v>14</v>
      </c>
      <c r="I86" s="4" t="n">
        <f aca="false">D86*F86</f>
        <v>171</v>
      </c>
      <c r="J86" s="3" t="n">
        <f aca="false">IF(AND(LEFT(A86,1)&lt;&gt;"C",D86&gt;0,F86&gt;0),1,0)</f>
        <v>1</v>
      </c>
      <c r="K86" s="3" t="n">
        <f aca="false">IF(AND(H86="United Kingdom",G86&lt;&gt;"",COUNTIFS($G$2:G86,G86,$H$2:H86,"United Kingdom")=1),1,0)</f>
        <v>0</v>
      </c>
    </row>
    <row r="87" customFormat="false" ht="15" hidden="false" customHeight="false" outlineLevel="0" collapsed="false">
      <c r="A87" s="0" t="s">
        <v>94</v>
      </c>
      <c r="B87" s="0" t="s">
        <v>27</v>
      </c>
      <c r="C87" s="0" t="s">
        <v>28</v>
      </c>
      <c r="D87" s="0" t="n">
        <v>18</v>
      </c>
      <c r="E87" s="2" t="n">
        <v>40527.4555555556</v>
      </c>
      <c r="F87" s="0" t="n">
        <v>4.55</v>
      </c>
      <c r="G87" s="0" t="n">
        <v>13161</v>
      </c>
      <c r="H87" s="3" t="s">
        <v>14</v>
      </c>
      <c r="I87" s="4" t="n">
        <f aca="false">D87*F87</f>
        <v>81.9</v>
      </c>
      <c r="J87" s="3" t="n">
        <f aca="false">IF(AND(LEFT(A87,1)&lt;&gt;"C",D87&gt;0,F87&gt;0),1,0)</f>
        <v>1</v>
      </c>
      <c r="K87" s="3" t="n">
        <f aca="false">IF(AND(H87="United Kingdom",G87&lt;&gt;"",COUNTIFS($G$2:G87,G87,$H$2:H87,"United Kingdom")=1),1,0)</f>
        <v>0</v>
      </c>
    </row>
    <row r="88" customFormat="false" ht="15" hidden="false" customHeight="false" outlineLevel="0" collapsed="false">
      <c r="A88" s="0" t="s">
        <v>95</v>
      </c>
      <c r="B88" s="0" t="s">
        <v>45</v>
      </c>
      <c r="C88" s="0" t="s">
        <v>46</v>
      </c>
      <c r="D88" s="0" t="n">
        <v>12</v>
      </c>
      <c r="E88" s="2" t="n">
        <v>40527.7722222222</v>
      </c>
      <c r="F88" s="0" t="n">
        <v>4.55</v>
      </c>
      <c r="G88" s="0" t="n">
        <v>16258</v>
      </c>
      <c r="H88" s="3" t="s">
        <v>14</v>
      </c>
      <c r="I88" s="4" t="n">
        <f aca="false">D88*F88</f>
        <v>54.6</v>
      </c>
      <c r="J88" s="3" t="n">
        <f aca="false">IF(AND(LEFT(A88,1)&lt;&gt;"C",D88&gt;0,F88&gt;0),1,0)</f>
        <v>1</v>
      </c>
      <c r="K88" s="3" t="n">
        <f aca="false">IF(AND(H88="United Kingdom",G88&lt;&gt;"",COUNTIFS($G$2:G88,G88,$H$2:H88,"United Kingdom")=1),1,0)</f>
        <v>1</v>
      </c>
    </row>
    <row r="89" customFormat="false" ht="15" hidden="false" customHeight="false" outlineLevel="0" collapsed="false">
      <c r="A89" s="0" t="s">
        <v>95</v>
      </c>
      <c r="B89" s="0" t="s">
        <v>68</v>
      </c>
      <c r="C89" s="0" t="s">
        <v>69</v>
      </c>
      <c r="D89" s="0" t="n">
        <v>4</v>
      </c>
      <c r="E89" s="2" t="n">
        <v>40527.7722222222</v>
      </c>
      <c r="F89" s="0" t="n">
        <v>1.26</v>
      </c>
      <c r="G89" s="0" t="n">
        <v>16258</v>
      </c>
      <c r="H89" s="3" t="s">
        <v>14</v>
      </c>
      <c r="I89" s="4" t="n">
        <f aca="false">D89*F89</f>
        <v>5.04</v>
      </c>
      <c r="J89" s="3" t="n">
        <f aca="false">IF(AND(LEFT(A89,1)&lt;&gt;"C",D89&gt;0,F89&gt;0),1,0)</f>
        <v>1</v>
      </c>
      <c r="K89" s="3" t="n">
        <f aca="false">IF(AND(H89="United Kingdom",G89&lt;&gt;"",COUNTIFS($G$2:G89,G89,$H$2:H89,"United Kingdom")=1),1,0)</f>
        <v>0</v>
      </c>
    </row>
    <row r="90" customFormat="false" ht="15" hidden="false" customHeight="false" outlineLevel="0" collapsed="false">
      <c r="A90" s="0" t="s">
        <v>95</v>
      </c>
      <c r="B90" s="0" t="s">
        <v>75</v>
      </c>
      <c r="C90" s="0" t="s">
        <v>76</v>
      </c>
      <c r="D90" s="0" t="n">
        <v>2</v>
      </c>
      <c r="E90" s="2" t="n">
        <v>40527.7722222222</v>
      </c>
      <c r="F90" s="0" t="n">
        <v>1.97</v>
      </c>
      <c r="G90" s="0" t="n">
        <v>16258</v>
      </c>
      <c r="H90" s="3" t="s">
        <v>14</v>
      </c>
      <c r="I90" s="4" t="n">
        <f aca="false">D90*F90</f>
        <v>3.94</v>
      </c>
      <c r="J90" s="3" t="n">
        <f aca="false">IF(AND(LEFT(A90,1)&lt;&gt;"C",D90&gt;0,F90&gt;0),1,0)</f>
        <v>1</v>
      </c>
      <c r="K90" s="3" t="n">
        <f aca="false">IF(AND(H90="United Kingdom",G90&lt;&gt;"",COUNTIFS($G$2:G90,G90,$H$2:H90,"United Kingdom")=1),1,0)</f>
        <v>0</v>
      </c>
    </row>
    <row r="91" customFormat="false" ht="15" hidden="false" customHeight="false" outlineLevel="0" collapsed="false">
      <c r="A91" s="0" t="s">
        <v>95</v>
      </c>
      <c r="B91" s="0" t="s">
        <v>77</v>
      </c>
      <c r="C91" s="0" t="s">
        <v>78</v>
      </c>
      <c r="D91" s="0" t="n">
        <v>1</v>
      </c>
      <c r="E91" s="2" t="n">
        <v>40527.7722222222</v>
      </c>
      <c r="F91" s="0" t="n">
        <v>3.41</v>
      </c>
      <c r="G91" s="0" t="n">
        <v>16258</v>
      </c>
      <c r="H91" s="3" t="s">
        <v>14</v>
      </c>
      <c r="I91" s="4" t="n">
        <f aca="false">D91*F91</f>
        <v>3.41</v>
      </c>
      <c r="J91" s="3" t="n">
        <f aca="false">IF(AND(LEFT(A91,1)&lt;&gt;"C",D91&gt;0,F91&gt;0),1,0)</f>
        <v>1</v>
      </c>
      <c r="K91" s="3" t="n">
        <f aca="false">IF(AND(H91="United Kingdom",G91&lt;&gt;"",COUNTIFS($G$2:G91,G91,$H$2:H91,"United Kingdom")=1),1,0)</f>
        <v>0</v>
      </c>
    </row>
    <row r="92" customFormat="false" ht="15" hidden="false" customHeight="false" outlineLevel="0" collapsed="false">
      <c r="A92" s="0" t="s">
        <v>95</v>
      </c>
      <c r="B92" s="0" t="s">
        <v>80</v>
      </c>
      <c r="C92" s="0" t="s">
        <v>81</v>
      </c>
      <c r="D92" s="0" t="n">
        <v>6</v>
      </c>
      <c r="E92" s="2" t="n">
        <v>40527.7722222222</v>
      </c>
      <c r="F92" s="0" t="n">
        <v>1.53</v>
      </c>
      <c r="G92" s="0" t="n">
        <v>16258</v>
      </c>
      <c r="H92" s="3" t="s">
        <v>14</v>
      </c>
      <c r="I92" s="4" t="n">
        <f aca="false">D92*F92</f>
        <v>9.18</v>
      </c>
      <c r="J92" s="3" t="n">
        <f aca="false">IF(AND(LEFT(A92,1)&lt;&gt;"C",D92&gt;0,F92&gt;0),1,0)</f>
        <v>1</v>
      </c>
      <c r="K92" s="3" t="n">
        <f aca="false">IF(AND(H92="United Kingdom",G92&lt;&gt;"",COUNTIFS($G$2:G92,G92,$H$2:H92,"United Kingdom")=1),1,0)</f>
        <v>0</v>
      </c>
    </row>
    <row r="93" customFormat="false" ht="15" hidden="false" customHeight="false" outlineLevel="0" collapsed="false">
      <c r="A93" s="0" t="s">
        <v>96</v>
      </c>
      <c r="B93" s="0" t="s">
        <v>54</v>
      </c>
      <c r="C93" s="0" t="s">
        <v>55</v>
      </c>
      <c r="D93" s="0" t="n">
        <v>12</v>
      </c>
      <c r="E93" s="2" t="n">
        <v>40528.6881944445</v>
      </c>
      <c r="F93" s="0" t="n">
        <v>0.99</v>
      </c>
      <c r="G93" s="0" t="n">
        <v>17540</v>
      </c>
      <c r="H93" s="3" t="s">
        <v>97</v>
      </c>
      <c r="I93" s="4" t="n">
        <f aca="false">D93*F93</f>
        <v>11.88</v>
      </c>
      <c r="J93" s="3" t="n">
        <f aca="false">IF(AND(LEFT(A93,1)&lt;&gt;"C",D93&gt;0,F93&gt;0),1,0)</f>
        <v>1</v>
      </c>
      <c r="K93" s="3" t="n">
        <f aca="false">IF(AND(H93="United Kingdom",G93&lt;&gt;"",COUNTIFS($G$2:G93,G93,$H$2:H93,"United Kingdom")=1),1,0)</f>
        <v>0</v>
      </c>
    </row>
    <row r="94" customFormat="false" ht="15" hidden="false" customHeight="false" outlineLevel="0" collapsed="false">
      <c r="A94" s="0" t="s">
        <v>96</v>
      </c>
      <c r="B94" s="0" t="s">
        <v>43</v>
      </c>
      <c r="C94" s="0" t="s">
        <v>44</v>
      </c>
      <c r="D94" s="0" t="n">
        <v>16</v>
      </c>
      <c r="E94" s="2" t="n">
        <v>40528.6881944445</v>
      </c>
      <c r="F94" s="0" t="n">
        <v>1.35</v>
      </c>
      <c r="G94" s="0" t="n">
        <v>17540</v>
      </c>
      <c r="H94" s="3" t="s">
        <v>97</v>
      </c>
      <c r="I94" s="4" t="n">
        <f aca="false">D94*F94</f>
        <v>21.6</v>
      </c>
      <c r="J94" s="3" t="n">
        <f aca="false">IF(AND(LEFT(A94,1)&lt;&gt;"C",D94&gt;0,F94&gt;0),1,0)</f>
        <v>1</v>
      </c>
      <c r="K94" s="3" t="n">
        <f aca="false">IF(AND(H94="United Kingdom",G94&lt;&gt;"",COUNTIFS($G$2:G94,G94,$H$2:H94,"United Kingdom")=1),1,0)</f>
        <v>0</v>
      </c>
    </row>
    <row r="95" customFormat="false" ht="15" hidden="false" customHeight="false" outlineLevel="0" collapsed="false">
      <c r="A95" s="0" t="s">
        <v>96</v>
      </c>
      <c r="B95" s="0" t="s">
        <v>39</v>
      </c>
      <c r="C95" s="0" t="s">
        <v>40</v>
      </c>
      <c r="D95" s="0" t="n">
        <v>24</v>
      </c>
      <c r="E95" s="2" t="n">
        <v>40528.6881944445</v>
      </c>
      <c r="F95" s="0" t="n">
        <v>2.58</v>
      </c>
      <c r="G95" s="0" t="n">
        <v>17540</v>
      </c>
      <c r="H95" s="3" t="s">
        <v>97</v>
      </c>
      <c r="I95" s="4" t="n">
        <f aca="false">D95*F95</f>
        <v>61.92</v>
      </c>
      <c r="J95" s="3" t="n">
        <f aca="false">IF(AND(LEFT(A95,1)&lt;&gt;"C",D95&gt;0,F95&gt;0),1,0)</f>
        <v>1</v>
      </c>
      <c r="K95" s="3" t="n">
        <f aca="false">IF(AND(H95="United Kingdom",G95&lt;&gt;"",COUNTIFS($G$2:G95,G95,$H$2:H95,"United Kingdom")=1),1,0)</f>
        <v>0</v>
      </c>
    </row>
    <row r="96" customFormat="false" ht="15" hidden="false" customHeight="false" outlineLevel="0" collapsed="false">
      <c r="A96" s="0" t="s">
        <v>96</v>
      </c>
      <c r="B96" s="0" t="s">
        <v>63</v>
      </c>
      <c r="C96" s="0" t="s">
        <v>64</v>
      </c>
      <c r="D96" s="0" t="n">
        <v>12</v>
      </c>
      <c r="E96" s="2" t="n">
        <v>40528.6881944445</v>
      </c>
      <c r="F96" s="0" t="n">
        <v>2.43</v>
      </c>
      <c r="G96" s="0" t="n">
        <v>17540</v>
      </c>
      <c r="H96" s="3" t="s">
        <v>97</v>
      </c>
      <c r="I96" s="4" t="n">
        <f aca="false">D96*F96</f>
        <v>29.16</v>
      </c>
      <c r="J96" s="3" t="n">
        <f aca="false">IF(AND(LEFT(A96,1)&lt;&gt;"C",D96&gt;0,F96&gt;0),1,0)</f>
        <v>1</v>
      </c>
      <c r="K96" s="3" t="n">
        <f aca="false">IF(AND(H96="United Kingdom",G96&lt;&gt;"",COUNTIFS($G$2:G96,G96,$H$2:H96,"United Kingdom")=1),1,0)</f>
        <v>0</v>
      </c>
    </row>
    <row r="97" customFormat="false" ht="15" hidden="false" customHeight="false" outlineLevel="0" collapsed="false">
      <c r="A97" s="0" t="s">
        <v>96</v>
      </c>
      <c r="B97" s="0" t="s">
        <v>32</v>
      </c>
      <c r="C97" s="0" t="s">
        <v>33</v>
      </c>
      <c r="D97" s="0" t="n">
        <v>2</v>
      </c>
      <c r="E97" s="2" t="n">
        <v>40528.6881944445</v>
      </c>
      <c r="F97" s="0" t="n">
        <v>1.19</v>
      </c>
      <c r="G97" s="0" t="n">
        <v>17540</v>
      </c>
      <c r="H97" s="3" t="s">
        <v>97</v>
      </c>
      <c r="I97" s="4" t="n">
        <f aca="false">D97*F97</f>
        <v>2.38</v>
      </c>
      <c r="J97" s="3" t="n">
        <f aca="false">IF(AND(LEFT(A97,1)&lt;&gt;"C",D97&gt;0,F97&gt;0),1,0)</f>
        <v>1</v>
      </c>
      <c r="K97" s="3" t="n">
        <f aca="false">IF(AND(H97="United Kingdom",G97&lt;&gt;"",COUNTIFS($G$2:G97,G97,$H$2:H97,"United Kingdom")=1),1,0)</f>
        <v>0</v>
      </c>
    </row>
    <row r="98" customFormat="false" ht="15" hidden="false" customHeight="false" outlineLevel="0" collapsed="false">
      <c r="A98" s="0" t="s">
        <v>96</v>
      </c>
      <c r="B98" s="0" t="s">
        <v>37</v>
      </c>
      <c r="C98" s="0" t="s">
        <v>38</v>
      </c>
      <c r="D98" s="0" t="n">
        <v>6</v>
      </c>
      <c r="E98" s="2" t="n">
        <v>40528.6881944445</v>
      </c>
      <c r="F98" s="0" t="n">
        <v>1.82</v>
      </c>
      <c r="G98" s="0" t="n">
        <v>17540</v>
      </c>
      <c r="H98" s="3" t="s">
        <v>97</v>
      </c>
      <c r="I98" s="4" t="n">
        <f aca="false">D98*F98</f>
        <v>10.92</v>
      </c>
      <c r="J98" s="3" t="n">
        <f aca="false">IF(AND(LEFT(A98,1)&lt;&gt;"C",D98&gt;0,F98&gt;0),1,0)</f>
        <v>1</v>
      </c>
      <c r="K98" s="3" t="n">
        <f aca="false">IF(AND(H98="United Kingdom",G98&lt;&gt;"",COUNTIFS($G$2:G98,G98,$H$2:H98,"United Kingdom")=1),1,0)</f>
        <v>0</v>
      </c>
    </row>
    <row r="99" customFormat="false" ht="15" hidden="false" customHeight="false" outlineLevel="0" collapsed="false">
      <c r="A99" s="0" t="s">
        <v>96</v>
      </c>
      <c r="B99" s="0" t="s">
        <v>52</v>
      </c>
      <c r="C99" s="0" t="s">
        <v>53</v>
      </c>
      <c r="D99" s="0" t="n">
        <v>8</v>
      </c>
      <c r="E99" s="2" t="n">
        <v>40528.6881944445</v>
      </c>
      <c r="F99" s="0" t="n">
        <v>4.16</v>
      </c>
      <c r="G99" s="0" t="n">
        <v>17540</v>
      </c>
      <c r="H99" s="3" t="s">
        <v>97</v>
      </c>
      <c r="I99" s="4" t="n">
        <f aca="false">D99*F99</f>
        <v>33.28</v>
      </c>
      <c r="J99" s="3" t="n">
        <f aca="false">IF(AND(LEFT(A99,1)&lt;&gt;"C",D99&gt;0,F99&gt;0),1,0)</f>
        <v>1</v>
      </c>
      <c r="K99" s="3" t="n">
        <f aca="false">IF(AND(H99="United Kingdom",G99&lt;&gt;"",COUNTIFS($G$2:G99,G99,$H$2:H99,"United Kingdom")=1),1,0)</f>
        <v>0</v>
      </c>
    </row>
    <row r="100" customFormat="false" ht="15" hidden="false" customHeight="false" outlineLevel="0" collapsed="false">
      <c r="A100" s="0" t="s">
        <v>96</v>
      </c>
      <c r="B100" s="0" t="s">
        <v>29</v>
      </c>
      <c r="C100" s="0" t="s">
        <v>30</v>
      </c>
      <c r="D100" s="0" t="n">
        <v>24</v>
      </c>
      <c r="E100" s="2" t="n">
        <v>40528.6881944445</v>
      </c>
      <c r="F100" s="0" t="n">
        <v>5.79</v>
      </c>
      <c r="G100" s="0" t="n">
        <v>17540</v>
      </c>
      <c r="H100" s="3" t="s">
        <v>97</v>
      </c>
      <c r="I100" s="4" t="n">
        <f aca="false">D100*F100</f>
        <v>138.96</v>
      </c>
      <c r="J100" s="3" t="n">
        <f aca="false">IF(AND(LEFT(A100,1)&lt;&gt;"C",D100&gt;0,F100&gt;0),1,0)</f>
        <v>1</v>
      </c>
      <c r="K100" s="3" t="n">
        <f aca="false">IF(AND(H100="United Kingdom",G100&lt;&gt;"",COUNTIFS($G$2:G100,G100,$H$2:H100,"United Kingdom")=1),1,0)</f>
        <v>0</v>
      </c>
    </row>
    <row r="101" customFormat="false" ht="15" hidden="false" customHeight="false" outlineLevel="0" collapsed="false">
      <c r="A101" s="0" t="s">
        <v>96</v>
      </c>
      <c r="B101" s="0" t="s">
        <v>25</v>
      </c>
      <c r="C101" s="0" t="s">
        <v>26</v>
      </c>
      <c r="D101" s="0" t="n">
        <v>8</v>
      </c>
      <c r="E101" s="2" t="n">
        <v>40528.6881944445</v>
      </c>
      <c r="F101" s="0" t="n">
        <v>2.21</v>
      </c>
      <c r="G101" s="0" t="n">
        <v>17540</v>
      </c>
      <c r="H101" s="3" t="s">
        <v>97</v>
      </c>
      <c r="I101" s="4" t="n">
        <f aca="false">D101*F101</f>
        <v>17.68</v>
      </c>
      <c r="J101" s="3" t="n">
        <f aca="false">IF(AND(LEFT(A101,1)&lt;&gt;"C",D101&gt;0,F101&gt;0),1,0)</f>
        <v>1</v>
      </c>
      <c r="K101" s="3" t="n">
        <f aca="false">IF(AND(H101="United Kingdom",G101&lt;&gt;"",COUNTIFS($G$2:G101,G101,$H$2:H101,"United Kingdom")=1),1,0)</f>
        <v>0</v>
      </c>
    </row>
    <row r="102" customFormat="false" ht="15" hidden="false" customHeight="false" outlineLevel="0" collapsed="false">
      <c r="A102" s="0" t="s">
        <v>98</v>
      </c>
      <c r="B102" s="0" t="s">
        <v>50</v>
      </c>
      <c r="C102" s="0" t="s">
        <v>51</v>
      </c>
      <c r="D102" s="0" t="n">
        <v>12</v>
      </c>
      <c r="E102" s="2" t="n">
        <v>40530.4</v>
      </c>
      <c r="F102" s="0" t="n">
        <v>5.41</v>
      </c>
      <c r="G102" s="0" t="n">
        <v>14601</v>
      </c>
      <c r="H102" s="3" t="s">
        <v>14</v>
      </c>
      <c r="I102" s="4" t="n">
        <f aca="false">D102*F102</f>
        <v>64.92</v>
      </c>
      <c r="J102" s="3" t="n">
        <f aca="false">IF(AND(LEFT(A102,1)&lt;&gt;"C",D102&gt;0,F102&gt;0),1,0)</f>
        <v>1</v>
      </c>
      <c r="K102" s="3" t="n">
        <f aca="false">IF(AND(H102="United Kingdom",G102&lt;&gt;"",COUNTIFS($G$2:G102,G102,$H$2:H102,"United Kingdom")=1),1,0)</f>
        <v>1</v>
      </c>
    </row>
    <row r="103" customFormat="false" ht="15" hidden="false" customHeight="false" outlineLevel="0" collapsed="false">
      <c r="A103" s="0" t="s">
        <v>99</v>
      </c>
      <c r="B103" s="0" t="s">
        <v>25</v>
      </c>
      <c r="C103" s="0" t="s">
        <v>26</v>
      </c>
      <c r="D103" s="0" t="n">
        <v>6</v>
      </c>
      <c r="E103" s="2" t="n">
        <v>40530.6201388889</v>
      </c>
      <c r="F103" s="0" t="n">
        <v>2.21</v>
      </c>
      <c r="G103" s="0" t="n">
        <v>16583</v>
      </c>
      <c r="H103" s="3" t="s">
        <v>14</v>
      </c>
      <c r="I103" s="4" t="n">
        <f aca="false">D103*F103</f>
        <v>13.26</v>
      </c>
      <c r="J103" s="3" t="n">
        <f aca="false">IF(AND(LEFT(A103,1)&lt;&gt;"C",D103&gt;0,F103&gt;0),1,0)</f>
        <v>1</v>
      </c>
      <c r="K103" s="3" t="n">
        <f aca="false">IF(AND(H103="United Kingdom",G103&lt;&gt;"",COUNTIFS($G$2:G103,G103,$H$2:H103,"United Kingdom")=1),1,0)</f>
        <v>1</v>
      </c>
    </row>
    <row r="104" customFormat="false" ht="15" hidden="false" customHeight="false" outlineLevel="0" collapsed="false">
      <c r="A104" s="0" t="s">
        <v>100</v>
      </c>
      <c r="B104" s="0" t="s">
        <v>77</v>
      </c>
      <c r="C104" s="0" t="s">
        <v>78</v>
      </c>
      <c r="D104" s="0" t="n">
        <v>1</v>
      </c>
      <c r="E104" s="2" t="n">
        <v>40530.7583333333</v>
      </c>
      <c r="F104" s="0" t="n">
        <v>3.41</v>
      </c>
      <c r="G104" s="0" t="n">
        <v>16471</v>
      </c>
      <c r="H104" s="3" t="s">
        <v>101</v>
      </c>
      <c r="I104" s="4" t="n">
        <f aca="false">D104*F104</f>
        <v>3.41</v>
      </c>
      <c r="J104" s="3" t="n">
        <f aca="false">IF(AND(LEFT(A104,1)&lt;&gt;"C",D104&gt;0,F104&gt;0),1,0)</f>
        <v>1</v>
      </c>
      <c r="K104" s="3" t="n">
        <f aca="false">IF(AND(H104="United Kingdom",G104&lt;&gt;"",COUNTIFS($G$2:G104,G104,$H$2:H104,"United Kingdom")=1),1,0)</f>
        <v>0</v>
      </c>
    </row>
    <row r="105" customFormat="false" ht="15" hidden="false" customHeight="false" outlineLevel="0" collapsed="false">
      <c r="A105" s="0" t="s">
        <v>100</v>
      </c>
      <c r="B105" s="0" t="s">
        <v>34</v>
      </c>
      <c r="C105" s="0" t="s">
        <v>35</v>
      </c>
      <c r="D105" s="0" t="n">
        <v>8</v>
      </c>
      <c r="E105" s="2" t="n">
        <v>40530.7583333333</v>
      </c>
      <c r="F105" s="0" t="n">
        <v>2.38</v>
      </c>
      <c r="G105" s="0" t="n">
        <v>16471</v>
      </c>
      <c r="H105" s="3" t="s">
        <v>101</v>
      </c>
      <c r="I105" s="4" t="n">
        <f aca="false">D105*F105</f>
        <v>19.04</v>
      </c>
      <c r="J105" s="3" t="n">
        <f aca="false">IF(AND(LEFT(A105,1)&lt;&gt;"C",D105&gt;0,F105&gt;0),1,0)</f>
        <v>1</v>
      </c>
      <c r="K105" s="3" t="n">
        <f aca="false">IF(AND(H105="United Kingdom",G105&lt;&gt;"",COUNTIFS($G$2:G105,G105,$H$2:H105,"United Kingdom")=1),1,0)</f>
        <v>0</v>
      </c>
    </row>
    <row r="106" customFormat="false" ht="15" hidden="false" customHeight="false" outlineLevel="0" collapsed="false">
      <c r="A106" s="0" t="s">
        <v>102</v>
      </c>
      <c r="B106" s="0" t="s">
        <v>50</v>
      </c>
      <c r="C106" s="0" t="s">
        <v>51</v>
      </c>
      <c r="D106" s="0" t="n">
        <v>96</v>
      </c>
      <c r="E106" s="2" t="n">
        <v>40530.7701388889</v>
      </c>
      <c r="F106" s="0" t="n">
        <v>5.41</v>
      </c>
      <c r="G106" s="0" t="n">
        <v>18211</v>
      </c>
      <c r="H106" s="3" t="s">
        <v>14</v>
      </c>
      <c r="I106" s="4" t="n">
        <f aca="false">D106*F106</f>
        <v>519.36</v>
      </c>
      <c r="J106" s="3" t="n">
        <f aca="false">IF(AND(LEFT(A106,1)&lt;&gt;"C",D106&gt;0,F106&gt;0),1,0)</f>
        <v>1</v>
      </c>
      <c r="K106" s="3" t="n">
        <f aca="false">IF(AND(H106="United Kingdom",G106&lt;&gt;"",COUNTIFS($G$2:G106,G106,$H$2:H106,"United Kingdom")=1),1,0)</f>
        <v>1</v>
      </c>
    </row>
    <row r="107" customFormat="false" ht="15" hidden="false" customHeight="false" outlineLevel="0" collapsed="false">
      <c r="A107" s="0" t="s">
        <v>102</v>
      </c>
      <c r="B107" s="0" t="s">
        <v>72</v>
      </c>
      <c r="C107" s="0" t="s">
        <v>73</v>
      </c>
      <c r="D107" s="0" t="n">
        <v>24</v>
      </c>
      <c r="E107" s="2" t="n">
        <v>40530.7701388889</v>
      </c>
      <c r="F107" s="0" t="n">
        <v>2.69</v>
      </c>
      <c r="G107" s="0" t="n">
        <v>18211</v>
      </c>
      <c r="H107" s="3" t="s">
        <v>14</v>
      </c>
      <c r="I107" s="4" t="n">
        <f aca="false">D107*F107</f>
        <v>64.56</v>
      </c>
      <c r="J107" s="3" t="n">
        <f aca="false">IF(AND(LEFT(A107,1)&lt;&gt;"C",D107&gt;0,F107&gt;0),1,0)</f>
        <v>1</v>
      </c>
      <c r="K107" s="3" t="n">
        <f aca="false">IF(AND(H107="United Kingdom",G107&lt;&gt;"",COUNTIFS($G$2:G107,G107,$H$2:H107,"United Kingdom")=1),1,0)</f>
        <v>0</v>
      </c>
    </row>
    <row r="108" customFormat="false" ht="15" hidden="false" customHeight="false" outlineLevel="0" collapsed="false">
      <c r="A108" s="0" t="s">
        <v>103</v>
      </c>
      <c r="B108" s="0" t="s">
        <v>54</v>
      </c>
      <c r="C108" s="0" t="s">
        <v>55</v>
      </c>
      <c r="D108" s="0" t="n">
        <v>12</v>
      </c>
      <c r="E108" s="2" t="n">
        <v>40532.5027777778</v>
      </c>
      <c r="F108" s="0" t="n">
        <v>0.99</v>
      </c>
      <c r="G108" s="0" t="n">
        <v>15321</v>
      </c>
      <c r="H108" s="3" t="s">
        <v>14</v>
      </c>
      <c r="I108" s="4" t="n">
        <f aca="false">D108*F108</f>
        <v>11.88</v>
      </c>
      <c r="J108" s="3" t="n">
        <f aca="false">IF(AND(LEFT(A108,1)&lt;&gt;"C",D108&gt;0,F108&gt;0),1,0)</f>
        <v>1</v>
      </c>
      <c r="K108" s="3" t="n">
        <f aca="false">IF(AND(H108="United Kingdom",G108&lt;&gt;"",COUNTIFS($G$2:G108,G108,$H$2:H108,"United Kingdom")=1),1,0)</f>
        <v>1</v>
      </c>
    </row>
    <row r="109" customFormat="false" ht="15" hidden="false" customHeight="false" outlineLevel="0" collapsed="false">
      <c r="A109" s="0" t="s">
        <v>104</v>
      </c>
      <c r="B109" s="0" t="s">
        <v>65</v>
      </c>
      <c r="C109" s="0" t="s">
        <v>66</v>
      </c>
      <c r="D109" s="0" t="n">
        <v>4</v>
      </c>
      <c r="E109" s="2" t="n">
        <v>40532.6006944445</v>
      </c>
      <c r="F109" s="0" t="n">
        <v>4.75</v>
      </c>
      <c r="G109" s="0" t="n">
        <v>18216</v>
      </c>
      <c r="H109" s="3" t="s">
        <v>14</v>
      </c>
      <c r="I109" s="4" t="n">
        <f aca="false">D109*F109</f>
        <v>19</v>
      </c>
      <c r="J109" s="3" t="n">
        <f aca="false">IF(AND(LEFT(A109,1)&lt;&gt;"C",D109&gt;0,F109&gt;0),1,0)</f>
        <v>1</v>
      </c>
      <c r="K109" s="3" t="n">
        <f aca="false">IF(AND(H109="United Kingdom",G109&lt;&gt;"",COUNTIFS($G$2:G109,G109,$H$2:H109,"United Kingdom")=1),1,0)</f>
        <v>1</v>
      </c>
    </row>
    <row r="110" customFormat="false" ht="15" hidden="false" customHeight="false" outlineLevel="0" collapsed="false">
      <c r="A110" s="0" t="s">
        <v>104</v>
      </c>
      <c r="B110" s="0" t="s">
        <v>45</v>
      </c>
      <c r="C110" s="0" t="s">
        <v>46</v>
      </c>
      <c r="D110" s="0" t="n">
        <v>6</v>
      </c>
      <c r="E110" s="2" t="n">
        <v>40532.6006944445</v>
      </c>
      <c r="F110" s="0" t="n">
        <v>4.55</v>
      </c>
      <c r="G110" s="0" t="n">
        <v>18216</v>
      </c>
      <c r="H110" s="3" t="s">
        <v>14</v>
      </c>
      <c r="I110" s="4" t="n">
        <f aca="false">D110*F110</f>
        <v>27.3</v>
      </c>
      <c r="J110" s="3" t="n">
        <f aca="false">IF(AND(LEFT(A110,1)&lt;&gt;"C",D110&gt;0,F110&gt;0),1,0)</f>
        <v>1</v>
      </c>
      <c r="K110" s="3" t="n">
        <f aca="false">IF(AND(H110="United Kingdom",G110&lt;&gt;"",COUNTIFS($G$2:G110,G110,$H$2:H110,"United Kingdom")=1),1,0)</f>
        <v>0</v>
      </c>
    </row>
    <row r="111" customFormat="false" ht="15" hidden="false" customHeight="false" outlineLevel="0" collapsed="false">
      <c r="A111" s="0" t="s">
        <v>104</v>
      </c>
      <c r="B111" s="0" t="s">
        <v>32</v>
      </c>
      <c r="C111" s="0" t="s">
        <v>33</v>
      </c>
      <c r="D111" s="0" t="n">
        <v>2</v>
      </c>
      <c r="E111" s="2" t="n">
        <v>40532.6006944445</v>
      </c>
      <c r="F111" s="0" t="n">
        <v>1.19</v>
      </c>
      <c r="G111" s="0" t="n">
        <v>18216</v>
      </c>
      <c r="H111" s="3" t="s">
        <v>14</v>
      </c>
      <c r="I111" s="4" t="n">
        <f aca="false">D111*F111</f>
        <v>2.38</v>
      </c>
      <c r="J111" s="3" t="n">
        <f aca="false">IF(AND(LEFT(A111,1)&lt;&gt;"C",D111&gt;0,F111&gt;0),1,0)</f>
        <v>1</v>
      </c>
      <c r="K111" s="3" t="n">
        <f aca="false">IF(AND(H111="United Kingdom",G111&lt;&gt;"",COUNTIFS($G$2:G111,G111,$H$2:H111,"United Kingdom")=1),1,0)</f>
        <v>0</v>
      </c>
    </row>
    <row r="112" customFormat="false" ht="15" hidden="false" customHeight="false" outlineLevel="0" collapsed="false">
      <c r="A112" s="0" t="s">
        <v>105</v>
      </c>
      <c r="B112" s="0" t="s">
        <v>72</v>
      </c>
      <c r="C112" s="0" t="s">
        <v>73</v>
      </c>
      <c r="D112" s="0" t="n">
        <v>72</v>
      </c>
      <c r="E112" s="2" t="n">
        <v>40532.70625</v>
      </c>
      <c r="F112" s="0" t="n">
        <v>2.69</v>
      </c>
      <c r="G112" s="0" t="n">
        <v>13045</v>
      </c>
      <c r="H112" s="3" t="s">
        <v>14</v>
      </c>
      <c r="I112" s="4" t="n">
        <f aca="false">D112*F112</f>
        <v>193.68</v>
      </c>
      <c r="J112" s="3" t="n">
        <f aca="false">IF(AND(LEFT(A112,1)&lt;&gt;"C",D112&gt;0,F112&gt;0),1,0)</f>
        <v>1</v>
      </c>
      <c r="K112" s="3" t="n">
        <f aca="false">IF(AND(H112="United Kingdom",G112&lt;&gt;"",COUNTIFS($G$2:G112,G112,$H$2:H112,"United Kingdom")=1),1,0)</f>
        <v>0</v>
      </c>
    </row>
    <row r="113" customFormat="false" ht="15" hidden="false" customHeight="false" outlineLevel="0" collapsed="false">
      <c r="A113" s="0" t="s">
        <v>105</v>
      </c>
      <c r="B113" s="0" t="s">
        <v>63</v>
      </c>
      <c r="C113" s="0" t="s">
        <v>64</v>
      </c>
      <c r="D113" s="0" t="n">
        <v>24</v>
      </c>
      <c r="E113" s="2" t="n">
        <v>40532.70625</v>
      </c>
      <c r="F113" s="0" t="n">
        <v>2.43</v>
      </c>
      <c r="G113" s="0" t="n">
        <v>13045</v>
      </c>
      <c r="H113" s="3" t="s">
        <v>14</v>
      </c>
      <c r="I113" s="4" t="n">
        <f aca="false">D113*F113</f>
        <v>58.32</v>
      </c>
      <c r="J113" s="3" t="n">
        <f aca="false">IF(AND(LEFT(A113,1)&lt;&gt;"C",D113&gt;0,F113&gt;0),1,0)</f>
        <v>1</v>
      </c>
      <c r="K113" s="3" t="n">
        <f aca="false">IF(AND(H113="United Kingdom",G113&lt;&gt;"",COUNTIFS($G$2:G113,G113,$H$2:H113,"United Kingdom")=1),1,0)</f>
        <v>0</v>
      </c>
    </row>
    <row r="114" customFormat="false" ht="15" hidden="false" customHeight="false" outlineLevel="0" collapsed="false">
      <c r="A114" s="0" t="s">
        <v>105</v>
      </c>
      <c r="B114" s="0" t="s">
        <v>77</v>
      </c>
      <c r="C114" s="0" t="s">
        <v>78</v>
      </c>
      <c r="D114" s="0" t="n">
        <v>288</v>
      </c>
      <c r="E114" s="2" t="n">
        <v>40532.70625</v>
      </c>
      <c r="F114" s="0" t="n">
        <v>3.41</v>
      </c>
      <c r="G114" s="0" t="n">
        <v>13045</v>
      </c>
      <c r="H114" s="3" t="s">
        <v>14</v>
      </c>
      <c r="I114" s="4" t="n">
        <f aca="false">D114*F114</f>
        <v>982.08</v>
      </c>
      <c r="J114" s="3" t="n">
        <f aca="false">IF(AND(LEFT(A114,1)&lt;&gt;"C",D114&gt;0,F114&gt;0),1,0)</f>
        <v>1</v>
      </c>
      <c r="K114" s="3" t="n">
        <f aca="false">IF(AND(H114="United Kingdom",G114&lt;&gt;"",COUNTIFS($G$2:G114,G114,$H$2:H114,"United Kingdom")=1),1,0)</f>
        <v>0</v>
      </c>
    </row>
    <row r="115" customFormat="false" ht="15" hidden="false" customHeight="false" outlineLevel="0" collapsed="false">
      <c r="A115" s="0" t="s">
        <v>105</v>
      </c>
      <c r="B115" s="0" t="s">
        <v>50</v>
      </c>
      <c r="C115" s="0" t="s">
        <v>51</v>
      </c>
      <c r="D115" s="0" t="n">
        <v>18</v>
      </c>
      <c r="E115" s="2" t="n">
        <v>40532.70625</v>
      </c>
      <c r="F115" s="0" t="n">
        <v>5.41</v>
      </c>
      <c r="G115" s="0" t="n">
        <v>13045</v>
      </c>
      <c r="H115" s="3" t="s">
        <v>14</v>
      </c>
      <c r="I115" s="4" t="n">
        <f aca="false">D115*F115</f>
        <v>97.38</v>
      </c>
      <c r="J115" s="3" t="n">
        <f aca="false">IF(AND(LEFT(A115,1)&lt;&gt;"C",D115&gt;0,F115&gt;0),1,0)</f>
        <v>1</v>
      </c>
      <c r="K115" s="3" t="n">
        <f aca="false">IF(AND(H115="United Kingdom",G115&lt;&gt;"",COUNTIFS($G$2:G115,G115,$H$2:H115,"United Kingdom")=1),1,0)</f>
        <v>0</v>
      </c>
    </row>
    <row r="116" customFormat="false" ht="15" hidden="false" customHeight="false" outlineLevel="0" collapsed="false">
      <c r="A116" s="0" t="s">
        <v>105</v>
      </c>
      <c r="B116" s="0" t="s">
        <v>29</v>
      </c>
      <c r="C116" s="0" t="s">
        <v>30</v>
      </c>
      <c r="D116" s="0" t="n">
        <v>48</v>
      </c>
      <c r="E116" s="2" t="n">
        <v>40532.70625</v>
      </c>
      <c r="F116" s="0" t="n">
        <v>5.79</v>
      </c>
      <c r="G116" s="0" t="n">
        <v>13045</v>
      </c>
      <c r="H116" s="3" t="s">
        <v>14</v>
      </c>
      <c r="I116" s="4" t="n">
        <f aca="false">D116*F116</f>
        <v>277.92</v>
      </c>
      <c r="J116" s="3" t="n">
        <f aca="false">IF(AND(LEFT(A116,1)&lt;&gt;"C",D116&gt;0,F116&gt;0),1,0)</f>
        <v>1</v>
      </c>
      <c r="K116" s="3" t="n">
        <f aca="false">IF(AND(H116="United Kingdom",G116&lt;&gt;"",COUNTIFS($G$2:G116,G116,$H$2:H116,"United Kingdom")=1),1,0)</f>
        <v>0</v>
      </c>
    </row>
    <row r="117" customFormat="false" ht="15" hidden="false" customHeight="false" outlineLevel="0" collapsed="false">
      <c r="A117" s="0" t="s">
        <v>105</v>
      </c>
      <c r="B117" s="0" t="s">
        <v>68</v>
      </c>
      <c r="C117" s="0" t="s">
        <v>69</v>
      </c>
      <c r="D117" s="0" t="n">
        <v>288</v>
      </c>
      <c r="E117" s="2" t="n">
        <v>40532.70625</v>
      </c>
      <c r="F117" s="0" t="n">
        <v>1.26</v>
      </c>
      <c r="G117" s="0" t="n">
        <v>13045</v>
      </c>
      <c r="H117" s="3" t="s">
        <v>14</v>
      </c>
      <c r="I117" s="4" t="n">
        <f aca="false">D117*F117</f>
        <v>362.88</v>
      </c>
      <c r="J117" s="3" t="n">
        <f aca="false">IF(AND(LEFT(A117,1)&lt;&gt;"C",D117&gt;0,F117&gt;0),1,0)</f>
        <v>1</v>
      </c>
      <c r="K117" s="3" t="n">
        <f aca="false">IF(AND(H117="United Kingdom",G117&lt;&gt;"",COUNTIFS($G$2:G117,G117,$H$2:H117,"United Kingdom")=1),1,0)</f>
        <v>0</v>
      </c>
    </row>
    <row r="118" customFormat="false" ht="15" hidden="false" customHeight="false" outlineLevel="0" collapsed="false">
      <c r="A118" s="0" t="s">
        <v>105</v>
      </c>
      <c r="B118" s="0" t="s">
        <v>41</v>
      </c>
      <c r="C118" s="0" t="s">
        <v>42</v>
      </c>
      <c r="D118" s="0" t="n">
        <v>144</v>
      </c>
      <c r="E118" s="2" t="n">
        <v>40532.70625</v>
      </c>
      <c r="F118" s="0" t="n">
        <v>3.28</v>
      </c>
      <c r="G118" s="0" t="n">
        <v>13045</v>
      </c>
      <c r="H118" s="3" t="s">
        <v>14</v>
      </c>
      <c r="I118" s="4" t="n">
        <f aca="false">D118*F118</f>
        <v>472.32</v>
      </c>
      <c r="J118" s="3" t="n">
        <f aca="false">IF(AND(LEFT(A118,1)&lt;&gt;"C",D118&gt;0,F118&gt;0),1,0)</f>
        <v>1</v>
      </c>
      <c r="K118" s="3" t="n">
        <f aca="false">IF(AND(H118="United Kingdom",G118&lt;&gt;"",COUNTIFS($G$2:G118,G118,$H$2:H118,"United Kingdom")=1),1,0)</f>
        <v>0</v>
      </c>
    </row>
    <row r="119" customFormat="false" ht="15" hidden="false" customHeight="false" outlineLevel="0" collapsed="false">
      <c r="A119" s="0" t="s">
        <v>105</v>
      </c>
      <c r="B119" s="0" t="s">
        <v>37</v>
      </c>
      <c r="C119" s="0" t="s">
        <v>38</v>
      </c>
      <c r="D119" s="0" t="n">
        <v>144</v>
      </c>
      <c r="E119" s="2" t="n">
        <v>40532.70625</v>
      </c>
      <c r="F119" s="0" t="n">
        <v>1.82</v>
      </c>
      <c r="G119" s="0" t="n">
        <v>13045</v>
      </c>
      <c r="H119" s="3" t="s">
        <v>14</v>
      </c>
      <c r="I119" s="4" t="n">
        <f aca="false">D119*F119</f>
        <v>262.08</v>
      </c>
      <c r="J119" s="3" t="n">
        <f aca="false">IF(AND(LEFT(A119,1)&lt;&gt;"C",D119&gt;0,F119&gt;0),1,0)</f>
        <v>1</v>
      </c>
      <c r="K119" s="3" t="n">
        <f aca="false">IF(AND(H119="United Kingdom",G119&lt;&gt;"",COUNTIFS($G$2:G119,G119,$H$2:H119,"United Kingdom")=1),1,0)</f>
        <v>0</v>
      </c>
    </row>
    <row r="120" customFormat="false" ht="15" hidden="false" customHeight="false" outlineLevel="0" collapsed="false">
      <c r="A120" s="0" t="s">
        <v>106</v>
      </c>
      <c r="B120" s="0" t="s">
        <v>25</v>
      </c>
      <c r="C120" s="0" t="s">
        <v>26</v>
      </c>
      <c r="D120" s="0" t="n">
        <v>8</v>
      </c>
      <c r="E120" s="2" t="n">
        <v>40533.5986111111</v>
      </c>
      <c r="F120" s="0" t="n">
        <v>2.21</v>
      </c>
      <c r="G120" s="0" t="n">
        <v>15302</v>
      </c>
      <c r="H120" s="3" t="s">
        <v>14</v>
      </c>
      <c r="I120" s="4" t="n">
        <f aca="false">D120*F120</f>
        <v>17.68</v>
      </c>
      <c r="J120" s="3" t="n">
        <f aca="false">IF(AND(LEFT(A120,1)&lt;&gt;"C",D120&gt;0,F120&gt;0),1,0)</f>
        <v>1</v>
      </c>
      <c r="K120" s="3" t="n">
        <f aca="false">IF(AND(H120="United Kingdom",G120&lt;&gt;"",COUNTIFS($G$2:G120,G120,$H$2:H120,"United Kingdom")=1),1,0)</f>
        <v>1</v>
      </c>
    </row>
    <row r="121" customFormat="false" ht="15" hidden="false" customHeight="false" outlineLevel="0" collapsed="false">
      <c r="A121" s="0" t="s">
        <v>106</v>
      </c>
      <c r="B121" s="0" t="s">
        <v>29</v>
      </c>
      <c r="C121" s="0" t="s">
        <v>30</v>
      </c>
      <c r="D121" s="0" t="n">
        <v>2</v>
      </c>
      <c r="E121" s="2" t="n">
        <v>40533.5986111111</v>
      </c>
      <c r="F121" s="0" t="n">
        <v>5.79</v>
      </c>
      <c r="G121" s="0" t="n">
        <v>15302</v>
      </c>
      <c r="H121" s="3" t="s">
        <v>14</v>
      </c>
      <c r="I121" s="4" t="n">
        <f aca="false">D121*F121</f>
        <v>11.58</v>
      </c>
      <c r="J121" s="3" t="n">
        <f aca="false">IF(AND(LEFT(A121,1)&lt;&gt;"C",D121&gt;0,F121&gt;0),1,0)</f>
        <v>1</v>
      </c>
      <c r="K121" s="3" t="n">
        <f aca="false">IF(AND(H121="United Kingdom",G121&lt;&gt;"",COUNTIFS($G$2:G121,G121,$H$2:H121,"United Kingdom")=1),1,0)</f>
        <v>0</v>
      </c>
    </row>
    <row r="122" customFormat="false" ht="15" hidden="false" customHeight="false" outlineLevel="0" collapsed="false">
      <c r="A122" s="0" t="s">
        <v>106</v>
      </c>
      <c r="B122" s="0" t="s">
        <v>17</v>
      </c>
      <c r="C122" s="0" t="s">
        <v>18</v>
      </c>
      <c r="D122" s="0" t="n">
        <v>2</v>
      </c>
      <c r="E122" s="2" t="n">
        <v>40533.5986111111</v>
      </c>
      <c r="F122" s="0" t="n">
        <v>1.92</v>
      </c>
      <c r="G122" s="0" t="n">
        <v>15302</v>
      </c>
      <c r="H122" s="3" t="s">
        <v>14</v>
      </c>
      <c r="I122" s="4" t="n">
        <f aca="false">D122*F122</f>
        <v>3.84</v>
      </c>
      <c r="J122" s="3" t="n">
        <f aca="false">IF(AND(LEFT(A122,1)&lt;&gt;"C",D122&gt;0,F122&gt;0),1,0)</f>
        <v>1</v>
      </c>
      <c r="K122" s="3" t="n">
        <f aca="false">IF(AND(H122="United Kingdom",G122&lt;&gt;"",COUNTIFS($G$2:G122,G122,$H$2:H122,"United Kingdom")=1),1,0)</f>
        <v>0</v>
      </c>
    </row>
    <row r="123" customFormat="false" ht="15" hidden="false" customHeight="false" outlineLevel="0" collapsed="false">
      <c r="A123" s="0" t="s">
        <v>107</v>
      </c>
      <c r="B123" s="0" t="s">
        <v>50</v>
      </c>
      <c r="C123" s="0" t="s">
        <v>51</v>
      </c>
      <c r="D123" s="0" t="n">
        <v>6</v>
      </c>
      <c r="E123" s="2" t="n">
        <v>40534.4569444444</v>
      </c>
      <c r="F123" s="0" t="n">
        <v>5.41</v>
      </c>
      <c r="G123" s="0" t="n">
        <v>16902</v>
      </c>
      <c r="H123" s="3" t="s">
        <v>14</v>
      </c>
      <c r="I123" s="4" t="n">
        <f aca="false">D123*F123</f>
        <v>32.46</v>
      </c>
      <c r="J123" s="3" t="n">
        <f aca="false">IF(AND(LEFT(A123,1)&lt;&gt;"C",D123&gt;0,F123&gt;0),1,0)</f>
        <v>1</v>
      </c>
      <c r="K123" s="3" t="n">
        <f aca="false">IF(AND(H123="United Kingdom",G123&lt;&gt;"",COUNTIFS($G$2:G123,G123,$H$2:H123,"United Kingdom")=1),1,0)</f>
        <v>0</v>
      </c>
    </row>
    <row r="124" customFormat="false" ht="15" hidden="false" customHeight="false" outlineLevel="0" collapsed="false">
      <c r="A124" s="0" t="s">
        <v>108</v>
      </c>
      <c r="B124" s="0" t="s">
        <v>29</v>
      </c>
      <c r="C124" s="0" t="s">
        <v>30</v>
      </c>
      <c r="D124" s="0" t="n">
        <v>3</v>
      </c>
      <c r="E124" s="2" t="n">
        <v>40534.4993055556</v>
      </c>
      <c r="F124" s="0" t="n">
        <v>5.79</v>
      </c>
      <c r="G124" s="0" t="n">
        <v>13089</v>
      </c>
      <c r="H124" s="3" t="s">
        <v>14</v>
      </c>
      <c r="I124" s="4" t="n">
        <f aca="false">D124*F124</f>
        <v>17.37</v>
      </c>
      <c r="J124" s="3" t="n">
        <f aca="false">IF(AND(LEFT(A124,1)&lt;&gt;"C",D124&gt;0,F124&gt;0),1,0)</f>
        <v>1</v>
      </c>
      <c r="K124" s="3" t="n">
        <f aca="false">IF(AND(H124="United Kingdom",G124&lt;&gt;"",COUNTIFS($G$2:G124,G124,$H$2:H124,"United Kingdom")=1),1,0)</f>
        <v>1</v>
      </c>
    </row>
    <row r="125" customFormat="false" ht="15" hidden="false" customHeight="false" outlineLevel="0" collapsed="false">
      <c r="A125" s="0" t="s">
        <v>108</v>
      </c>
      <c r="B125" s="0" t="s">
        <v>43</v>
      </c>
      <c r="C125" s="0" t="s">
        <v>44</v>
      </c>
      <c r="D125" s="0" t="n">
        <v>8</v>
      </c>
      <c r="E125" s="2" t="n">
        <v>40534.4993055556</v>
      </c>
      <c r="F125" s="0" t="n">
        <v>1.35</v>
      </c>
      <c r="G125" s="0" t="n">
        <v>13089</v>
      </c>
      <c r="H125" s="3" t="s">
        <v>14</v>
      </c>
      <c r="I125" s="4" t="n">
        <f aca="false">D125*F125</f>
        <v>10.8</v>
      </c>
      <c r="J125" s="3" t="n">
        <f aca="false">IF(AND(LEFT(A125,1)&lt;&gt;"C",D125&gt;0,F125&gt;0),1,0)</f>
        <v>1</v>
      </c>
      <c r="K125" s="3" t="n">
        <f aca="false">IF(AND(H125="United Kingdom",G125&lt;&gt;"",COUNTIFS($G$2:G125,G125,$H$2:H125,"United Kingdom")=1),1,0)</f>
        <v>0</v>
      </c>
    </row>
    <row r="126" customFormat="false" ht="15" hidden="false" customHeight="false" outlineLevel="0" collapsed="false">
      <c r="A126" s="0" t="s">
        <v>108</v>
      </c>
      <c r="B126" s="0" t="s">
        <v>52</v>
      </c>
      <c r="C126" s="0" t="s">
        <v>53</v>
      </c>
      <c r="D126" s="0" t="n">
        <v>1</v>
      </c>
      <c r="E126" s="2" t="n">
        <v>40534.4993055556</v>
      </c>
      <c r="F126" s="0" t="n">
        <v>4.16</v>
      </c>
      <c r="G126" s="0" t="n">
        <v>13089</v>
      </c>
      <c r="H126" s="3" t="s">
        <v>14</v>
      </c>
      <c r="I126" s="4" t="n">
        <f aca="false">D126*F126</f>
        <v>4.16</v>
      </c>
      <c r="J126" s="3" t="n">
        <f aca="false">IF(AND(LEFT(A126,1)&lt;&gt;"C",D126&gt;0,F126&gt;0),1,0)</f>
        <v>1</v>
      </c>
      <c r="K126" s="3" t="n">
        <f aca="false">IF(AND(H126="United Kingdom",G126&lt;&gt;"",COUNTIFS($G$2:G126,G126,$H$2:H126,"United Kingdom")=1),1,0)</f>
        <v>0</v>
      </c>
    </row>
    <row r="127" customFormat="false" ht="15" hidden="false" customHeight="false" outlineLevel="0" collapsed="false">
      <c r="A127" s="0" t="s">
        <v>108</v>
      </c>
      <c r="B127" s="0" t="s">
        <v>77</v>
      </c>
      <c r="C127" s="0" t="s">
        <v>78</v>
      </c>
      <c r="D127" s="0" t="n">
        <v>6</v>
      </c>
      <c r="E127" s="2" t="n">
        <v>40534.4993055556</v>
      </c>
      <c r="F127" s="0" t="n">
        <v>3.41</v>
      </c>
      <c r="G127" s="0" t="n">
        <v>13089</v>
      </c>
      <c r="H127" s="3" t="s">
        <v>14</v>
      </c>
      <c r="I127" s="4" t="n">
        <f aca="false">D127*F127</f>
        <v>20.46</v>
      </c>
      <c r="J127" s="3" t="n">
        <f aca="false">IF(AND(LEFT(A127,1)&lt;&gt;"C",D127&gt;0,F127&gt;0),1,0)</f>
        <v>1</v>
      </c>
      <c r="K127" s="3" t="n">
        <f aca="false">IF(AND(H127="United Kingdom",G127&lt;&gt;"",COUNTIFS($G$2:G127,G127,$H$2:H127,"United Kingdom")=1),1,0)</f>
        <v>0</v>
      </c>
    </row>
    <row r="128" customFormat="false" ht="15" hidden="false" customHeight="false" outlineLevel="0" collapsed="false">
      <c r="A128" s="0" t="s">
        <v>109</v>
      </c>
      <c r="B128" s="0" t="s">
        <v>15</v>
      </c>
      <c r="C128" s="0" t="s">
        <v>16</v>
      </c>
      <c r="D128" s="0" t="n">
        <v>4</v>
      </c>
      <c r="E128" s="2" t="n">
        <v>40534.6930555556</v>
      </c>
      <c r="F128" s="0" t="n">
        <v>3.18</v>
      </c>
      <c r="G128" s="0" t="n">
        <v>17191</v>
      </c>
      <c r="H128" s="3" t="s">
        <v>14</v>
      </c>
      <c r="I128" s="4" t="n">
        <f aca="false">D128*F128</f>
        <v>12.72</v>
      </c>
      <c r="J128" s="3" t="n">
        <f aca="false">IF(AND(LEFT(A128,1)&lt;&gt;"C",D128&gt;0,F128&gt;0),1,0)</f>
        <v>1</v>
      </c>
      <c r="K128" s="3" t="n">
        <f aca="false">IF(AND(H128="United Kingdom",G128&lt;&gt;"",COUNTIFS($G$2:G128,G128,$H$2:H128,"United Kingdom")=1),1,0)</f>
        <v>1</v>
      </c>
    </row>
    <row r="129" customFormat="false" ht="15" hidden="false" customHeight="false" outlineLevel="0" collapsed="false">
      <c r="A129" s="0" t="s">
        <v>109</v>
      </c>
      <c r="B129" s="0" t="s">
        <v>48</v>
      </c>
      <c r="C129" s="0" t="s">
        <v>49</v>
      </c>
      <c r="D129" s="0" t="n">
        <v>1</v>
      </c>
      <c r="E129" s="2" t="n">
        <v>40534.6930555556</v>
      </c>
      <c r="F129" s="0" t="n">
        <v>1.35</v>
      </c>
      <c r="G129" s="0" t="n">
        <v>17191</v>
      </c>
      <c r="H129" s="3" t="s">
        <v>14</v>
      </c>
      <c r="I129" s="4" t="n">
        <f aca="false">D129*F129</f>
        <v>1.35</v>
      </c>
      <c r="J129" s="3" t="n">
        <f aca="false">IF(AND(LEFT(A129,1)&lt;&gt;"C",D129&gt;0,F129&gt;0),1,0)</f>
        <v>1</v>
      </c>
      <c r="K129" s="3" t="n">
        <f aca="false">IF(AND(H129="United Kingdom",G129&lt;&gt;"",COUNTIFS($G$2:G129,G129,$H$2:H129,"United Kingdom")=1),1,0)</f>
        <v>0</v>
      </c>
    </row>
    <row r="130" customFormat="false" ht="15" hidden="false" customHeight="false" outlineLevel="0" collapsed="false">
      <c r="A130" s="0" t="s">
        <v>109</v>
      </c>
      <c r="B130" s="0" t="s">
        <v>17</v>
      </c>
      <c r="C130" s="0" t="s">
        <v>18</v>
      </c>
      <c r="D130" s="0" t="n">
        <v>4</v>
      </c>
      <c r="E130" s="2" t="n">
        <v>40534.6930555556</v>
      </c>
      <c r="F130" s="0" t="n">
        <v>1.92</v>
      </c>
      <c r="G130" s="0" t="n">
        <v>17191</v>
      </c>
      <c r="H130" s="3" t="s">
        <v>14</v>
      </c>
      <c r="I130" s="4" t="n">
        <f aca="false">D130*F130</f>
        <v>7.68</v>
      </c>
      <c r="J130" s="3" t="n">
        <f aca="false">IF(AND(LEFT(A130,1)&lt;&gt;"C",D130&gt;0,F130&gt;0),1,0)</f>
        <v>1</v>
      </c>
      <c r="K130" s="3" t="n">
        <f aca="false">IF(AND(H130="United Kingdom",G130&lt;&gt;"",COUNTIFS($G$2:G130,G130,$H$2:H130,"United Kingdom")=1),1,0)</f>
        <v>0</v>
      </c>
    </row>
    <row r="131" customFormat="false" ht="15" hidden="false" customHeight="false" outlineLevel="0" collapsed="false">
      <c r="A131" s="0" t="s">
        <v>110</v>
      </c>
      <c r="B131" s="0" t="s">
        <v>77</v>
      </c>
      <c r="C131" s="0" t="s">
        <v>78</v>
      </c>
      <c r="D131" s="0" t="n">
        <v>2</v>
      </c>
      <c r="E131" s="2" t="n">
        <v>40535.4555555556</v>
      </c>
      <c r="F131" s="0" t="n">
        <v>3.41</v>
      </c>
      <c r="G131" s="0" t="n">
        <v>15061</v>
      </c>
      <c r="H131" s="3" t="s">
        <v>14</v>
      </c>
      <c r="I131" s="4" t="n">
        <f aca="false">D131*F131</f>
        <v>6.82</v>
      </c>
      <c r="J131" s="3" t="n">
        <f aca="false">IF(AND(LEFT(A131,1)&lt;&gt;"C",D131&gt;0,F131&gt;0),1,0)</f>
        <v>1</v>
      </c>
      <c r="K131" s="3" t="n">
        <f aca="false">IF(AND(H131="United Kingdom",G131&lt;&gt;"",COUNTIFS($G$2:G131,G131,$H$2:H131,"United Kingdom")=1),1,0)</f>
        <v>1</v>
      </c>
    </row>
    <row r="132" customFormat="false" ht="15" hidden="false" customHeight="false" outlineLevel="0" collapsed="false">
      <c r="A132" s="0" t="s">
        <v>111</v>
      </c>
      <c r="B132" s="0" t="s">
        <v>54</v>
      </c>
      <c r="C132" s="0" t="s">
        <v>55</v>
      </c>
      <c r="D132" s="0" t="n">
        <v>8</v>
      </c>
      <c r="E132" s="2" t="n">
        <v>40536.3513888889</v>
      </c>
      <c r="F132" s="0" t="n">
        <v>0.99</v>
      </c>
      <c r="G132" s="0" t="n">
        <v>12612</v>
      </c>
      <c r="H132" s="3" t="s">
        <v>97</v>
      </c>
      <c r="I132" s="4" t="n">
        <f aca="false">D132*F132</f>
        <v>7.92</v>
      </c>
      <c r="J132" s="3" t="n">
        <f aca="false">IF(AND(LEFT(A132,1)&lt;&gt;"C",D132&gt;0,F132&gt;0),1,0)</f>
        <v>1</v>
      </c>
      <c r="K132" s="3" t="n">
        <f aca="false">IF(AND(H132="United Kingdom",G132&lt;&gt;"",COUNTIFS($G$2:G132,G132,$H$2:H132,"United Kingdom")=1),1,0)</f>
        <v>0</v>
      </c>
    </row>
    <row r="133" customFormat="false" ht="15" hidden="false" customHeight="false" outlineLevel="0" collapsed="false">
      <c r="A133" s="0" t="s">
        <v>111</v>
      </c>
      <c r="B133" s="0" t="s">
        <v>22</v>
      </c>
      <c r="C133" s="0" t="s">
        <v>23</v>
      </c>
      <c r="D133" s="0" t="n">
        <v>8</v>
      </c>
      <c r="E133" s="2" t="n">
        <v>40536.3513888889</v>
      </c>
      <c r="F133" s="0" t="n">
        <v>3.18</v>
      </c>
      <c r="G133" s="0" t="n">
        <v>12612</v>
      </c>
      <c r="H133" s="3" t="s">
        <v>97</v>
      </c>
      <c r="I133" s="4" t="n">
        <f aca="false">D133*F133</f>
        <v>25.44</v>
      </c>
      <c r="J133" s="3" t="n">
        <f aca="false">IF(AND(LEFT(A133,1)&lt;&gt;"C",D133&gt;0,F133&gt;0),1,0)</f>
        <v>1</v>
      </c>
      <c r="K133" s="3" t="n">
        <f aca="false">IF(AND(H133="United Kingdom",G133&lt;&gt;"",COUNTIFS($G$2:G133,G133,$H$2:H133,"United Kingdom")=1),1,0)</f>
        <v>0</v>
      </c>
    </row>
    <row r="134" customFormat="false" ht="15" hidden="false" customHeight="false" outlineLevel="0" collapsed="false">
      <c r="A134" s="0" t="s">
        <v>111</v>
      </c>
      <c r="B134" s="0" t="s">
        <v>75</v>
      </c>
      <c r="C134" s="0" t="s">
        <v>76</v>
      </c>
      <c r="D134" s="0" t="n">
        <v>12</v>
      </c>
      <c r="E134" s="2" t="n">
        <v>40536.3513888889</v>
      </c>
      <c r="F134" s="0" t="n">
        <v>1.97</v>
      </c>
      <c r="G134" s="0" t="n">
        <v>12612</v>
      </c>
      <c r="H134" s="3" t="s">
        <v>97</v>
      </c>
      <c r="I134" s="4" t="n">
        <f aca="false">D134*F134</f>
        <v>23.64</v>
      </c>
      <c r="J134" s="3" t="n">
        <f aca="false">IF(AND(LEFT(A134,1)&lt;&gt;"C",D134&gt;0,F134&gt;0),1,0)</f>
        <v>1</v>
      </c>
      <c r="K134" s="3" t="n">
        <f aca="false">IF(AND(H134="United Kingdom",G134&lt;&gt;"",COUNTIFS($G$2:G134,G134,$H$2:H134,"United Kingdom")=1),1,0)</f>
        <v>0</v>
      </c>
    </row>
    <row r="135" customFormat="false" ht="15" hidden="false" customHeight="false" outlineLevel="0" collapsed="false">
      <c r="A135" s="0" t="s">
        <v>111</v>
      </c>
      <c r="B135" s="0" t="s">
        <v>77</v>
      </c>
      <c r="C135" s="0" t="s">
        <v>78</v>
      </c>
      <c r="D135" s="0" t="n">
        <v>4</v>
      </c>
      <c r="E135" s="2" t="n">
        <v>40536.3513888889</v>
      </c>
      <c r="F135" s="0" t="n">
        <v>3.41</v>
      </c>
      <c r="G135" s="0" t="n">
        <v>12612</v>
      </c>
      <c r="H135" s="3" t="s">
        <v>97</v>
      </c>
      <c r="I135" s="4" t="n">
        <f aca="false">D135*F135</f>
        <v>13.64</v>
      </c>
      <c r="J135" s="3" t="n">
        <f aca="false">IF(AND(LEFT(A135,1)&lt;&gt;"C",D135&gt;0,F135&gt;0),1,0)</f>
        <v>1</v>
      </c>
      <c r="K135" s="3" t="n">
        <f aca="false">IF(AND(H135="United Kingdom",G135&lt;&gt;"",COUNTIFS($G$2:G135,G135,$H$2:H135,"United Kingdom")=1),1,0)</f>
        <v>0</v>
      </c>
    </row>
    <row r="136" customFormat="false" ht="15" hidden="false" customHeight="false" outlineLevel="0" collapsed="false">
      <c r="A136" s="0" t="s">
        <v>111</v>
      </c>
      <c r="B136" s="0" t="s">
        <v>45</v>
      </c>
      <c r="C136" s="0" t="s">
        <v>46</v>
      </c>
      <c r="D136" s="0" t="n">
        <v>4</v>
      </c>
      <c r="E136" s="2" t="n">
        <v>40536.3513888889</v>
      </c>
      <c r="F136" s="0" t="n">
        <v>4.55</v>
      </c>
      <c r="G136" s="0" t="n">
        <v>12612</v>
      </c>
      <c r="H136" s="3" t="s">
        <v>97</v>
      </c>
      <c r="I136" s="4" t="n">
        <f aca="false">D136*F136</f>
        <v>18.2</v>
      </c>
      <c r="J136" s="3" t="n">
        <f aca="false">IF(AND(LEFT(A136,1)&lt;&gt;"C",D136&gt;0,F136&gt;0),1,0)</f>
        <v>1</v>
      </c>
      <c r="K136" s="3" t="n">
        <f aca="false">IF(AND(H136="United Kingdom",G136&lt;&gt;"",COUNTIFS($G$2:G136,G136,$H$2:H136,"United Kingdom")=1),1,0)</f>
        <v>0</v>
      </c>
    </row>
    <row r="137" customFormat="false" ht="15" hidden="false" customHeight="false" outlineLevel="0" collapsed="false">
      <c r="A137" s="0" t="s">
        <v>111</v>
      </c>
      <c r="B137" s="0" t="s">
        <v>72</v>
      </c>
      <c r="C137" s="0" t="s">
        <v>73</v>
      </c>
      <c r="D137" s="0" t="n">
        <v>6</v>
      </c>
      <c r="E137" s="2" t="n">
        <v>40536.3513888889</v>
      </c>
      <c r="F137" s="0" t="n">
        <v>2.69</v>
      </c>
      <c r="G137" s="0" t="n">
        <v>12612</v>
      </c>
      <c r="H137" s="3" t="s">
        <v>97</v>
      </c>
      <c r="I137" s="4" t="n">
        <f aca="false">D137*F137</f>
        <v>16.14</v>
      </c>
      <c r="J137" s="3" t="n">
        <f aca="false">IF(AND(LEFT(A137,1)&lt;&gt;"C",D137&gt;0,F137&gt;0),1,0)</f>
        <v>1</v>
      </c>
      <c r="K137" s="3" t="n">
        <f aca="false">IF(AND(H137="United Kingdom",G137&lt;&gt;"",COUNTIFS($G$2:G137,G137,$H$2:H137,"United Kingdom")=1),1,0)</f>
        <v>0</v>
      </c>
    </row>
    <row r="138" customFormat="false" ht="15" hidden="false" customHeight="false" outlineLevel="0" collapsed="false">
      <c r="A138" s="0" t="s">
        <v>111</v>
      </c>
      <c r="B138" s="0" t="s">
        <v>20</v>
      </c>
      <c r="C138" s="0" t="s">
        <v>21</v>
      </c>
      <c r="D138" s="0" t="n">
        <v>12</v>
      </c>
      <c r="E138" s="2" t="n">
        <v>40536.3513888889</v>
      </c>
      <c r="F138" s="0" t="n">
        <v>4.24</v>
      </c>
      <c r="G138" s="0" t="n">
        <v>12612</v>
      </c>
      <c r="H138" s="3" t="s">
        <v>97</v>
      </c>
      <c r="I138" s="4" t="n">
        <f aca="false">D138*F138</f>
        <v>50.88</v>
      </c>
      <c r="J138" s="3" t="n">
        <f aca="false">IF(AND(LEFT(A138,1)&lt;&gt;"C",D138&gt;0,F138&gt;0),1,0)</f>
        <v>1</v>
      </c>
      <c r="K138" s="3" t="n">
        <f aca="false">IF(AND(H138="United Kingdom",G138&lt;&gt;"",COUNTIFS($G$2:G138,G138,$H$2:H138,"United Kingdom")=1),1,0)</f>
        <v>0</v>
      </c>
    </row>
    <row r="139" customFormat="false" ht="15" hidden="false" customHeight="false" outlineLevel="0" collapsed="false">
      <c r="A139" s="0" t="s">
        <v>111</v>
      </c>
      <c r="B139" s="0" t="s">
        <v>25</v>
      </c>
      <c r="C139" s="0" t="s">
        <v>26</v>
      </c>
      <c r="D139" s="0" t="n">
        <v>2</v>
      </c>
      <c r="E139" s="2" t="n">
        <v>40536.3513888889</v>
      </c>
      <c r="F139" s="0" t="n">
        <v>2.21</v>
      </c>
      <c r="G139" s="0" t="n">
        <v>12612</v>
      </c>
      <c r="H139" s="3" t="s">
        <v>97</v>
      </c>
      <c r="I139" s="4" t="n">
        <f aca="false">D139*F139</f>
        <v>4.42</v>
      </c>
      <c r="J139" s="3" t="n">
        <f aca="false">IF(AND(LEFT(A139,1)&lt;&gt;"C",D139&gt;0,F139&gt;0),1,0)</f>
        <v>1</v>
      </c>
      <c r="K139" s="3" t="n">
        <f aca="false">IF(AND(H139="United Kingdom",G139&lt;&gt;"",COUNTIFS($G$2:G139,G139,$H$2:H139,"United Kingdom")=1),1,0)</f>
        <v>0</v>
      </c>
    </row>
    <row r="140" customFormat="false" ht="15" hidden="false" customHeight="false" outlineLevel="0" collapsed="false">
      <c r="A140" s="0" t="s">
        <v>111</v>
      </c>
      <c r="B140" s="0" t="s">
        <v>50</v>
      </c>
      <c r="C140" s="0" t="s">
        <v>51</v>
      </c>
      <c r="D140" s="0" t="n">
        <v>2</v>
      </c>
      <c r="E140" s="2" t="n">
        <v>40536.3513888889</v>
      </c>
      <c r="F140" s="0" t="n">
        <v>5.41</v>
      </c>
      <c r="G140" s="0" t="n">
        <v>12612</v>
      </c>
      <c r="H140" s="3" t="s">
        <v>97</v>
      </c>
      <c r="I140" s="4" t="n">
        <f aca="false">D140*F140</f>
        <v>10.82</v>
      </c>
      <c r="J140" s="3" t="n">
        <f aca="false">IF(AND(LEFT(A140,1)&lt;&gt;"C",D140&gt;0,F140&gt;0),1,0)</f>
        <v>1</v>
      </c>
      <c r="K140" s="3" t="n">
        <f aca="false">IF(AND(H140="United Kingdom",G140&lt;&gt;"",COUNTIFS($G$2:G140,G140,$H$2:H140,"United Kingdom")=1),1,0)</f>
        <v>0</v>
      </c>
    </row>
    <row r="141" customFormat="false" ht="15" hidden="false" customHeight="false" outlineLevel="0" collapsed="false">
      <c r="A141" s="0" t="s">
        <v>111</v>
      </c>
      <c r="B141" s="0" t="s">
        <v>12</v>
      </c>
      <c r="C141" s="0" t="s">
        <v>13</v>
      </c>
      <c r="D141" s="0" t="n">
        <v>4</v>
      </c>
      <c r="E141" s="2" t="n">
        <v>40536.3513888889</v>
      </c>
      <c r="F141" s="0" t="n">
        <v>3.33</v>
      </c>
      <c r="G141" s="0" t="n">
        <v>12612</v>
      </c>
      <c r="H141" s="3" t="s">
        <v>97</v>
      </c>
      <c r="I141" s="4" t="n">
        <f aca="false">D141*F141</f>
        <v>13.32</v>
      </c>
      <c r="J141" s="3" t="n">
        <f aca="false">IF(AND(LEFT(A141,1)&lt;&gt;"C",D141&gt;0,F141&gt;0),1,0)</f>
        <v>1</v>
      </c>
      <c r="K141" s="3" t="n">
        <f aca="false">IF(AND(H141="United Kingdom",G141&lt;&gt;"",COUNTIFS($G$2:G141,G141,$H$2:H141,"United Kingdom")=1),1,0)</f>
        <v>0</v>
      </c>
    </row>
    <row r="142" customFormat="false" ht="15" hidden="false" customHeight="false" outlineLevel="0" collapsed="false">
      <c r="A142" s="0" t="s">
        <v>112</v>
      </c>
      <c r="B142" s="0" t="s">
        <v>113</v>
      </c>
      <c r="C142" s="0" t="s">
        <v>114</v>
      </c>
      <c r="D142" s="0" t="n">
        <v>16</v>
      </c>
      <c r="E142" s="2" t="n">
        <v>40536.4138888889</v>
      </c>
      <c r="F142" s="0" t="n">
        <v>3.57</v>
      </c>
      <c r="G142" s="0" t="n">
        <v>18102</v>
      </c>
      <c r="H142" s="3" t="s">
        <v>14</v>
      </c>
      <c r="I142" s="4" t="n">
        <f aca="false">D142*F142</f>
        <v>57.12</v>
      </c>
      <c r="J142" s="3" t="n">
        <f aca="false">IF(AND(LEFT(A142,1)&lt;&gt;"C",D142&gt;0,F142&gt;0),1,0)</f>
        <v>1</v>
      </c>
      <c r="K142" s="3" t="n">
        <f aca="false">IF(AND(H142="United Kingdom",G142&lt;&gt;"",COUNTIFS($G$2:G142,G142,$H$2:H142,"United Kingdom")=1),1,0)</f>
        <v>1</v>
      </c>
    </row>
    <row r="143" customFormat="false" ht="15" hidden="false" customHeight="false" outlineLevel="0" collapsed="false">
      <c r="A143" s="0" t="s">
        <v>112</v>
      </c>
      <c r="B143" s="0" t="s">
        <v>75</v>
      </c>
      <c r="C143" s="0" t="s">
        <v>76</v>
      </c>
      <c r="D143" s="0" t="n">
        <v>2</v>
      </c>
      <c r="E143" s="2" t="n">
        <v>40536.4138888889</v>
      </c>
      <c r="F143" s="0" t="n">
        <v>1.97</v>
      </c>
      <c r="G143" s="0" t="n">
        <v>18102</v>
      </c>
      <c r="H143" s="3" t="s">
        <v>14</v>
      </c>
      <c r="I143" s="4" t="n">
        <f aca="false">D143*F143</f>
        <v>3.94</v>
      </c>
      <c r="J143" s="3" t="n">
        <f aca="false">IF(AND(LEFT(A143,1)&lt;&gt;"C",D143&gt;0,F143&gt;0),1,0)</f>
        <v>1</v>
      </c>
      <c r="K143" s="3" t="n">
        <f aca="false">IF(AND(H143="United Kingdom",G143&lt;&gt;"",COUNTIFS($G$2:G143,G143,$H$2:H143,"United Kingdom")=1),1,0)</f>
        <v>0</v>
      </c>
    </row>
    <row r="144" customFormat="false" ht="15" hidden="false" customHeight="false" outlineLevel="0" collapsed="false">
      <c r="A144" s="0" t="s">
        <v>112</v>
      </c>
      <c r="B144" s="0" t="s">
        <v>72</v>
      </c>
      <c r="C144" s="0" t="s">
        <v>73</v>
      </c>
      <c r="D144" s="0" t="n">
        <v>2</v>
      </c>
      <c r="E144" s="2" t="n">
        <v>40536.4138888889</v>
      </c>
      <c r="F144" s="0" t="n">
        <v>2.69</v>
      </c>
      <c r="G144" s="0" t="n">
        <v>18102</v>
      </c>
      <c r="H144" s="3" t="s">
        <v>14</v>
      </c>
      <c r="I144" s="4" t="n">
        <f aca="false">D144*F144</f>
        <v>5.38</v>
      </c>
      <c r="J144" s="3" t="n">
        <f aca="false">IF(AND(LEFT(A144,1)&lt;&gt;"C",D144&gt;0,F144&gt;0),1,0)</f>
        <v>1</v>
      </c>
      <c r="K144" s="3" t="n">
        <f aca="false">IF(AND(H144="United Kingdom",G144&lt;&gt;"",COUNTIFS($G$2:G144,G144,$H$2:H144,"United Kingdom")=1),1,0)</f>
        <v>0</v>
      </c>
    </row>
    <row r="145" customFormat="false" ht="15" hidden="false" customHeight="false" outlineLevel="0" collapsed="false">
      <c r="A145" s="0" t="s">
        <v>112</v>
      </c>
      <c r="B145" s="0" t="s">
        <v>80</v>
      </c>
      <c r="C145" s="0" t="s">
        <v>81</v>
      </c>
      <c r="D145" s="0" t="n">
        <v>8</v>
      </c>
      <c r="E145" s="2" t="n">
        <v>40536.4138888889</v>
      </c>
      <c r="F145" s="0" t="n">
        <v>1.53</v>
      </c>
      <c r="G145" s="0" t="n">
        <v>18102</v>
      </c>
      <c r="H145" s="3" t="s">
        <v>14</v>
      </c>
      <c r="I145" s="4" t="n">
        <f aca="false">D145*F145</f>
        <v>12.24</v>
      </c>
      <c r="J145" s="3" t="n">
        <f aca="false">IF(AND(LEFT(A145,1)&lt;&gt;"C",D145&gt;0,F145&gt;0),1,0)</f>
        <v>1</v>
      </c>
      <c r="K145" s="3" t="n">
        <f aca="false">IF(AND(H145="United Kingdom",G145&lt;&gt;"",COUNTIFS($G$2:G145,G145,$H$2:H145,"United Kingdom")=1),1,0)</f>
        <v>0</v>
      </c>
    </row>
    <row r="146" customFormat="false" ht="15" hidden="false" customHeight="false" outlineLevel="0" collapsed="false">
      <c r="A146" s="0" t="s">
        <v>112</v>
      </c>
      <c r="B146" s="0" t="s">
        <v>60</v>
      </c>
      <c r="C146" s="0" t="s">
        <v>61</v>
      </c>
      <c r="D146" s="0" t="n">
        <v>12</v>
      </c>
      <c r="E146" s="2" t="n">
        <v>40536.4138888889</v>
      </c>
      <c r="F146" s="0" t="n">
        <v>0.63</v>
      </c>
      <c r="G146" s="0" t="n">
        <v>18102</v>
      </c>
      <c r="H146" s="3" t="s">
        <v>14</v>
      </c>
      <c r="I146" s="4" t="n">
        <f aca="false">D146*F146</f>
        <v>7.56</v>
      </c>
      <c r="J146" s="3" t="n">
        <f aca="false">IF(AND(LEFT(A146,1)&lt;&gt;"C",D146&gt;0,F146&gt;0),1,0)</f>
        <v>1</v>
      </c>
      <c r="K146" s="3" t="n">
        <f aca="false">IF(AND(H146="United Kingdom",G146&lt;&gt;"",COUNTIFS($G$2:G146,G146,$H$2:H146,"United Kingdom")=1),1,0)</f>
        <v>0</v>
      </c>
    </row>
    <row r="147" customFormat="false" ht="15" hidden="false" customHeight="false" outlineLevel="0" collapsed="false">
      <c r="A147" s="0" t="s">
        <v>112</v>
      </c>
      <c r="B147" s="0" t="s">
        <v>27</v>
      </c>
      <c r="C147" s="0" t="s">
        <v>28</v>
      </c>
      <c r="D147" s="0" t="n">
        <v>8</v>
      </c>
      <c r="E147" s="2" t="n">
        <v>40536.4138888889</v>
      </c>
      <c r="F147" s="0" t="n">
        <v>4.55</v>
      </c>
      <c r="G147" s="0" t="n">
        <v>18102</v>
      </c>
      <c r="H147" s="3" t="s">
        <v>14</v>
      </c>
      <c r="I147" s="4" t="n">
        <f aca="false">D147*F147</f>
        <v>36.4</v>
      </c>
      <c r="J147" s="3" t="n">
        <f aca="false">IF(AND(LEFT(A147,1)&lt;&gt;"C",D147&gt;0,F147&gt;0),1,0)</f>
        <v>1</v>
      </c>
      <c r="K147" s="3" t="n">
        <f aca="false">IF(AND(H147="United Kingdom",G147&lt;&gt;"",COUNTIFS($G$2:G147,G147,$H$2:H147,"United Kingdom")=1),1,0)</f>
        <v>0</v>
      </c>
    </row>
    <row r="148" customFormat="false" ht="15" hidden="false" customHeight="false" outlineLevel="0" collapsed="false">
      <c r="A148" s="0" t="s">
        <v>115</v>
      </c>
      <c r="B148" s="0" t="s">
        <v>39</v>
      </c>
      <c r="C148" s="0" t="s">
        <v>40</v>
      </c>
      <c r="D148" s="0" t="n">
        <v>288</v>
      </c>
      <c r="E148" s="2" t="n">
        <v>40536.48125</v>
      </c>
      <c r="F148" s="0" t="n">
        <v>2.58</v>
      </c>
      <c r="G148" s="0" t="n">
        <v>15278</v>
      </c>
      <c r="H148" s="3" t="s">
        <v>14</v>
      </c>
      <c r="I148" s="4" t="n">
        <f aca="false">D148*F148</f>
        <v>743.04</v>
      </c>
      <c r="J148" s="3" t="n">
        <f aca="false">IF(AND(LEFT(A148,1)&lt;&gt;"C",D148&gt;0,F148&gt;0),1,0)</f>
        <v>1</v>
      </c>
      <c r="K148" s="3" t="n">
        <f aca="false">IF(AND(H148="United Kingdom",G148&lt;&gt;"",COUNTIFS($G$2:G148,G148,$H$2:H148,"United Kingdom")=1),1,0)</f>
        <v>0</v>
      </c>
    </row>
    <row r="149" customFormat="false" ht="15" hidden="false" customHeight="false" outlineLevel="0" collapsed="false">
      <c r="A149" s="0" t="s">
        <v>116</v>
      </c>
      <c r="B149" s="0" t="s">
        <v>43</v>
      </c>
      <c r="C149" s="0" t="s">
        <v>44</v>
      </c>
      <c r="D149" s="0" t="n">
        <v>3</v>
      </c>
      <c r="E149" s="2" t="n">
        <v>40536.8027777778</v>
      </c>
      <c r="F149" s="0" t="n">
        <v>1.35</v>
      </c>
      <c r="G149" s="0" t="n">
        <v>17354</v>
      </c>
      <c r="H149" s="3" t="s">
        <v>14</v>
      </c>
      <c r="I149" s="4" t="n">
        <f aca="false">D149*F149</f>
        <v>4.05</v>
      </c>
      <c r="J149" s="3" t="n">
        <f aca="false">IF(AND(LEFT(A149,1)&lt;&gt;"C",D149&gt;0,F149&gt;0),1,0)</f>
        <v>1</v>
      </c>
      <c r="K149" s="3" t="n">
        <f aca="false">IF(AND(H149="United Kingdom",G149&lt;&gt;"",COUNTIFS($G$2:G149,G149,$H$2:H149,"United Kingdom")=1),1,0)</f>
        <v>1</v>
      </c>
    </row>
    <row r="150" customFormat="false" ht="15" hidden="false" customHeight="false" outlineLevel="0" collapsed="false">
      <c r="A150" s="0" t="s">
        <v>116</v>
      </c>
      <c r="B150" s="0" t="s">
        <v>52</v>
      </c>
      <c r="C150" s="0" t="s">
        <v>53</v>
      </c>
      <c r="D150" s="0" t="n">
        <v>16</v>
      </c>
      <c r="E150" s="2" t="n">
        <v>40536.8027777778</v>
      </c>
      <c r="F150" s="0" t="n">
        <v>4.16</v>
      </c>
      <c r="G150" s="0" t="n">
        <v>17354</v>
      </c>
      <c r="H150" s="3" t="s">
        <v>14</v>
      </c>
      <c r="I150" s="4" t="n">
        <f aca="false">D150*F150</f>
        <v>66.56</v>
      </c>
      <c r="J150" s="3" t="n">
        <f aca="false">IF(AND(LEFT(A150,1)&lt;&gt;"C",D150&gt;0,F150&gt;0),1,0)</f>
        <v>1</v>
      </c>
      <c r="K150" s="3" t="n">
        <f aca="false">IF(AND(H150="United Kingdom",G150&lt;&gt;"",COUNTIFS($G$2:G150,G150,$H$2:H150,"United Kingdom")=1),1,0)</f>
        <v>0</v>
      </c>
    </row>
    <row r="151" customFormat="false" ht="15" hidden="false" customHeight="false" outlineLevel="0" collapsed="false">
      <c r="A151" s="0" t="s">
        <v>116</v>
      </c>
      <c r="B151" s="0" t="s">
        <v>60</v>
      </c>
      <c r="C151" s="0" t="s">
        <v>61</v>
      </c>
      <c r="D151" s="0" t="n">
        <v>1</v>
      </c>
      <c r="E151" s="2" t="n">
        <v>40536.8027777778</v>
      </c>
      <c r="F151" s="0" t="n">
        <v>0.63</v>
      </c>
      <c r="G151" s="0" t="n">
        <v>17354</v>
      </c>
      <c r="H151" s="3" t="s">
        <v>14</v>
      </c>
      <c r="I151" s="4" t="n">
        <f aca="false">D151*F151</f>
        <v>0.63</v>
      </c>
      <c r="J151" s="3" t="n">
        <f aca="false">IF(AND(LEFT(A151,1)&lt;&gt;"C",D151&gt;0,F151&gt;0),1,0)</f>
        <v>1</v>
      </c>
      <c r="K151" s="3" t="n">
        <f aca="false">IF(AND(H151="United Kingdom",G151&lt;&gt;"",COUNTIFS($G$2:G151,G151,$H$2:H151,"United Kingdom")=1),1,0)</f>
        <v>0</v>
      </c>
    </row>
    <row r="152" customFormat="false" ht="15" hidden="false" customHeight="false" outlineLevel="0" collapsed="false">
      <c r="A152" s="0" t="s">
        <v>116</v>
      </c>
      <c r="B152" s="0" t="s">
        <v>117</v>
      </c>
      <c r="C152" s="0" t="s">
        <v>118</v>
      </c>
      <c r="D152" s="0" t="n">
        <v>3942</v>
      </c>
      <c r="E152" s="2" t="n">
        <v>40536.8027777778</v>
      </c>
      <c r="F152" s="0" t="n">
        <v>3.45</v>
      </c>
      <c r="G152" s="0" t="n">
        <v>17354</v>
      </c>
      <c r="H152" s="3" t="s">
        <v>14</v>
      </c>
      <c r="I152" s="4" t="n">
        <f aca="false">D152*F152</f>
        <v>13599.9</v>
      </c>
      <c r="J152" s="3" t="n">
        <f aca="false">IF(AND(LEFT(A152,1)&lt;&gt;"C",D152&gt;0,F152&gt;0),1,0)</f>
        <v>1</v>
      </c>
      <c r="K152" s="3" t="n">
        <f aca="false">IF(AND(H152="United Kingdom",G152&lt;&gt;"",COUNTIFS($G$2:G152,G152,$H$2:H152,"United Kingdom")=1),1,0)</f>
        <v>0</v>
      </c>
    </row>
    <row r="153" customFormat="false" ht="15" hidden="false" customHeight="false" outlineLevel="0" collapsed="false">
      <c r="A153" s="0" t="s">
        <v>119</v>
      </c>
      <c r="B153" s="0" t="s">
        <v>37</v>
      </c>
      <c r="C153" s="0" t="s">
        <v>38</v>
      </c>
      <c r="D153" s="0" t="n">
        <v>10</v>
      </c>
      <c r="E153" s="2" t="n">
        <v>40537.3701388889</v>
      </c>
      <c r="F153" s="0" t="n">
        <v>1.82</v>
      </c>
      <c r="G153" s="0" t="n">
        <v>14600</v>
      </c>
      <c r="H153" s="3" t="s">
        <v>120</v>
      </c>
      <c r="I153" s="4" t="n">
        <f aca="false">D153*F153</f>
        <v>18.2</v>
      </c>
      <c r="J153" s="3" t="n">
        <f aca="false">IF(AND(LEFT(A153,1)&lt;&gt;"C",D153&gt;0,F153&gt;0),1,0)</f>
        <v>1</v>
      </c>
      <c r="K153" s="3" t="n">
        <f aca="false">IF(AND(H153="United Kingdom",G153&lt;&gt;"",COUNTIFS($G$2:G153,G153,$H$2:H153,"United Kingdom")=1),1,0)</f>
        <v>0</v>
      </c>
    </row>
    <row r="154" customFormat="false" ht="15" hidden="false" customHeight="false" outlineLevel="0" collapsed="false">
      <c r="A154" s="0" t="s">
        <v>119</v>
      </c>
      <c r="B154" s="0" t="s">
        <v>17</v>
      </c>
      <c r="C154" s="0" t="s">
        <v>18</v>
      </c>
      <c r="D154" s="0" t="n">
        <v>3</v>
      </c>
      <c r="E154" s="2" t="n">
        <v>40537.3701388889</v>
      </c>
      <c r="F154" s="0" t="n">
        <v>1.92</v>
      </c>
      <c r="G154" s="0" t="n">
        <v>14600</v>
      </c>
      <c r="H154" s="3" t="s">
        <v>120</v>
      </c>
      <c r="I154" s="4" t="n">
        <f aca="false">D154*F154</f>
        <v>5.76</v>
      </c>
      <c r="J154" s="3" t="n">
        <f aca="false">IF(AND(LEFT(A154,1)&lt;&gt;"C",D154&gt;0,F154&gt;0),1,0)</f>
        <v>1</v>
      </c>
      <c r="K154" s="3" t="n">
        <f aca="false">IF(AND(H154="United Kingdom",G154&lt;&gt;"",COUNTIFS($G$2:G154,G154,$H$2:H154,"United Kingdom")=1),1,0)</f>
        <v>0</v>
      </c>
    </row>
    <row r="155" customFormat="false" ht="15" hidden="false" customHeight="false" outlineLevel="0" collapsed="false">
      <c r="A155" s="0" t="s">
        <v>119</v>
      </c>
      <c r="B155" s="0" t="s">
        <v>54</v>
      </c>
      <c r="C155" s="0" t="s">
        <v>55</v>
      </c>
      <c r="D155" s="0" t="n">
        <v>3</v>
      </c>
      <c r="E155" s="2" t="n">
        <v>40537.3701388889</v>
      </c>
      <c r="F155" s="0" t="n">
        <v>0.99</v>
      </c>
      <c r="G155" s="0" t="n">
        <v>14600</v>
      </c>
      <c r="H155" s="3" t="s">
        <v>120</v>
      </c>
      <c r="I155" s="4" t="n">
        <f aca="false">D155*F155</f>
        <v>2.97</v>
      </c>
      <c r="J155" s="3" t="n">
        <f aca="false">IF(AND(LEFT(A155,1)&lt;&gt;"C",D155&gt;0,F155&gt;0),1,0)</f>
        <v>1</v>
      </c>
      <c r="K155" s="3" t="n">
        <f aca="false">IF(AND(H155="United Kingdom",G155&lt;&gt;"",COUNTIFS($G$2:G155,G155,$H$2:H155,"United Kingdom")=1),1,0)</f>
        <v>0</v>
      </c>
    </row>
    <row r="156" customFormat="false" ht="15" hidden="false" customHeight="false" outlineLevel="0" collapsed="false">
      <c r="A156" s="0" t="s">
        <v>121</v>
      </c>
      <c r="B156" s="0" t="s">
        <v>90</v>
      </c>
      <c r="C156" s="0" t="s">
        <v>91</v>
      </c>
      <c r="D156" s="0" t="n">
        <v>2</v>
      </c>
      <c r="E156" s="2" t="n">
        <v>40537.7770833333</v>
      </c>
      <c r="F156" s="0" t="n">
        <v>3.04</v>
      </c>
      <c r="H156" s="3" t="s">
        <v>14</v>
      </c>
      <c r="I156" s="4" t="n">
        <f aca="false">D156*F156</f>
        <v>6.08</v>
      </c>
      <c r="J156" s="3" t="n">
        <f aca="false">IF(AND(LEFT(A156,1)&lt;&gt;"C",D156&gt;0,F156&gt;0),1,0)</f>
        <v>1</v>
      </c>
      <c r="K156" s="3" t="n">
        <f aca="false">IF(AND(H156="United Kingdom",G156&lt;&gt;"",COUNTIFS($G$2:G156,G156,$H$2:H156,"United Kingdom")=1),1,0)</f>
        <v>0</v>
      </c>
    </row>
    <row r="157" customFormat="false" ht="15" hidden="false" customHeight="false" outlineLevel="0" collapsed="false">
      <c r="A157" s="0" t="s">
        <v>121</v>
      </c>
      <c r="B157" s="0" t="s">
        <v>39</v>
      </c>
      <c r="C157" s="0" t="s">
        <v>40</v>
      </c>
      <c r="D157" s="0" t="n">
        <v>3</v>
      </c>
      <c r="E157" s="2" t="n">
        <v>40537.7770833333</v>
      </c>
      <c r="F157" s="0" t="n">
        <v>2.58</v>
      </c>
      <c r="H157" s="3" t="s">
        <v>14</v>
      </c>
      <c r="I157" s="4" t="n">
        <f aca="false">D157*F157</f>
        <v>7.74</v>
      </c>
      <c r="J157" s="3" t="n">
        <f aca="false">IF(AND(LEFT(A157,1)&lt;&gt;"C",D157&gt;0,F157&gt;0),1,0)</f>
        <v>1</v>
      </c>
      <c r="K157" s="3" t="n">
        <f aca="false">IF(AND(H157="United Kingdom",G157&lt;&gt;"",COUNTIFS($G$2:G157,G157,$H$2:H157,"United Kingdom")=1),1,0)</f>
        <v>0</v>
      </c>
    </row>
    <row r="158" customFormat="false" ht="15" hidden="false" customHeight="false" outlineLevel="0" collapsed="false">
      <c r="A158" s="0" t="s">
        <v>121</v>
      </c>
      <c r="B158" s="0" t="s">
        <v>68</v>
      </c>
      <c r="C158" s="0" t="s">
        <v>69</v>
      </c>
      <c r="D158" s="0" t="n">
        <v>16</v>
      </c>
      <c r="E158" s="2" t="n">
        <v>40537.7770833333</v>
      </c>
      <c r="F158" s="0" t="n">
        <v>1.26</v>
      </c>
      <c r="H158" s="3" t="s">
        <v>14</v>
      </c>
      <c r="I158" s="4" t="n">
        <f aca="false">D158*F158</f>
        <v>20.16</v>
      </c>
      <c r="J158" s="3" t="n">
        <f aca="false">IF(AND(LEFT(A158,1)&lt;&gt;"C",D158&gt;0,F158&gt;0),1,0)</f>
        <v>1</v>
      </c>
      <c r="K158" s="3" t="n">
        <f aca="false">IF(AND(H158="United Kingdom",G158&lt;&gt;"",COUNTIFS($G$2:G158,G158,$H$2:H158,"United Kingdom")=1),1,0)</f>
        <v>0</v>
      </c>
    </row>
    <row r="159" customFormat="false" ht="15" hidden="false" customHeight="false" outlineLevel="0" collapsed="false">
      <c r="A159" s="0" t="s">
        <v>121</v>
      </c>
      <c r="B159" s="0" t="s">
        <v>12</v>
      </c>
      <c r="C159" s="0" t="s">
        <v>13</v>
      </c>
      <c r="D159" s="0" t="n">
        <v>4</v>
      </c>
      <c r="E159" s="2" t="n">
        <v>40537.7770833333</v>
      </c>
      <c r="F159" s="0" t="n">
        <v>3.33</v>
      </c>
      <c r="H159" s="3" t="s">
        <v>14</v>
      </c>
      <c r="I159" s="4" t="n">
        <f aca="false">D159*F159</f>
        <v>13.32</v>
      </c>
      <c r="J159" s="3" t="n">
        <f aca="false">IF(AND(LEFT(A159,1)&lt;&gt;"C",D159&gt;0,F159&gt;0),1,0)</f>
        <v>1</v>
      </c>
      <c r="K159" s="3" t="n">
        <f aca="false">IF(AND(H159="United Kingdom",G159&lt;&gt;"",COUNTIFS($G$2:G159,G159,$H$2:H159,"United Kingdom")=1),1,0)</f>
        <v>0</v>
      </c>
    </row>
    <row r="160" customFormat="false" ht="15" hidden="false" customHeight="false" outlineLevel="0" collapsed="false">
      <c r="A160" s="0" t="s">
        <v>121</v>
      </c>
      <c r="B160" s="0" t="s">
        <v>43</v>
      </c>
      <c r="C160" s="0" t="s">
        <v>44</v>
      </c>
      <c r="D160" s="0" t="n">
        <v>2</v>
      </c>
      <c r="E160" s="2" t="n">
        <v>40537.7770833333</v>
      </c>
      <c r="F160" s="0" t="n">
        <v>1.35</v>
      </c>
      <c r="H160" s="3" t="s">
        <v>14</v>
      </c>
      <c r="I160" s="4" t="n">
        <f aca="false">D160*F160</f>
        <v>2.7</v>
      </c>
      <c r="J160" s="3" t="n">
        <f aca="false">IF(AND(LEFT(A160,1)&lt;&gt;"C",D160&gt;0,F160&gt;0),1,0)</f>
        <v>1</v>
      </c>
      <c r="K160" s="3" t="n">
        <f aca="false">IF(AND(H160="United Kingdom",G160&lt;&gt;"",COUNTIFS($G$2:G160,G160,$H$2:H160,"United Kingdom")=1),1,0)</f>
        <v>0</v>
      </c>
    </row>
    <row r="161" customFormat="false" ht="15" hidden="false" customHeight="false" outlineLevel="0" collapsed="false">
      <c r="A161" s="0" t="s">
        <v>121</v>
      </c>
      <c r="B161" s="0" t="s">
        <v>41</v>
      </c>
      <c r="C161" s="0" t="s">
        <v>42</v>
      </c>
      <c r="D161" s="0" t="n">
        <v>12</v>
      </c>
      <c r="E161" s="2" t="n">
        <v>40537.7770833333</v>
      </c>
      <c r="F161" s="0" t="n">
        <v>3.28</v>
      </c>
      <c r="H161" s="3" t="s">
        <v>14</v>
      </c>
      <c r="I161" s="4" t="n">
        <f aca="false">D161*F161</f>
        <v>39.36</v>
      </c>
      <c r="J161" s="3" t="n">
        <f aca="false">IF(AND(LEFT(A161,1)&lt;&gt;"C",D161&gt;0,F161&gt;0),1,0)</f>
        <v>1</v>
      </c>
      <c r="K161" s="3" t="n">
        <f aca="false">IF(AND(H161="United Kingdom",G161&lt;&gt;"",COUNTIFS($G$2:G161,G161,$H$2:H161,"United Kingdom")=1),1,0)</f>
        <v>0</v>
      </c>
    </row>
    <row r="162" customFormat="false" ht="15" hidden="false" customHeight="false" outlineLevel="0" collapsed="false">
      <c r="A162" s="0" t="s">
        <v>121</v>
      </c>
      <c r="B162" s="0" t="s">
        <v>48</v>
      </c>
      <c r="C162" s="0" t="s">
        <v>49</v>
      </c>
      <c r="D162" s="0" t="n">
        <v>12</v>
      </c>
      <c r="E162" s="2" t="n">
        <v>40537.7770833333</v>
      </c>
      <c r="F162" s="0" t="n">
        <v>1.35</v>
      </c>
      <c r="H162" s="3" t="s">
        <v>14</v>
      </c>
      <c r="I162" s="4" t="n">
        <f aca="false">D162*F162</f>
        <v>16.2</v>
      </c>
      <c r="J162" s="3" t="n">
        <f aca="false">IF(AND(LEFT(A162,1)&lt;&gt;"C",D162&gt;0,F162&gt;0),1,0)</f>
        <v>1</v>
      </c>
      <c r="K162" s="3" t="n">
        <f aca="false">IF(AND(H162="United Kingdom",G162&lt;&gt;"",COUNTIFS($G$2:G162,G162,$H$2:H162,"United Kingdom")=1),1,0)</f>
        <v>0</v>
      </c>
    </row>
    <row r="163" customFormat="false" ht="15" hidden="false" customHeight="false" outlineLevel="0" collapsed="false">
      <c r="A163" s="0" t="s">
        <v>121</v>
      </c>
      <c r="B163" s="0" t="s">
        <v>37</v>
      </c>
      <c r="C163" s="0" t="s">
        <v>38</v>
      </c>
      <c r="D163" s="0" t="n">
        <v>24</v>
      </c>
      <c r="E163" s="2" t="n">
        <v>40537.7770833333</v>
      </c>
      <c r="F163" s="0" t="n">
        <v>1.82</v>
      </c>
      <c r="H163" s="3" t="s">
        <v>14</v>
      </c>
      <c r="I163" s="4" t="n">
        <f aca="false">D163*F163</f>
        <v>43.68</v>
      </c>
      <c r="J163" s="3" t="n">
        <f aca="false">IF(AND(LEFT(A163,1)&lt;&gt;"C",D163&gt;0,F163&gt;0),1,0)</f>
        <v>1</v>
      </c>
      <c r="K163" s="3" t="n">
        <f aca="false">IF(AND(H163="United Kingdom",G163&lt;&gt;"",COUNTIFS($G$2:G163,G163,$H$2:H163,"United Kingdom")=1),1,0)</f>
        <v>0</v>
      </c>
    </row>
    <row r="164" customFormat="false" ht="15" hidden="false" customHeight="false" outlineLevel="0" collapsed="false">
      <c r="A164" s="0" t="s">
        <v>121</v>
      </c>
      <c r="B164" s="0" t="s">
        <v>80</v>
      </c>
      <c r="C164" s="0" t="s">
        <v>81</v>
      </c>
      <c r="D164" s="0" t="n">
        <v>4</v>
      </c>
      <c r="E164" s="2" t="n">
        <v>40537.7770833333</v>
      </c>
      <c r="F164" s="0" t="n">
        <v>1.53</v>
      </c>
      <c r="H164" s="3" t="s">
        <v>14</v>
      </c>
      <c r="I164" s="4" t="n">
        <f aca="false">D164*F164</f>
        <v>6.12</v>
      </c>
      <c r="J164" s="3" t="n">
        <f aca="false">IF(AND(LEFT(A164,1)&lt;&gt;"C",D164&gt;0,F164&gt;0),1,0)</f>
        <v>1</v>
      </c>
      <c r="K164" s="3" t="n">
        <f aca="false">IF(AND(H164="United Kingdom",G164&lt;&gt;"",COUNTIFS($G$2:G164,G164,$H$2:H164,"United Kingdom")=1),1,0)</f>
        <v>0</v>
      </c>
    </row>
    <row r="165" customFormat="false" ht="15" hidden="false" customHeight="false" outlineLevel="0" collapsed="false">
      <c r="A165" s="0" t="s">
        <v>121</v>
      </c>
      <c r="B165" s="0" t="s">
        <v>72</v>
      </c>
      <c r="C165" s="0" t="s">
        <v>73</v>
      </c>
      <c r="D165" s="0" t="n">
        <v>8</v>
      </c>
      <c r="E165" s="2" t="n">
        <v>40537.7770833333</v>
      </c>
      <c r="F165" s="0" t="n">
        <v>2.69</v>
      </c>
      <c r="H165" s="3" t="s">
        <v>14</v>
      </c>
      <c r="I165" s="4" t="n">
        <f aca="false">D165*F165</f>
        <v>21.52</v>
      </c>
      <c r="J165" s="3" t="n">
        <f aca="false">IF(AND(LEFT(A165,1)&lt;&gt;"C",D165&gt;0,F165&gt;0),1,0)</f>
        <v>1</v>
      </c>
      <c r="K165" s="3" t="n">
        <f aca="false">IF(AND(H165="United Kingdom",G165&lt;&gt;"",COUNTIFS($G$2:G165,G165,$H$2:H165,"United Kingdom")=1),1,0)</f>
        <v>0</v>
      </c>
    </row>
    <row r="166" customFormat="false" ht="15" hidden="false" customHeight="false" outlineLevel="0" collapsed="false">
      <c r="A166" s="0" t="s">
        <v>121</v>
      </c>
      <c r="B166" s="0" t="s">
        <v>17</v>
      </c>
      <c r="C166" s="0" t="s">
        <v>18</v>
      </c>
      <c r="D166" s="0" t="n">
        <v>4</v>
      </c>
      <c r="E166" s="2" t="n">
        <v>40537.7770833333</v>
      </c>
      <c r="F166" s="0" t="n">
        <v>1.92</v>
      </c>
      <c r="H166" s="3" t="s">
        <v>14</v>
      </c>
      <c r="I166" s="4" t="n">
        <f aca="false">D166*F166</f>
        <v>7.68</v>
      </c>
      <c r="J166" s="3" t="n">
        <f aca="false">IF(AND(LEFT(A166,1)&lt;&gt;"C",D166&gt;0,F166&gt;0),1,0)</f>
        <v>1</v>
      </c>
      <c r="K166" s="3" t="n">
        <f aca="false">IF(AND(H166="United Kingdom",G166&lt;&gt;"",COUNTIFS($G$2:G166,G166,$H$2:H166,"United Kingdom")=1),1,0)</f>
        <v>0</v>
      </c>
    </row>
    <row r="167" customFormat="false" ht="15" hidden="false" customHeight="false" outlineLevel="0" collapsed="false">
      <c r="A167" s="0" t="s">
        <v>121</v>
      </c>
      <c r="B167" s="0" t="s">
        <v>58</v>
      </c>
      <c r="C167" s="0" t="s">
        <v>59</v>
      </c>
      <c r="D167" s="0" t="n">
        <v>4</v>
      </c>
      <c r="E167" s="2" t="n">
        <v>40537.7770833333</v>
      </c>
      <c r="F167" s="0" t="n">
        <v>2.16</v>
      </c>
      <c r="H167" s="3" t="s">
        <v>14</v>
      </c>
      <c r="I167" s="4" t="n">
        <f aca="false">D167*F167</f>
        <v>8.64</v>
      </c>
      <c r="J167" s="3" t="n">
        <f aca="false">IF(AND(LEFT(A167,1)&lt;&gt;"C",D167&gt;0,F167&gt;0),1,0)</f>
        <v>1</v>
      </c>
      <c r="K167" s="3" t="n">
        <f aca="false">IF(AND(H167="United Kingdom",G167&lt;&gt;"",COUNTIFS($G$2:G167,G167,$H$2:H167,"United Kingdom")=1),1,0)</f>
        <v>0</v>
      </c>
    </row>
    <row r="168" customFormat="false" ht="15" hidden="false" customHeight="false" outlineLevel="0" collapsed="false">
      <c r="A168" s="0" t="s">
        <v>122</v>
      </c>
      <c r="B168" s="0" t="s">
        <v>65</v>
      </c>
      <c r="C168" s="0" t="s">
        <v>66</v>
      </c>
      <c r="D168" s="0" t="n">
        <v>24</v>
      </c>
      <c r="E168" s="2" t="n">
        <v>40538.3347222222</v>
      </c>
      <c r="F168" s="0" t="n">
        <v>4.75</v>
      </c>
      <c r="H168" s="3" t="s">
        <v>14</v>
      </c>
      <c r="I168" s="4" t="n">
        <f aca="false">D168*F168</f>
        <v>114</v>
      </c>
      <c r="J168" s="3" t="n">
        <f aca="false">IF(AND(LEFT(A168,1)&lt;&gt;"C",D168&gt;0,F168&gt;0),1,0)</f>
        <v>1</v>
      </c>
      <c r="K168" s="3" t="n">
        <f aca="false">IF(AND(H168="United Kingdom",G168&lt;&gt;"",COUNTIFS($G$2:G168,G168,$H$2:H168,"United Kingdom")=1),1,0)</f>
        <v>0</v>
      </c>
    </row>
    <row r="169" customFormat="false" ht="15" hidden="false" customHeight="false" outlineLevel="0" collapsed="false">
      <c r="A169" s="0" t="s">
        <v>122</v>
      </c>
      <c r="B169" s="0" t="s">
        <v>39</v>
      </c>
      <c r="C169" s="0" t="s">
        <v>40</v>
      </c>
      <c r="D169" s="0" t="n">
        <v>4</v>
      </c>
      <c r="E169" s="2" t="n">
        <v>40538.3347222222</v>
      </c>
      <c r="F169" s="0" t="n">
        <v>2.58</v>
      </c>
      <c r="H169" s="3" t="s">
        <v>14</v>
      </c>
      <c r="I169" s="4" t="n">
        <f aca="false">D169*F169</f>
        <v>10.32</v>
      </c>
      <c r="J169" s="3" t="n">
        <f aca="false">IF(AND(LEFT(A169,1)&lt;&gt;"C",D169&gt;0,F169&gt;0),1,0)</f>
        <v>1</v>
      </c>
      <c r="K169" s="3" t="n">
        <f aca="false">IF(AND(H169="United Kingdom",G169&lt;&gt;"",COUNTIFS($G$2:G169,G169,$H$2:H169,"United Kingdom")=1),1,0)</f>
        <v>0</v>
      </c>
    </row>
    <row r="170" customFormat="false" ht="15" hidden="false" customHeight="false" outlineLevel="0" collapsed="false">
      <c r="A170" s="0" t="s">
        <v>122</v>
      </c>
      <c r="B170" s="0" t="s">
        <v>77</v>
      </c>
      <c r="C170" s="0" t="s">
        <v>78</v>
      </c>
      <c r="D170" s="0" t="n">
        <v>4</v>
      </c>
      <c r="E170" s="2" t="n">
        <v>40538.3347222222</v>
      </c>
      <c r="F170" s="0" t="n">
        <v>3.41</v>
      </c>
      <c r="H170" s="3" t="s">
        <v>14</v>
      </c>
      <c r="I170" s="4" t="n">
        <f aca="false">D170*F170</f>
        <v>13.64</v>
      </c>
      <c r="J170" s="3" t="n">
        <f aca="false">IF(AND(LEFT(A170,1)&lt;&gt;"C",D170&gt;0,F170&gt;0),1,0)</f>
        <v>1</v>
      </c>
      <c r="K170" s="3" t="n">
        <f aca="false">IF(AND(H170="United Kingdom",G170&lt;&gt;"",COUNTIFS($G$2:G170,G170,$H$2:H170,"United Kingdom")=1),1,0)</f>
        <v>0</v>
      </c>
    </row>
    <row r="171" customFormat="false" ht="15" hidden="false" customHeight="false" outlineLevel="0" collapsed="false">
      <c r="A171" s="0" t="s">
        <v>122</v>
      </c>
      <c r="B171" s="0" t="s">
        <v>27</v>
      </c>
      <c r="C171" s="0" t="s">
        <v>28</v>
      </c>
      <c r="D171" s="0" t="n">
        <v>2</v>
      </c>
      <c r="E171" s="2" t="n">
        <v>40538.3347222222</v>
      </c>
      <c r="F171" s="0" t="n">
        <v>4.55</v>
      </c>
      <c r="H171" s="3" t="s">
        <v>14</v>
      </c>
      <c r="I171" s="4" t="n">
        <f aca="false">D171*F171</f>
        <v>9.1</v>
      </c>
      <c r="J171" s="3" t="n">
        <f aca="false">IF(AND(LEFT(A171,1)&lt;&gt;"C",D171&gt;0,F171&gt;0),1,0)</f>
        <v>1</v>
      </c>
      <c r="K171" s="3" t="n">
        <f aca="false">IF(AND(H171="United Kingdom",G171&lt;&gt;"",COUNTIFS($G$2:G171,G171,$H$2:H171,"United Kingdom")=1),1,0)</f>
        <v>0</v>
      </c>
    </row>
    <row r="172" customFormat="false" ht="15" hidden="false" customHeight="false" outlineLevel="0" collapsed="false">
      <c r="A172" s="0" t="s">
        <v>122</v>
      </c>
      <c r="B172" s="0" t="s">
        <v>41</v>
      </c>
      <c r="C172" s="0" t="s">
        <v>42</v>
      </c>
      <c r="D172" s="0" t="n">
        <v>12</v>
      </c>
      <c r="E172" s="2" t="n">
        <v>40538.3347222222</v>
      </c>
      <c r="F172" s="0" t="n">
        <v>3.28</v>
      </c>
      <c r="H172" s="3" t="s">
        <v>14</v>
      </c>
      <c r="I172" s="4" t="n">
        <f aca="false">D172*F172</f>
        <v>39.36</v>
      </c>
      <c r="J172" s="3" t="n">
        <f aca="false">IF(AND(LEFT(A172,1)&lt;&gt;"C",D172&gt;0,F172&gt;0),1,0)</f>
        <v>1</v>
      </c>
      <c r="K172" s="3" t="n">
        <f aca="false">IF(AND(H172="United Kingdom",G172&lt;&gt;"",COUNTIFS($G$2:G172,G172,$H$2:H172,"United Kingdom")=1),1,0)</f>
        <v>0</v>
      </c>
    </row>
    <row r="173" customFormat="false" ht="15" hidden="false" customHeight="false" outlineLevel="0" collapsed="false">
      <c r="A173" s="0" t="s">
        <v>122</v>
      </c>
      <c r="B173" s="0" t="s">
        <v>63</v>
      </c>
      <c r="C173" s="0" t="s">
        <v>64</v>
      </c>
      <c r="D173" s="0" t="n">
        <v>8</v>
      </c>
      <c r="E173" s="2" t="n">
        <v>40538.3347222222</v>
      </c>
      <c r="F173" s="0" t="n">
        <v>2.43</v>
      </c>
      <c r="H173" s="3" t="s">
        <v>14</v>
      </c>
      <c r="I173" s="4" t="n">
        <f aca="false">D173*F173</f>
        <v>19.44</v>
      </c>
      <c r="J173" s="3" t="n">
        <f aca="false">IF(AND(LEFT(A173,1)&lt;&gt;"C",D173&gt;0,F173&gt;0),1,0)</f>
        <v>1</v>
      </c>
      <c r="K173" s="3" t="n">
        <f aca="false">IF(AND(H173="United Kingdom",G173&lt;&gt;"",COUNTIFS($G$2:G173,G173,$H$2:H173,"United Kingdom")=1),1,0)</f>
        <v>0</v>
      </c>
    </row>
    <row r="174" customFormat="false" ht="15" hidden="false" customHeight="false" outlineLevel="0" collapsed="false">
      <c r="A174" s="0" t="s">
        <v>122</v>
      </c>
      <c r="B174" s="0" t="s">
        <v>68</v>
      </c>
      <c r="C174" s="0" t="s">
        <v>69</v>
      </c>
      <c r="D174" s="0" t="n">
        <v>1</v>
      </c>
      <c r="E174" s="2" t="n">
        <v>40538.3347222222</v>
      </c>
      <c r="F174" s="0" t="n">
        <v>1.26</v>
      </c>
      <c r="H174" s="3" t="s">
        <v>14</v>
      </c>
      <c r="I174" s="4" t="n">
        <f aca="false">D174*F174</f>
        <v>1.26</v>
      </c>
      <c r="J174" s="3" t="n">
        <f aca="false">IF(AND(LEFT(A174,1)&lt;&gt;"C",D174&gt;0,F174&gt;0),1,0)</f>
        <v>1</v>
      </c>
      <c r="K174" s="3" t="n">
        <f aca="false">IF(AND(H174="United Kingdom",G174&lt;&gt;"",COUNTIFS($G$2:G174,G174,$H$2:H174,"United Kingdom")=1),1,0)</f>
        <v>0</v>
      </c>
    </row>
    <row r="175" customFormat="false" ht="15" hidden="false" customHeight="false" outlineLevel="0" collapsed="false">
      <c r="A175" s="0" t="s">
        <v>122</v>
      </c>
      <c r="B175" s="0" t="s">
        <v>20</v>
      </c>
      <c r="C175" s="0" t="s">
        <v>21</v>
      </c>
      <c r="D175" s="0" t="n">
        <v>4</v>
      </c>
      <c r="E175" s="2" t="n">
        <v>40538.3347222222</v>
      </c>
      <c r="F175" s="0" t="n">
        <v>4.24</v>
      </c>
      <c r="H175" s="3" t="s">
        <v>14</v>
      </c>
      <c r="I175" s="4" t="n">
        <f aca="false">D175*F175</f>
        <v>16.96</v>
      </c>
      <c r="J175" s="3" t="n">
        <f aca="false">IF(AND(LEFT(A175,1)&lt;&gt;"C",D175&gt;0,F175&gt;0),1,0)</f>
        <v>1</v>
      </c>
      <c r="K175" s="3" t="n">
        <f aca="false">IF(AND(H175="United Kingdom",G175&lt;&gt;"",COUNTIFS($G$2:G175,G175,$H$2:H175,"United Kingdom")=1),1,0)</f>
        <v>0</v>
      </c>
    </row>
    <row r="176" customFormat="false" ht="15" hidden="false" customHeight="false" outlineLevel="0" collapsed="false">
      <c r="A176" s="0" t="s">
        <v>122</v>
      </c>
      <c r="B176" s="0" t="s">
        <v>17</v>
      </c>
      <c r="C176" s="0" t="s">
        <v>18</v>
      </c>
      <c r="D176" s="0" t="n">
        <v>1</v>
      </c>
      <c r="E176" s="2" t="n">
        <v>40538.3347222222</v>
      </c>
      <c r="F176" s="0" t="n">
        <v>1.92</v>
      </c>
      <c r="H176" s="3" t="s">
        <v>14</v>
      </c>
      <c r="I176" s="4" t="n">
        <f aca="false">D176*F176</f>
        <v>1.92</v>
      </c>
      <c r="J176" s="3" t="n">
        <f aca="false">IF(AND(LEFT(A176,1)&lt;&gt;"C",D176&gt;0,F176&gt;0),1,0)</f>
        <v>1</v>
      </c>
      <c r="K176" s="3" t="n">
        <f aca="false">IF(AND(H176="United Kingdom",G176&lt;&gt;"",COUNTIFS($G$2:G176,G176,$H$2:H176,"United Kingdom")=1),1,0)</f>
        <v>0</v>
      </c>
    </row>
    <row r="177" customFormat="false" ht="15" hidden="false" customHeight="false" outlineLevel="0" collapsed="false">
      <c r="A177" s="0" t="s">
        <v>123</v>
      </c>
      <c r="B177" s="0" t="s">
        <v>58</v>
      </c>
      <c r="C177" s="0" t="s">
        <v>59</v>
      </c>
      <c r="D177" s="0" t="n">
        <v>18</v>
      </c>
      <c r="E177" s="2" t="n">
        <v>40538.4972222222</v>
      </c>
      <c r="F177" s="0" t="n">
        <v>2.16</v>
      </c>
      <c r="G177" s="0" t="n">
        <v>14248</v>
      </c>
      <c r="H177" s="3" t="s">
        <v>124</v>
      </c>
      <c r="I177" s="4" t="n">
        <f aca="false">D177*F177</f>
        <v>38.88</v>
      </c>
      <c r="J177" s="3" t="n">
        <f aca="false">IF(AND(LEFT(A177,1)&lt;&gt;"C",D177&gt;0,F177&gt;0),1,0)</f>
        <v>1</v>
      </c>
      <c r="K177" s="3" t="n">
        <f aca="false">IF(AND(H177="United Kingdom",G177&lt;&gt;"",COUNTIFS($G$2:G177,G177,$H$2:H177,"United Kingdom")=1),1,0)</f>
        <v>0</v>
      </c>
    </row>
    <row r="178" customFormat="false" ht="15" hidden="false" customHeight="false" outlineLevel="0" collapsed="false">
      <c r="A178" s="0" t="s">
        <v>123</v>
      </c>
      <c r="B178" s="0" t="s">
        <v>48</v>
      </c>
      <c r="C178" s="0" t="s">
        <v>49</v>
      </c>
      <c r="D178" s="0" t="n">
        <v>72</v>
      </c>
      <c r="E178" s="2" t="n">
        <v>40538.4972222222</v>
      </c>
      <c r="F178" s="0" t="n">
        <v>1.35</v>
      </c>
      <c r="G178" s="0" t="n">
        <v>14248</v>
      </c>
      <c r="H178" s="3" t="s">
        <v>124</v>
      </c>
      <c r="I178" s="4" t="n">
        <f aca="false">D178*F178</f>
        <v>97.2</v>
      </c>
      <c r="J178" s="3" t="n">
        <f aca="false">IF(AND(LEFT(A178,1)&lt;&gt;"C",D178&gt;0,F178&gt;0),1,0)</f>
        <v>1</v>
      </c>
      <c r="K178" s="3" t="n">
        <f aca="false">IF(AND(H178="United Kingdom",G178&lt;&gt;"",COUNTIFS($G$2:G178,G178,$H$2:H178,"United Kingdom")=1),1,0)</f>
        <v>0</v>
      </c>
    </row>
    <row r="179" customFormat="false" ht="15" hidden="false" customHeight="false" outlineLevel="0" collapsed="false">
      <c r="A179" s="0" t="s">
        <v>123</v>
      </c>
      <c r="B179" s="0" t="s">
        <v>17</v>
      </c>
      <c r="C179" s="0" t="s">
        <v>18</v>
      </c>
      <c r="D179" s="0" t="n">
        <v>108</v>
      </c>
      <c r="E179" s="2" t="n">
        <v>40538.4972222222</v>
      </c>
      <c r="F179" s="0" t="n">
        <v>1.92</v>
      </c>
      <c r="G179" s="0" t="n">
        <v>14248</v>
      </c>
      <c r="H179" s="3" t="s">
        <v>124</v>
      </c>
      <c r="I179" s="4" t="n">
        <f aca="false">D179*F179</f>
        <v>207.36</v>
      </c>
      <c r="J179" s="3" t="n">
        <f aca="false">IF(AND(LEFT(A179,1)&lt;&gt;"C",D179&gt;0,F179&gt;0),1,0)</f>
        <v>1</v>
      </c>
      <c r="K179" s="3" t="n">
        <f aca="false">IF(AND(H179="United Kingdom",G179&lt;&gt;"",COUNTIFS($G$2:G179,G179,$H$2:H179,"United Kingdom")=1),1,0)</f>
        <v>0</v>
      </c>
    </row>
    <row r="180" customFormat="false" ht="15" hidden="false" customHeight="false" outlineLevel="0" collapsed="false">
      <c r="A180" s="0" t="s">
        <v>125</v>
      </c>
      <c r="B180" s="0" t="s">
        <v>80</v>
      </c>
      <c r="C180" s="0" t="s">
        <v>81</v>
      </c>
      <c r="D180" s="0" t="n">
        <v>8</v>
      </c>
      <c r="E180" s="2" t="n">
        <v>40538.7215277778</v>
      </c>
      <c r="F180" s="0" t="n">
        <v>1.53</v>
      </c>
      <c r="G180" s="0" t="n">
        <v>14001</v>
      </c>
      <c r="H180" s="3" t="s">
        <v>14</v>
      </c>
      <c r="I180" s="4" t="n">
        <f aca="false">D180*F180</f>
        <v>12.24</v>
      </c>
      <c r="J180" s="3" t="n">
        <f aca="false">IF(AND(LEFT(A180,1)&lt;&gt;"C",D180&gt;0,F180&gt;0),1,0)</f>
        <v>1</v>
      </c>
      <c r="K180" s="3" t="n">
        <f aca="false">IF(AND(H180="United Kingdom",G180&lt;&gt;"",COUNTIFS($G$2:G180,G180,$H$2:H180,"United Kingdom")=1),1,0)</f>
        <v>1</v>
      </c>
    </row>
    <row r="181" customFormat="false" ht="15" hidden="false" customHeight="false" outlineLevel="0" collapsed="false">
      <c r="A181" s="0" t="s">
        <v>126</v>
      </c>
      <c r="B181" s="0" t="s">
        <v>39</v>
      </c>
      <c r="C181" s="0" t="s">
        <v>40</v>
      </c>
      <c r="D181" s="0" t="n">
        <v>3</v>
      </c>
      <c r="E181" s="2" t="n">
        <v>40539.4743055556</v>
      </c>
      <c r="F181" s="0" t="n">
        <v>2.58</v>
      </c>
      <c r="H181" s="3" t="s">
        <v>14</v>
      </c>
      <c r="I181" s="4" t="n">
        <f aca="false">D181*F181</f>
        <v>7.74</v>
      </c>
      <c r="J181" s="3" t="n">
        <f aca="false">IF(AND(LEFT(A181,1)&lt;&gt;"C",D181&gt;0,F181&gt;0),1,0)</f>
        <v>1</v>
      </c>
      <c r="K181" s="3" t="n">
        <f aca="false">IF(AND(H181="United Kingdom",G181&lt;&gt;"",COUNTIFS($G$2:G181,G181,$H$2:H181,"United Kingdom")=1),1,0)</f>
        <v>0</v>
      </c>
    </row>
    <row r="182" customFormat="false" ht="15" hidden="false" customHeight="false" outlineLevel="0" collapsed="false">
      <c r="A182" s="0" t="s">
        <v>126</v>
      </c>
      <c r="B182" s="0" t="s">
        <v>12</v>
      </c>
      <c r="C182" s="0" t="s">
        <v>13</v>
      </c>
      <c r="D182" s="0" t="n">
        <v>8</v>
      </c>
      <c r="E182" s="2" t="n">
        <v>40539.4743055556</v>
      </c>
      <c r="F182" s="0" t="n">
        <v>3.33</v>
      </c>
      <c r="H182" s="3" t="s">
        <v>14</v>
      </c>
      <c r="I182" s="4" t="n">
        <f aca="false">D182*F182</f>
        <v>26.64</v>
      </c>
      <c r="J182" s="3" t="n">
        <f aca="false">IF(AND(LEFT(A182,1)&lt;&gt;"C",D182&gt;0,F182&gt;0),1,0)</f>
        <v>1</v>
      </c>
      <c r="K182" s="3" t="n">
        <f aca="false">IF(AND(H182="United Kingdom",G182&lt;&gt;"",COUNTIFS($G$2:G182,G182,$H$2:H182,"United Kingdom")=1),1,0)</f>
        <v>0</v>
      </c>
    </row>
    <row r="183" customFormat="false" ht="15" hidden="false" customHeight="false" outlineLevel="0" collapsed="false">
      <c r="A183" s="0" t="s">
        <v>126</v>
      </c>
      <c r="B183" s="0" t="s">
        <v>22</v>
      </c>
      <c r="C183" s="0" t="s">
        <v>23</v>
      </c>
      <c r="D183" s="0" t="n">
        <v>6</v>
      </c>
      <c r="E183" s="2" t="n">
        <v>40539.4743055556</v>
      </c>
      <c r="F183" s="0" t="n">
        <v>3.18</v>
      </c>
      <c r="H183" s="3" t="s">
        <v>14</v>
      </c>
      <c r="I183" s="4" t="n">
        <f aca="false">D183*F183</f>
        <v>19.08</v>
      </c>
      <c r="J183" s="3" t="n">
        <f aca="false">IF(AND(LEFT(A183,1)&lt;&gt;"C",D183&gt;0,F183&gt;0),1,0)</f>
        <v>1</v>
      </c>
      <c r="K183" s="3" t="n">
        <f aca="false">IF(AND(H183="United Kingdom",G183&lt;&gt;"",COUNTIFS($G$2:G183,G183,$H$2:H183,"United Kingdom")=1),1,0)</f>
        <v>0</v>
      </c>
    </row>
    <row r="184" customFormat="false" ht="15" hidden="false" customHeight="false" outlineLevel="0" collapsed="false">
      <c r="A184" s="0" t="s">
        <v>126</v>
      </c>
      <c r="B184" s="0" t="s">
        <v>50</v>
      </c>
      <c r="C184" s="0" t="s">
        <v>51</v>
      </c>
      <c r="D184" s="0" t="n">
        <v>1</v>
      </c>
      <c r="E184" s="2" t="n">
        <v>40539.4743055556</v>
      </c>
      <c r="F184" s="0" t="n">
        <v>5.41</v>
      </c>
      <c r="H184" s="3" t="s">
        <v>14</v>
      </c>
      <c r="I184" s="4" t="n">
        <f aca="false">D184*F184</f>
        <v>5.41</v>
      </c>
      <c r="J184" s="3" t="n">
        <f aca="false">IF(AND(LEFT(A184,1)&lt;&gt;"C",D184&gt;0,F184&gt;0),1,0)</f>
        <v>1</v>
      </c>
      <c r="K184" s="3" t="n">
        <f aca="false">IF(AND(H184="United Kingdom",G184&lt;&gt;"",COUNTIFS($G$2:G184,G184,$H$2:H184,"United Kingdom")=1),1,0)</f>
        <v>0</v>
      </c>
    </row>
    <row r="185" customFormat="false" ht="15" hidden="false" customHeight="false" outlineLevel="0" collapsed="false">
      <c r="A185" s="0" t="s">
        <v>126</v>
      </c>
      <c r="B185" s="0" t="s">
        <v>41</v>
      </c>
      <c r="C185" s="0" t="s">
        <v>42</v>
      </c>
      <c r="D185" s="0" t="n">
        <v>1</v>
      </c>
      <c r="E185" s="2" t="n">
        <v>40539.4743055556</v>
      </c>
      <c r="F185" s="0" t="n">
        <v>3.28</v>
      </c>
      <c r="H185" s="3" t="s">
        <v>14</v>
      </c>
      <c r="I185" s="4" t="n">
        <f aca="false">D185*F185</f>
        <v>3.28</v>
      </c>
      <c r="J185" s="3" t="n">
        <f aca="false">IF(AND(LEFT(A185,1)&lt;&gt;"C",D185&gt;0,F185&gt;0),1,0)</f>
        <v>1</v>
      </c>
      <c r="K185" s="3" t="n">
        <f aca="false">IF(AND(H185="United Kingdom",G185&lt;&gt;"",COUNTIFS($G$2:G185,G185,$H$2:H185,"United Kingdom")=1),1,0)</f>
        <v>0</v>
      </c>
    </row>
    <row r="186" customFormat="false" ht="15" hidden="false" customHeight="false" outlineLevel="0" collapsed="false">
      <c r="A186" s="0" t="s">
        <v>126</v>
      </c>
      <c r="B186" s="0" t="s">
        <v>45</v>
      </c>
      <c r="C186" s="0" t="s">
        <v>46</v>
      </c>
      <c r="D186" s="0" t="n">
        <v>2</v>
      </c>
      <c r="E186" s="2" t="n">
        <v>40539.4743055556</v>
      </c>
      <c r="F186" s="0" t="n">
        <v>4.55</v>
      </c>
      <c r="H186" s="3" t="s">
        <v>14</v>
      </c>
      <c r="I186" s="4" t="n">
        <f aca="false">D186*F186</f>
        <v>9.1</v>
      </c>
      <c r="J186" s="3" t="n">
        <f aca="false">IF(AND(LEFT(A186,1)&lt;&gt;"C",D186&gt;0,F186&gt;0),1,0)</f>
        <v>1</v>
      </c>
      <c r="K186" s="3" t="n">
        <f aca="false">IF(AND(H186="United Kingdom",G186&lt;&gt;"",COUNTIFS($G$2:G186,G186,$H$2:H186,"United Kingdom")=1),1,0)</f>
        <v>0</v>
      </c>
    </row>
    <row r="187" customFormat="false" ht="15" hidden="false" customHeight="false" outlineLevel="0" collapsed="false">
      <c r="A187" s="0" t="s">
        <v>127</v>
      </c>
      <c r="B187" s="0" t="s">
        <v>68</v>
      </c>
      <c r="C187" s="0" t="s">
        <v>69</v>
      </c>
      <c r="D187" s="0" t="n">
        <v>2</v>
      </c>
      <c r="E187" s="2" t="n">
        <v>40539.5784722222</v>
      </c>
      <c r="F187" s="0" t="n">
        <v>1.26</v>
      </c>
      <c r="G187" s="0" t="n">
        <v>13246</v>
      </c>
      <c r="H187" s="3" t="s">
        <v>14</v>
      </c>
      <c r="I187" s="4" t="n">
        <f aca="false">D187*F187</f>
        <v>2.52</v>
      </c>
      <c r="J187" s="3" t="n">
        <f aca="false">IF(AND(LEFT(A187,1)&lt;&gt;"C",D187&gt;0,F187&gt;0),1,0)</f>
        <v>1</v>
      </c>
      <c r="K187" s="3" t="n">
        <f aca="false">IF(AND(H187="United Kingdom",G187&lt;&gt;"",COUNTIFS($G$2:G187,G187,$H$2:H187,"United Kingdom")=1),1,0)</f>
        <v>1</v>
      </c>
    </row>
    <row r="188" customFormat="false" ht="15" hidden="false" customHeight="false" outlineLevel="0" collapsed="false">
      <c r="A188" s="0" t="s">
        <v>127</v>
      </c>
      <c r="B188" s="0" t="s">
        <v>39</v>
      </c>
      <c r="C188" s="0" t="s">
        <v>40</v>
      </c>
      <c r="D188" s="0" t="n">
        <v>3</v>
      </c>
      <c r="E188" s="2" t="n">
        <v>40539.5784722222</v>
      </c>
      <c r="F188" s="0" t="n">
        <v>2.58</v>
      </c>
      <c r="G188" s="0" t="n">
        <v>13246</v>
      </c>
      <c r="H188" s="3" t="s">
        <v>14</v>
      </c>
      <c r="I188" s="4" t="n">
        <f aca="false">D188*F188</f>
        <v>7.74</v>
      </c>
      <c r="J188" s="3" t="n">
        <f aca="false">IF(AND(LEFT(A188,1)&lt;&gt;"C",D188&gt;0,F188&gt;0),1,0)</f>
        <v>1</v>
      </c>
      <c r="K188" s="3" t="n">
        <f aca="false">IF(AND(H188="United Kingdom",G188&lt;&gt;"",COUNTIFS($G$2:G188,G188,$H$2:H188,"United Kingdom")=1),1,0)</f>
        <v>0</v>
      </c>
    </row>
    <row r="189" customFormat="false" ht="15" hidden="false" customHeight="false" outlineLevel="0" collapsed="false">
      <c r="A189" s="0" t="s">
        <v>127</v>
      </c>
      <c r="B189" s="0" t="s">
        <v>45</v>
      </c>
      <c r="C189" s="0" t="s">
        <v>46</v>
      </c>
      <c r="D189" s="0" t="n">
        <v>4</v>
      </c>
      <c r="E189" s="2" t="n">
        <v>40539.5784722222</v>
      </c>
      <c r="F189" s="0" t="n">
        <v>4.55</v>
      </c>
      <c r="G189" s="0" t="n">
        <v>13246</v>
      </c>
      <c r="H189" s="3" t="s">
        <v>14</v>
      </c>
      <c r="I189" s="4" t="n">
        <f aca="false">D189*F189</f>
        <v>18.2</v>
      </c>
      <c r="J189" s="3" t="n">
        <f aca="false">IF(AND(LEFT(A189,1)&lt;&gt;"C",D189&gt;0,F189&gt;0),1,0)</f>
        <v>1</v>
      </c>
      <c r="K189" s="3" t="n">
        <f aca="false">IF(AND(H189="United Kingdom",G189&lt;&gt;"",COUNTIFS($G$2:G189,G189,$H$2:H189,"United Kingdom")=1),1,0)</f>
        <v>0</v>
      </c>
    </row>
    <row r="190" customFormat="false" ht="15" hidden="false" customHeight="false" outlineLevel="0" collapsed="false">
      <c r="A190" s="0" t="s">
        <v>127</v>
      </c>
      <c r="B190" s="0" t="s">
        <v>65</v>
      </c>
      <c r="C190" s="0" t="s">
        <v>66</v>
      </c>
      <c r="D190" s="0" t="n">
        <v>2</v>
      </c>
      <c r="E190" s="2" t="n">
        <v>40539.5784722222</v>
      </c>
      <c r="F190" s="0" t="n">
        <v>4.75</v>
      </c>
      <c r="G190" s="0" t="n">
        <v>13246</v>
      </c>
      <c r="H190" s="3" t="s">
        <v>14</v>
      </c>
      <c r="I190" s="4" t="n">
        <f aca="false">D190*F190</f>
        <v>9.5</v>
      </c>
      <c r="J190" s="3" t="n">
        <f aca="false">IF(AND(LEFT(A190,1)&lt;&gt;"C",D190&gt;0,F190&gt;0),1,0)</f>
        <v>1</v>
      </c>
      <c r="K190" s="3" t="n">
        <f aca="false">IF(AND(H190="United Kingdom",G190&lt;&gt;"",COUNTIFS($G$2:G190,G190,$H$2:H190,"United Kingdom")=1),1,0)</f>
        <v>0</v>
      </c>
    </row>
    <row r="191" customFormat="false" ht="15" hidden="false" customHeight="false" outlineLevel="0" collapsed="false">
      <c r="A191" s="0" t="s">
        <v>127</v>
      </c>
      <c r="B191" s="0" t="s">
        <v>75</v>
      </c>
      <c r="C191" s="0" t="s">
        <v>76</v>
      </c>
      <c r="D191" s="0" t="n">
        <v>12</v>
      </c>
      <c r="E191" s="2" t="n">
        <v>40539.5784722222</v>
      </c>
      <c r="F191" s="0" t="n">
        <v>1.97</v>
      </c>
      <c r="G191" s="0" t="n">
        <v>13246</v>
      </c>
      <c r="H191" s="3" t="s">
        <v>14</v>
      </c>
      <c r="I191" s="4" t="n">
        <f aca="false">D191*F191</f>
        <v>23.64</v>
      </c>
      <c r="J191" s="3" t="n">
        <f aca="false">IF(AND(LEFT(A191,1)&lt;&gt;"C",D191&gt;0,F191&gt;0),1,0)</f>
        <v>1</v>
      </c>
      <c r="K191" s="3" t="n">
        <f aca="false">IF(AND(H191="United Kingdom",G191&lt;&gt;"",COUNTIFS($G$2:G191,G191,$H$2:H191,"United Kingdom")=1),1,0)</f>
        <v>0</v>
      </c>
    </row>
    <row r="192" customFormat="false" ht="15" hidden="false" customHeight="false" outlineLevel="0" collapsed="false">
      <c r="A192" s="0" t="s">
        <v>127</v>
      </c>
      <c r="B192" s="0" t="s">
        <v>20</v>
      </c>
      <c r="C192" s="0" t="s">
        <v>21</v>
      </c>
      <c r="D192" s="0" t="n">
        <v>12</v>
      </c>
      <c r="E192" s="2" t="n">
        <v>40539.5784722222</v>
      </c>
      <c r="F192" s="0" t="n">
        <v>4.24</v>
      </c>
      <c r="G192" s="0" t="n">
        <v>13246</v>
      </c>
      <c r="H192" s="3" t="s">
        <v>14</v>
      </c>
      <c r="I192" s="4" t="n">
        <f aca="false">D192*F192</f>
        <v>50.88</v>
      </c>
      <c r="J192" s="3" t="n">
        <f aca="false">IF(AND(LEFT(A192,1)&lt;&gt;"C",D192&gt;0,F192&gt;0),1,0)</f>
        <v>1</v>
      </c>
      <c r="K192" s="3" t="n">
        <f aca="false">IF(AND(H192="United Kingdom",G192&lt;&gt;"",COUNTIFS($G$2:G192,G192,$H$2:H192,"United Kingdom")=1),1,0)</f>
        <v>0</v>
      </c>
    </row>
    <row r="193" customFormat="false" ht="15" hidden="false" customHeight="false" outlineLevel="0" collapsed="false">
      <c r="A193" s="0" t="s">
        <v>127</v>
      </c>
      <c r="B193" s="0" t="s">
        <v>43</v>
      </c>
      <c r="C193" s="0" t="s">
        <v>44</v>
      </c>
      <c r="D193" s="0" t="n">
        <v>12</v>
      </c>
      <c r="E193" s="2" t="n">
        <v>40539.5784722222</v>
      </c>
      <c r="F193" s="0" t="n">
        <v>1.35</v>
      </c>
      <c r="G193" s="0" t="n">
        <v>13246</v>
      </c>
      <c r="H193" s="3" t="s">
        <v>14</v>
      </c>
      <c r="I193" s="4" t="n">
        <f aca="false">D193*F193</f>
        <v>16.2</v>
      </c>
      <c r="J193" s="3" t="n">
        <f aca="false">IF(AND(LEFT(A193,1)&lt;&gt;"C",D193&gt;0,F193&gt;0),1,0)</f>
        <v>1</v>
      </c>
      <c r="K193" s="3" t="n">
        <f aca="false">IF(AND(H193="United Kingdom",G193&lt;&gt;"",COUNTIFS($G$2:G193,G193,$H$2:H193,"United Kingdom")=1),1,0)</f>
        <v>0</v>
      </c>
    </row>
    <row r="194" customFormat="false" ht="15" hidden="false" customHeight="false" outlineLevel="0" collapsed="false">
      <c r="A194" s="0" t="s">
        <v>127</v>
      </c>
      <c r="B194" s="0" t="s">
        <v>27</v>
      </c>
      <c r="C194" s="0" t="s">
        <v>28</v>
      </c>
      <c r="D194" s="0" t="n">
        <v>1</v>
      </c>
      <c r="E194" s="2" t="n">
        <v>40539.5784722222</v>
      </c>
      <c r="F194" s="0" t="n">
        <v>4.55</v>
      </c>
      <c r="G194" s="0" t="n">
        <v>13246</v>
      </c>
      <c r="H194" s="3" t="s">
        <v>14</v>
      </c>
      <c r="I194" s="4" t="n">
        <f aca="false">D194*F194</f>
        <v>4.55</v>
      </c>
      <c r="J194" s="3" t="n">
        <f aca="false">IF(AND(LEFT(A194,1)&lt;&gt;"C",D194&gt;0,F194&gt;0),1,0)</f>
        <v>1</v>
      </c>
      <c r="K194" s="3" t="n">
        <f aca="false">IF(AND(H194="United Kingdom",G194&lt;&gt;"",COUNTIFS($G$2:G194,G194,$H$2:H194,"United Kingdom")=1),1,0)</f>
        <v>0</v>
      </c>
    </row>
    <row r="195" customFormat="false" ht="15" hidden="false" customHeight="false" outlineLevel="0" collapsed="false">
      <c r="A195" s="0" t="s">
        <v>128</v>
      </c>
      <c r="B195" s="0" t="s">
        <v>90</v>
      </c>
      <c r="C195" s="0" t="s">
        <v>91</v>
      </c>
      <c r="D195" s="0" t="n">
        <v>3</v>
      </c>
      <c r="E195" s="2" t="n">
        <v>40539.5916666667</v>
      </c>
      <c r="F195" s="0" t="n">
        <v>3.04</v>
      </c>
      <c r="H195" s="3" t="s">
        <v>14</v>
      </c>
      <c r="I195" s="4" t="n">
        <f aca="false">D195*F195</f>
        <v>9.12</v>
      </c>
      <c r="J195" s="3" t="n">
        <f aca="false">IF(AND(LEFT(A195,1)&lt;&gt;"C",D195&gt;0,F195&gt;0),1,0)</f>
        <v>1</v>
      </c>
      <c r="K195" s="3" t="n">
        <f aca="false">IF(AND(H195="United Kingdom",G195&lt;&gt;"",COUNTIFS($G$2:G195,G195,$H$2:H195,"United Kingdom")=1),1,0)</f>
        <v>0</v>
      </c>
    </row>
    <row r="196" customFormat="false" ht="15" hidden="false" customHeight="false" outlineLevel="0" collapsed="false">
      <c r="A196" s="0" t="s">
        <v>128</v>
      </c>
      <c r="B196" s="0" t="s">
        <v>113</v>
      </c>
      <c r="C196" s="0" t="s">
        <v>114</v>
      </c>
      <c r="D196" s="0" t="n">
        <v>12</v>
      </c>
      <c r="E196" s="2" t="n">
        <v>40539.5916666667</v>
      </c>
      <c r="F196" s="0" t="n">
        <v>3.57</v>
      </c>
      <c r="H196" s="3" t="s">
        <v>14</v>
      </c>
      <c r="I196" s="4" t="n">
        <f aca="false">D196*F196</f>
        <v>42.84</v>
      </c>
      <c r="J196" s="3" t="n">
        <f aca="false">IF(AND(LEFT(A196,1)&lt;&gt;"C",D196&gt;0,F196&gt;0),1,0)</f>
        <v>1</v>
      </c>
      <c r="K196" s="3" t="n">
        <f aca="false">IF(AND(H196="United Kingdom",G196&lt;&gt;"",COUNTIFS($G$2:G196,G196,$H$2:H196,"United Kingdom")=1),1,0)</f>
        <v>0</v>
      </c>
    </row>
    <row r="197" customFormat="false" ht="15" hidden="false" customHeight="false" outlineLevel="0" collapsed="false">
      <c r="A197" s="0" t="s">
        <v>128</v>
      </c>
      <c r="B197" s="0" t="s">
        <v>27</v>
      </c>
      <c r="C197" s="0" t="s">
        <v>28</v>
      </c>
      <c r="D197" s="0" t="n">
        <v>1</v>
      </c>
      <c r="E197" s="2" t="n">
        <v>40539.5916666667</v>
      </c>
      <c r="F197" s="0" t="n">
        <v>4.55</v>
      </c>
      <c r="H197" s="3" t="s">
        <v>14</v>
      </c>
      <c r="I197" s="4" t="n">
        <f aca="false">D197*F197</f>
        <v>4.55</v>
      </c>
      <c r="J197" s="3" t="n">
        <f aca="false">IF(AND(LEFT(A197,1)&lt;&gt;"C",D197&gt;0,F197&gt;0),1,0)</f>
        <v>1</v>
      </c>
      <c r="K197" s="3" t="n">
        <f aca="false">IF(AND(H197="United Kingdom",G197&lt;&gt;"",COUNTIFS($G$2:G197,G197,$H$2:H197,"United Kingdom")=1),1,0)</f>
        <v>0</v>
      </c>
    </row>
    <row r="198" customFormat="false" ht="15" hidden="false" customHeight="false" outlineLevel="0" collapsed="false">
      <c r="A198" s="0" t="s">
        <v>128</v>
      </c>
      <c r="B198" s="0" t="s">
        <v>39</v>
      </c>
      <c r="C198" s="0" t="s">
        <v>40</v>
      </c>
      <c r="D198" s="0" t="n">
        <v>6</v>
      </c>
      <c r="E198" s="2" t="n">
        <v>40539.5916666667</v>
      </c>
      <c r="F198" s="0" t="n">
        <v>2.58</v>
      </c>
      <c r="H198" s="3" t="s">
        <v>14</v>
      </c>
      <c r="I198" s="4" t="n">
        <f aca="false">D198*F198</f>
        <v>15.48</v>
      </c>
      <c r="J198" s="3" t="n">
        <f aca="false">IF(AND(LEFT(A198,1)&lt;&gt;"C",D198&gt;0,F198&gt;0),1,0)</f>
        <v>1</v>
      </c>
      <c r="K198" s="3" t="n">
        <f aca="false">IF(AND(H198="United Kingdom",G198&lt;&gt;"",COUNTIFS($G$2:G198,G198,$H$2:H198,"United Kingdom")=1),1,0)</f>
        <v>0</v>
      </c>
    </row>
    <row r="199" customFormat="false" ht="15" hidden="false" customHeight="false" outlineLevel="0" collapsed="false">
      <c r="A199" s="0" t="s">
        <v>128</v>
      </c>
      <c r="B199" s="0" t="s">
        <v>43</v>
      </c>
      <c r="C199" s="0" t="s">
        <v>44</v>
      </c>
      <c r="D199" s="0" t="n">
        <v>6</v>
      </c>
      <c r="E199" s="2" t="n">
        <v>40539.5916666667</v>
      </c>
      <c r="F199" s="0" t="n">
        <v>1.35</v>
      </c>
      <c r="H199" s="3" t="s">
        <v>14</v>
      </c>
      <c r="I199" s="4" t="n">
        <f aca="false">D199*F199</f>
        <v>8.1</v>
      </c>
      <c r="J199" s="3" t="n">
        <f aca="false">IF(AND(LEFT(A199,1)&lt;&gt;"C",D199&gt;0,F199&gt;0),1,0)</f>
        <v>1</v>
      </c>
      <c r="K199" s="3" t="n">
        <f aca="false">IF(AND(H199="United Kingdom",G199&lt;&gt;"",COUNTIFS($G$2:G199,G199,$H$2:H199,"United Kingdom")=1),1,0)</f>
        <v>0</v>
      </c>
    </row>
    <row r="200" customFormat="false" ht="15" hidden="false" customHeight="false" outlineLevel="0" collapsed="false">
      <c r="A200" s="0" t="s">
        <v>128</v>
      </c>
      <c r="B200" s="0" t="s">
        <v>20</v>
      </c>
      <c r="C200" s="0" t="s">
        <v>21</v>
      </c>
      <c r="D200" s="0" t="n">
        <v>24</v>
      </c>
      <c r="E200" s="2" t="n">
        <v>40539.5916666667</v>
      </c>
      <c r="F200" s="0" t="n">
        <v>4.24</v>
      </c>
      <c r="H200" s="3" t="s">
        <v>14</v>
      </c>
      <c r="I200" s="4" t="n">
        <f aca="false">D200*F200</f>
        <v>101.76</v>
      </c>
      <c r="J200" s="3" t="n">
        <f aca="false">IF(AND(LEFT(A200,1)&lt;&gt;"C",D200&gt;0,F200&gt;0),1,0)</f>
        <v>1</v>
      </c>
      <c r="K200" s="3" t="n">
        <f aca="false">IF(AND(H200="United Kingdom",G200&lt;&gt;"",COUNTIFS($G$2:G200,G200,$H$2:H200,"United Kingdom")=1),1,0)</f>
        <v>0</v>
      </c>
    </row>
    <row r="201" customFormat="false" ht="15" hidden="false" customHeight="false" outlineLevel="0" collapsed="false">
      <c r="A201" s="0" t="s">
        <v>128</v>
      </c>
      <c r="B201" s="0" t="s">
        <v>72</v>
      </c>
      <c r="C201" s="0" t="s">
        <v>73</v>
      </c>
      <c r="D201" s="0" t="n">
        <v>1</v>
      </c>
      <c r="E201" s="2" t="n">
        <v>40539.5916666667</v>
      </c>
      <c r="F201" s="0" t="n">
        <v>2.69</v>
      </c>
      <c r="H201" s="3" t="s">
        <v>14</v>
      </c>
      <c r="I201" s="4" t="n">
        <f aca="false">D201*F201</f>
        <v>2.69</v>
      </c>
      <c r="J201" s="3" t="n">
        <f aca="false">IF(AND(LEFT(A201,1)&lt;&gt;"C",D201&gt;0,F201&gt;0),1,0)</f>
        <v>1</v>
      </c>
      <c r="K201" s="3" t="n">
        <f aca="false">IF(AND(H201="United Kingdom",G201&lt;&gt;"",COUNTIFS($G$2:G201,G201,$H$2:H201,"United Kingdom")=1),1,0)</f>
        <v>0</v>
      </c>
    </row>
    <row r="202" customFormat="false" ht="15" hidden="false" customHeight="false" outlineLevel="0" collapsed="false">
      <c r="A202" s="0" t="s">
        <v>128</v>
      </c>
      <c r="B202" s="0" t="s">
        <v>29</v>
      </c>
      <c r="C202" s="0" t="s">
        <v>30</v>
      </c>
      <c r="D202" s="0" t="n">
        <v>3</v>
      </c>
      <c r="E202" s="2" t="n">
        <v>40539.5916666667</v>
      </c>
      <c r="F202" s="0" t="n">
        <v>5.79</v>
      </c>
      <c r="H202" s="3" t="s">
        <v>14</v>
      </c>
      <c r="I202" s="4" t="n">
        <f aca="false">D202*F202</f>
        <v>17.37</v>
      </c>
      <c r="J202" s="3" t="n">
        <f aca="false">IF(AND(LEFT(A202,1)&lt;&gt;"C",D202&gt;0,F202&gt;0),1,0)</f>
        <v>1</v>
      </c>
      <c r="K202" s="3" t="n">
        <f aca="false">IF(AND(H202="United Kingdom",G202&lt;&gt;"",COUNTIFS($G$2:G202,G202,$H$2:H202,"United Kingdom")=1),1,0)</f>
        <v>0</v>
      </c>
    </row>
    <row r="203" customFormat="false" ht="15" hidden="false" customHeight="false" outlineLevel="0" collapsed="false">
      <c r="A203" s="0" t="s">
        <v>128</v>
      </c>
      <c r="B203" s="0" t="s">
        <v>54</v>
      </c>
      <c r="C203" s="0" t="s">
        <v>55</v>
      </c>
      <c r="D203" s="0" t="n">
        <v>4</v>
      </c>
      <c r="E203" s="2" t="n">
        <v>40539.5916666667</v>
      </c>
      <c r="F203" s="0" t="n">
        <v>0.99</v>
      </c>
      <c r="H203" s="3" t="s">
        <v>14</v>
      </c>
      <c r="I203" s="4" t="n">
        <f aca="false">D203*F203</f>
        <v>3.96</v>
      </c>
      <c r="J203" s="3" t="n">
        <f aca="false">IF(AND(LEFT(A203,1)&lt;&gt;"C",D203&gt;0,F203&gt;0),1,0)</f>
        <v>1</v>
      </c>
      <c r="K203" s="3" t="n">
        <f aca="false">IF(AND(H203="United Kingdom",G203&lt;&gt;"",COUNTIFS($G$2:G203,G203,$H$2:H203,"United Kingdom")=1),1,0)</f>
        <v>0</v>
      </c>
    </row>
    <row r="204" customFormat="false" ht="15" hidden="false" customHeight="false" outlineLevel="0" collapsed="false">
      <c r="A204" s="0" t="s">
        <v>128</v>
      </c>
      <c r="B204" s="0" t="s">
        <v>48</v>
      </c>
      <c r="C204" s="0" t="s">
        <v>49</v>
      </c>
      <c r="D204" s="0" t="n">
        <v>1</v>
      </c>
      <c r="E204" s="2" t="n">
        <v>40539.5916666667</v>
      </c>
      <c r="F204" s="0" t="n">
        <v>1.35</v>
      </c>
      <c r="H204" s="3" t="s">
        <v>14</v>
      </c>
      <c r="I204" s="4" t="n">
        <f aca="false">D204*F204</f>
        <v>1.35</v>
      </c>
      <c r="J204" s="3" t="n">
        <f aca="false">IF(AND(LEFT(A204,1)&lt;&gt;"C",D204&gt;0,F204&gt;0),1,0)</f>
        <v>1</v>
      </c>
      <c r="K204" s="3" t="n">
        <f aca="false">IF(AND(H204="United Kingdom",G204&lt;&gt;"",COUNTIFS($G$2:G204,G204,$H$2:H204,"United Kingdom")=1),1,0)</f>
        <v>0</v>
      </c>
    </row>
    <row r="205" customFormat="false" ht="15" hidden="false" customHeight="false" outlineLevel="0" collapsed="false">
      <c r="A205" s="0" t="s">
        <v>128</v>
      </c>
      <c r="B205" s="0" t="s">
        <v>63</v>
      </c>
      <c r="C205" s="0" t="s">
        <v>64</v>
      </c>
      <c r="D205" s="0" t="n">
        <v>8</v>
      </c>
      <c r="E205" s="2" t="n">
        <v>40539.5916666667</v>
      </c>
      <c r="F205" s="0" t="n">
        <v>2.43</v>
      </c>
      <c r="H205" s="3" t="s">
        <v>14</v>
      </c>
      <c r="I205" s="4" t="n">
        <f aca="false">D205*F205</f>
        <v>19.44</v>
      </c>
      <c r="J205" s="3" t="n">
        <f aca="false">IF(AND(LEFT(A205,1)&lt;&gt;"C",D205&gt;0,F205&gt;0),1,0)</f>
        <v>1</v>
      </c>
      <c r="K205" s="3" t="n">
        <f aca="false">IF(AND(H205="United Kingdom",G205&lt;&gt;"",COUNTIFS($G$2:G205,G205,$H$2:H205,"United Kingdom")=1),1,0)</f>
        <v>0</v>
      </c>
    </row>
    <row r="206" customFormat="false" ht="15" hidden="false" customHeight="false" outlineLevel="0" collapsed="false">
      <c r="A206" s="0" t="s">
        <v>128</v>
      </c>
      <c r="B206" s="0" t="s">
        <v>52</v>
      </c>
      <c r="C206" s="0" t="s">
        <v>53</v>
      </c>
      <c r="D206" s="0" t="n">
        <v>6</v>
      </c>
      <c r="E206" s="2" t="n">
        <v>40539.5916666667</v>
      </c>
      <c r="F206" s="0" t="n">
        <v>4.16</v>
      </c>
      <c r="H206" s="3" t="s">
        <v>14</v>
      </c>
      <c r="I206" s="4" t="n">
        <f aca="false">D206*F206</f>
        <v>24.96</v>
      </c>
      <c r="J206" s="3" t="n">
        <f aca="false">IF(AND(LEFT(A206,1)&lt;&gt;"C",D206&gt;0,F206&gt;0),1,0)</f>
        <v>1</v>
      </c>
      <c r="K206" s="3" t="n">
        <f aca="false">IF(AND(H206="United Kingdom",G206&lt;&gt;"",COUNTIFS($G$2:G206,G206,$H$2:H206,"United Kingdom")=1),1,0)</f>
        <v>0</v>
      </c>
    </row>
    <row r="207" customFormat="false" ht="15" hidden="false" customHeight="false" outlineLevel="0" collapsed="false">
      <c r="A207" s="0" t="s">
        <v>128</v>
      </c>
      <c r="B207" s="0" t="s">
        <v>60</v>
      </c>
      <c r="C207" s="0" t="s">
        <v>61</v>
      </c>
      <c r="D207" s="0" t="n">
        <v>3</v>
      </c>
      <c r="E207" s="2" t="n">
        <v>40539.5916666667</v>
      </c>
      <c r="F207" s="0" t="n">
        <v>0.63</v>
      </c>
      <c r="H207" s="3" t="s">
        <v>14</v>
      </c>
      <c r="I207" s="4" t="n">
        <f aca="false">D207*F207</f>
        <v>1.89</v>
      </c>
      <c r="J207" s="3" t="n">
        <f aca="false">IF(AND(LEFT(A207,1)&lt;&gt;"C",D207&gt;0,F207&gt;0),1,0)</f>
        <v>1</v>
      </c>
      <c r="K207" s="3" t="n">
        <f aca="false">IF(AND(H207="United Kingdom",G207&lt;&gt;"",COUNTIFS($G$2:G207,G207,$H$2:H207,"United Kingdom")=1),1,0)</f>
        <v>0</v>
      </c>
    </row>
    <row r="208" customFormat="false" ht="15" hidden="false" customHeight="false" outlineLevel="0" collapsed="false">
      <c r="A208" s="0" t="s">
        <v>128</v>
      </c>
      <c r="B208" s="0" t="s">
        <v>22</v>
      </c>
      <c r="C208" s="0" t="s">
        <v>23</v>
      </c>
      <c r="D208" s="0" t="n">
        <v>2</v>
      </c>
      <c r="E208" s="2" t="n">
        <v>40539.5916666667</v>
      </c>
      <c r="F208" s="0" t="n">
        <v>3.18</v>
      </c>
      <c r="H208" s="3" t="s">
        <v>14</v>
      </c>
      <c r="I208" s="4" t="n">
        <f aca="false">D208*F208</f>
        <v>6.36</v>
      </c>
      <c r="J208" s="3" t="n">
        <f aca="false">IF(AND(LEFT(A208,1)&lt;&gt;"C",D208&gt;0,F208&gt;0),1,0)</f>
        <v>1</v>
      </c>
      <c r="K208" s="3" t="n">
        <f aca="false">IF(AND(H208="United Kingdom",G208&lt;&gt;"",COUNTIFS($G$2:G208,G208,$H$2:H208,"United Kingdom")=1),1,0)</f>
        <v>0</v>
      </c>
    </row>
    <row r="209" customFormat="false" ht="15" hidden="false" customHeight="false" outlineLevel="0" collapsed="false">
      <c r="A209" s="0" t="s">
        <v>129</v>
      </c>
      <c r="B209" s="0" t="s">
        <v>15</v>
      </c>
      <c r="C209" s="0" t="s">
        <v>16</v>
      </c>
      <c r="D209" s="0" t="n">
        <v>2</v>
      </c>
      <c r="E209" s="2" t="n">
        <v>40540.5590277778</v>
      </c>
      <c r="F209" s="0" t="n">
        <v>3.18</v>
      </c>
      <c r="G209" s="0" t="n">
        <v>16499</v>
      </c>
      <c r="H209" s="3" t="s">
        <v>14</v>
      </c>
      <c r="I209" s="4" t="n">
        <f aca="false">D209*F209</f>
        <v>6.36</v>
      </c>
      <c r="J209" s="3" t="n">
        <f aca="false">IF(AND(LEFT(A209,1)&lt;&gt;"C",D209&gt;0,F209&gt;0),1,0)</f>
        <v>1</v>
      </c>
      <c r="K209" s="3" t="n">
        <f aca="false">IF(AND(H209="United Kingdom",G209&lt;&gt;"",COUNTIFS($G$2:G209,G209,$H$2:H209,"United Kingdom")=1),1,0)</f>
        <v>1</v>
      </c>
    </row>
    <row r="210" customFormat="false" ht="15" hidden="false" customHeight="false" outlineLevel="0" collapsed="false">
      <c r="A210" s="0" t="s">
        <v>129</v>
      </c>
      <c r="B210" s="0" t="s">
        <v>12</v>
      </c>
      <c r="C210" s="0" t="s">
        <v>13</v>
      </c>
      <c r="D210" s="0" t="n">
        <v>1</v>
      </c>
      <c r="E210" s="2" t="n">
        <v>40540.5590277778</v>
      </c>
      <c r="F210" s="0" t="n">
        <v>3.33</v>
      </c>
      <c r="G210" s="0" t="n">
        <v>16499</v>
      </c>
      <c r="H210" s="3" t="s">
        <v>14</v>
      </c>
      <c r="I210" s="4" t="n">
        <f aca="false">D210*F210</f>
        <v>3.33</v>
      </c>
      <c r="J210" s="3" t="n">
        <f aca="false">IF(AND(LEFT(A210,1)&lt;&gt;"C",D210&gt;0,F210&gt;0),1,0)</f>
        <v>1</v>
      </c>
      <c r="K210" s="3" t="n">
        <f aca="false">IF(AND(H210="United Kingdom",G210&lt;&gt;"",COUNTIFS($G$2:G210,G210,$H$2:H210,"United Kingdom")=1),1,0)</f>
        <v>0</v>
      </c>
    </row>
    <row r="211" customFormat="false" ht="15" hidden="false" customHeight="false" outlineLevel="0" collapsed="false">
      <c r="A211" s="0" t="s">
        <v>129</v>
      </c>
      <c r="B211" s="0" t="s">
        <v>75</v>
      </c>
      <c r="C211" s="0" t="s">
        <v>76</v>
      </c>
      <c r="D211" s="0" t="n">
        <v>1</v>
      </c>
      <c r="E211" s="2" t="n">
        <v>40540.5590277778</v>
      </c>
      <c r="F211" s="0" t="n">
        <v>1.97</v>
      </c>
      <c r="G211" s="0" t="n">
        <v>16499</v>
      </c>
      <c r="H211" s="3" t="s">
        <v>14</v>
      </c>
      <c r="I211" s="4" t="n">
        <f aca="false">D211*F211</f>
        <v>1.97</v>
      </c>
      <c r="J211" s="3" t="n">
        <f aca="false">IF(AND(LEFT(A211,1)&lt;&gt;"C",D211&gt;0,F211&gt;0),1,0)</f>
        <v>1</v>
      </c>
      <c r="K211" s="3" t="n">
        <f aca="false">IF(AND(H211="United Kingdom",G211&lt;&gt;"",COUNTIFS($G$2:G211,G211,$H$2:H211,"United Kingdom")=1),1,0)</f>
        <v>0</v>
      </c>
    </row>
    <row r="212" customFormat="false" ht="15" hidden="false" customHeight="false" outlineLevel="0" collapsed="false">
      <c r="A212" s="0" t="s">
        <v>129</v>
      </c>
      <c r="B212" s="0" t="s">
        <v>60</v>
      </c>
      <c r="C212" s="0" t="s">
        <v>61</v>
      </c>
      <c r="D212" s="0" t="n">
        <v>2</v>
      </c>
      <c r="E212" s="2" t="n">
        <v>40540.5590277778</v>
      </c>
      <c r="F212" s="0" t="n">
        <v>0.63</v>
      </c>
      <c r="G212" s="0" t="n">
        <v>16499</v>
      </c>
      <c r="H212" s="3" t="s">
        <v>14</v>
      </c>
      <c r="I212" s="4" t="n">
        <f aca="false">D212*F212</f>
        <v>1.26</v>
      </c>
      <c r="J212" s="3" t="n">
        <f aca="false">IF(AND(LEFT(A212,1)&lt;&gt;"C",D212&gt;0,F212&gt;0),1,0)</f>
        <v>1</v>
      </c>
      <c r="K212" s="3" t="n">
        <f aca="false">IF(AND(H212="United Kingdom",G212&lt;&gt;"",COUNTIFS($G$2:G212,G212,$H$2:H212,"United Kingdom")=1),1,0)</f>
        <v>0</v>
      </c>
    </row>
    <row r="213" customFormat="false" ht="15" hidden="false" customHeight="false" outlineLevel="0" collapsed="false">
      <c r="A213" s="0" t="s">
        <v>130</v>
      </c>
      <c r="B213" s="0" t="s">
        <v>52</v>
      </c>
      <c r="C213" s="0" t="s">
        <v>53</v>
      </c>
      <c r="D213" s="0" t="n">
        <v>24</v>
      </c>
      <c r="E213" s="2" t="n">
        <v>40541.5979166667</v>
      </c>
      <c r="F213" s="0" t="n">
        <v>4.16</v>
      </c>
      <c r="H213" s="3" t="s">
        <v>14</v>
      </c>
      <c r="I213" s="4" t="n">
        <f aca="false">D213*F213</f>
        <v>99.84</v>
      </c>
      <c r="J213" s="3" t="n">
        <f aca="false">IF(AND(LEFT(A213,1)&lt;&gt;"C",D213&gt;0,F213&gt;0),1,0)</f>
        <v>1</v>
      </c>
      <c r="K213" s="3" t="n">
        <f aca="false">IF(AND(H213="United Kingdom",G213&lt;&gt;"",COUNTIFS($G$2:G213,G213,$H$2:H213,"United Kingdom")=1),1,0)</f>
        <v>0</v>
      </c>
    </row>
    <row r="214" customFormat="false" ht="15" hidden="false" customHeight="false" outlineLevel="0" collapsed="false">
      <c r="A214" s="0" t="s">
        <v>131</v>
      </c>
      <c r="B214" s="0" t="s">
        <v>17</v>
      </c>
      <c r="C214" s="0" t="s">
        <v>18</v>
      </c>
      <c r="D214" s="0" t="n">
        <v>4</v>
      </c>
      <c r="E214" s="2" t="n">
        <v>40542.5298611111</v>
      </c>
      <c r="F214" s="0" t="n">
        <v>1.92</v>
      </c>
      <c r="G214" s="0" t="n">
        <v>14264</v>
      </c>
      <c r="H214" s="3" t="s">
        <v>14</v>
      </c>
      <c r="I214" s="4" t="n">
        <f aca="false">D214*F214</f>
        <v>7.68</v>
      </c>
      <c r="J214" s="3" t="n">
        <f aca="false">IF(AND(LEFT(A214,1)&lt;&gt;"C",D214&gt;0,F214&gt;0),1,0)</f>
        <v>1</v>
      </c>
      <c r="K214" s="3" t="n">
        <f aca="false">IF(AND(H214="United Kingdom",G214&lt;&gt;"",COUNTIFS($G$2:G214,G214,$H$2:H214,"United Kingdom")=1),1,0)</f>
        <v>0</v>
      </c>
    </row>
    <row r="215" customFormat="false" ht="15" hidden="false" customHeight="false" outlineLevel="0" collapsed="false">
      <c r="A215" s="0" t="s">
        <v>131</v>
      </c>
      <c r="B215" s="0" t="s">
        <v>34</v>
      </c>
      <c r="C215" s="0" t="s">
        <v>35</v>
      </c>
      <c r="D215" s="0" t="n">
        <v>2</v>
      </c>
      <c r="E215" s="2" t="n">
        <v>40542.5298611111</v>
      </c>
      <c r="F215" s="0" t="n">
        <v>2.38</v>
      </c>
      <c r="G215" s="0" t="n">
        <v>14264</v>
      </c>
      <c r="H215" s="3" t="s">
        <v>14</v>
      </c>
      <c r="I215" s="4" t="n">
        <f aca="false">D215*F215</f>
        <v>4.76</v>
      </c>
      <c r="J215" s="3" t="n">
        <f aca="false">IF(AND(LEFT(A215,1)&lt;&gt;"C",D215&gt;0,F215&gt;0),1,0)</f>
        <v>1</v>
      </c>
      <c r="K215" s="3" t="n">
        <f aca="false">IF(AND(H215="United Kingdom",G215&lt;&gt;"",COUNTIFS($G$2:G215,G215,$H$2:H215,"United Kingdom")=1),1,0)</f>
        <v>0</v>
      </c>
    </row>
    <row r="216" customFormat="false" ht="15" hidden="false" customHeight="false" outlineLevel="0" collapsed="false">
      <c r="A216" s="0" t="s">
        <v>131</v>
      </c>
      <c r="B216" s="0" t="s">
        <v>54</v>
      </c>
      <c r="C216" s="0" t="s">
        <v>55</v>
      </c>
      <c r="D216" s="0" t="n">
        <v>6</v>
      </c>
      <c r="E216" s="2" t="n">
        <v>40542.5298611111</v>
      </c>
      <c r="F216" s="0" t="n">
        <v>0.99</v>
      </c>
      <c r="G216" s="0" t="n">
        <v>14264</v>
      </c>
      <c r="H216" s="3" t="s">
        <v>14</v>
      </c>
      <c r="I216" s="4" t="n">
        <f aca="false">D216*F216</f>
        <v>5.94</v>
      </c>
      <c r="J216" s="3" t="n">
        <f aca="false">IF(AND(LEFT(A216,1)&lt;&gt;"C",D216&gt;0,F216&gt;0),1,0)</f>
        <v>1</v>
      </c>
      <c r="K216" s="3" t="n">
        <f aca="false">IF(AND(H216="United Kingdom",G216&lt;&gt;"",COUNTIFS($G$2:G216,G216,$H$2:H216,"United Kingdom")=1),1,0)</f>
        <v>0</v>
      </c>
    </row>
    <row r="217" customFormat="false" ht="15" hidden="false" customHeight="false" outlineLevel="0" collapsed="false">
      <c r="A217" s="0" t="s">
        <v>131</v>
      </c>
      <c r="B217" s="0" t="s">
        <v>22</v>
      </c>
      <c r="C217" s="0" t="s">
        <v>23</v>
      </c>
      <c r="D217" s="0" t="n">
        <v>4</v>
      </c>
      <c r="E217" s="2" t="n">
        <v>40542.5298611111</v>
      </c>
      <c r="F217" s="0" t="n">
        <v>3.18</v>
      </c>
      <c r="G217" s="0" t="n">
        <v>14264</v>
      </c>
      <c r="H217" s="3" t="s">
        <v>14</v>
      </c>
      <c r="I217" s="4" t="n">
        <f aca="false">D217*F217</f>
        <v>12.72</v>
      </c>
      <c r="J217" s="3" t="n">
        <f aca="false">IF(AND(LEFT(A217,1)&lt;&gt;"C",D217&gt;0,F217&gt;0),1,0)</f>
        <v>1</v>
      </c>
      <c r="K217" s="3" t="n">
        <f aca="false">IF(AND(H217="United Kingdom",G217&lt;&gt;"",COUNTIFS($G$2:G217,G217,$H$2:H217,"United Kingdom")=1),1,0)</f>
        <v>0</v>
      </c>
    </row>
    <row r="218" customFormat="false" ht="15" hidden="false" customHeight="false" outlineLevel="0" collapsed="false">
      <c r="A218" s="0" t="s">
        <v>131</v>
      </c>
      <c r="B218" s="0" t="s">
        <v>50</v>
      </c>
      <c r="C218" s="0" t="s">
        <v>51</v>
      </c>
      <c r="D218" s="0" t="n">
        <v>12</v>
      </c>
      <c r="E218" s="2" t="n">
        <v>40542.5298611111</v>
      </c>
      <c r="F218" s="0" t="n">
        <v>5.41</v>
      </c>
      <c r="G218" s="0" t="n">
        <v>14264</v>
      </c>
      <c r="H218" s="3" t="s">
        <v>14</v>
      </c>
      <c r="I218" s="4" t="n">
        <f aca="false">D218*F218</f>
        <v>64.92</v>
      </c>
      <c r="J218" s="3" t="n">
        <f aca="false">IF(AND(LEFT(A218,1)&lt;&gt;"C",D218&gt;0,F218&gt;0),1,0)</f>
        <v>1</v>
      </c>
      <c r="K218" s="3" t="n">
        <f aca="false">IF(AND(H218="United Kingdom",G218&lt;&gt;"",COUNTIFS($G$2:G218,G218,$H$2:H218,"United Kingdom")=1),1,0)</f>
        <v>0</v>
      </c>
    </row>
    <row r="219" customFormat="false" ht="15" hidden="false" customHeight="false" outlineLevel="0" collapsed="false">
      <c r="A219" s="0" t="s">
        <v>131</v>
      </c>
      <c r="B219" s="0" t="s">
        <v>29</v>
      </c>
      <c r="C219" s="0" t="s">
        <v>30</v>
      </c>
      <c r="D219" s="0" t="n">
        <v>8</v>
      </c>
      <c r="E219" s="2" t="n">
        <v>40542.5298611111</v>
      </c>
      <c r="F219" s="0" t="n">
        <v>5.79</v>
      </c>
      <c r="G219" s="0" t="n">
        <v>14264</v>
      </c>
      <c r="H219" s="3" t="s">
        <v>14</v>
      </c>
      <c r="I219" s="4" t="n">
        <f aca="false">D219*F219</f>
        <v>46.32</v>
      </c>
      <c r="J219" s="3" t="n">
        <f aca="false">IF(AND(LEFT(A219,1)&lt;&gt;"C",D219&gt;0,F219&gt;0),1,0)</f>
        <v>1</v>
      </c>
      <c r="K219" s="3" t="n">
        <f aca="false">IF(AND(H219="United Kingdom",G219&lt;&gt;"",COUNTIFS($G$2:G219,G219,$H$2:H219,"United Kingdom")=1),1,0)</f>
        <v>0</v>
      </c>
    </row>
    <row r="220" customFormat="false" ht="15" hidden="false" customHeight="false" outlineLevel="0" collapsed="false">
      <c r="A220" s="0" t="s">
        <v>132</v>
      </c>
      <c r="B220" s="0" t="s">
        <v>39</v>
      </c>
      <c r="C220" s="0" t="s">
        <v>40</v>
      </c>
      <c r="D220" s="0" t="n">
        <v>8</v>
      </c>
      <c r="E220" s="2" t="n">
        <v>40544.6013888889</v>
      </c>
      <c r="F220" s="0" t="n">
        <v>2.58</v>
      </c>
      <c r="G220" s="0" t="n">
        <v>16902</v>
      </c>
      <c r="H220" s="3" t="s">
        <v>14</v>
      </c>
      <c r="I220" s="4" t="n">
        <f aca="false">D220*F220</f>
        <v>20.64</v>
      </c>
      <c r="J220" s="3" t="n">
        <f aca="false">IF(AND(LEFT(A220,1)&lt;&gt;"C",D220&gt;0,F220&gt;0),1,0)</f>
        <v>1</v>
      </c>
      <c r="K220" s="3" t="n">
        <f aca="false">IF(AND(H220="United Kingdom",G220&lt;&gt;"",COUNTIFS($G$2:G220,G220,$H$2:H220,"United Kingdom")=1),1,0)</f>
        <v>0</v>
      </c>
    </row>
    <row r="221" customFormat="false" ht="15" hidden="false" customHeight="false" outlineLevel="0" collapsed="false">
      <c r="A221" s="0" t="s">
        <v>132</v>
      </c>
      <c r="B221" s="0" t="s">
        <v>17</v>
      </c>
      <c r="C221" s="0" t="s">
        <v>18</v>
      </c>
      <c r="D221" s="0" t="n">
        <v>2</v>
      </c>
      <c r="E221" s="2" t="n">
        <v>40544.6013888889</v>
      </c>
      <c r="F221" s="0" t="n">
        <v>1.92</v>
      </c>
      <c r="G221" s="0" t="n">
        <v>16902</v>
      </c>
      <c r="H221" s="3" t="s">
        <v>14</v>
      </c>
      <c r="I221" s="4" t="n">
        <f aca="false">D221*F221</f>
        <v>3.84</v>
      </c>
      <c r="J221" s="3" t="n">
        <f aca="false">IF(AND(LEFT(A221,1)&lt;&gt;"C",D221&gt;0,F221&gt;0),1,0)</f>
        <v>1</v>
      </c>
      <c r="K221" s="3" t="n">
        <f aca="false">IF(AND(H221="United Kingdom",G221&lt;&gt;"",COUNTIFS($G$2:G221,G221,$H$2:H221,"United Kingdom")=1),1,0)</f>
        <v>0</v>
      </c>
    </row>
    <row r="222" customFormat="false" ht="15" hidden="false" customHeight="false" outlineLevel="0" collapsed="false">
      <c r="A222" s="0" t="s">
        <v>132</v>
      </c>
      <c r="B222" s="0" t="s">
        <v>20</v>
      </c>
      <c r="C222" s="0" t="s">
        <v>21</v>
      </c>
      <c r="D222" s="0" t="n">
        <v>3</v>
      </c>
      <c r="E222" s="2" t="n">
        <v>40544.6013888889</v>
      </c>
      <c r="F222" s="0" t="n">
        <v>4.24</v>
      </c>
      <c r="G222" s="0" t="n">
        <v>16902</v>
      </c>
      <c r="H222" s="3" t="s">
        <v>14</v>
      </c>
      <c r="I222" s="4" t="n">
        <f aca="false">D222*F222</f>
        <v>12.72</v>
      </c>
      <c r="J222" s="3" t="n">
        <f aca="false">IF(AND(LEFT(A222,1)&lt;&gt;"C",D222&gt;0,F222&gt;0),1,0)</f>
        <v>1</v>
      </c>
      <c r="K222" s="3" t="n">
        <f aca="false">IF(AND(H222="United Kingdom",G222&lt;&gt;"",COUNTIFS($G$2:G222,G222,$H$2:H222,"United Kingdom")=1),1,0)</f>
        <v>0</v>
      </c>
    </row>
    <row r="223" customFormat="false" ht="15" hidden="false" customHeight="false" outlineLevel="0" collapsed="false">
      <c r="A223" s="0" t="s">
        <v>132</v>
      </c>
      <c r="B223" s="0" t="s">
        <v>22</v>
      </c>
      <c r="C223" s="0" t="s">
        <v>23</v>
      </c>
      <c r="D223" s="0" t="n">
        <v>3</v>
      </c>
      <c r="E223" s="2" t="n">
        <v>40544.6013888889</v>
      </c>
      <c r="F223" s="0" t="n">
        <v>3.18</v>
      </c>
      <c r="G223" s="0" t="n">
        <v>16902</v>
      </c>
      <c r="H223" s="3" t="s">
        <v>14</v>
      </c>
      <c r="I223" s="4" t="n">
        <f aca="false">D223*F223</f>
        <v>9.54</v>
      </c>
      <c r="J223" s="3" t="n">
        <f aca="false">IF(AND(LEFT(A223,1)&lt;&gt;"C",D223&gt;0,F223&gt;0),1,0)</f>
        <v>1</v>
      </c>
      <c r="K223" s="3" t="n">
        <f aca="false">IF(AND(H223="United Kingdom",G223&lt;&gt;"",COUNTIFS($G$2:G223,G223,$H$2:H223,"United Kingdom")=1),1,0)</f>
        <v>0</v>
      </c>
    </row>
    <row r="224" customFormat="false" ht="15" hidden="false" customHeight="false" outlineLevel="0" collapsed="false">
      <c r="A224" s="0" t="s">
        <v>132</v>
      </c>
      <c r="B224" s="0" t="s">
        <v>72</v>
      </c>
      <c r="C224" s="0" t="s">
        <v>73</v>
      </c>
      <c r="D224" s="0" t="n">
        <v>2</v>
      </c>
      <c r="E224" s="2" t="n">
        <v>40544.6013888889</v>
      </c>
      <c r="F224" s="0" t="n">
        <v>2.69</v>
      </c>
      <c r="G224" s="0" t="n">
        <v>16902</v>
      </c>
      <c r="H224" s="3" t="s">
        <v>14</v>
      </c>
      <c r="I224" s="4" t="n">
        <f aca="false">D224*F224</f>
        <v>5.38</v>
      </c>
      <c r="J224" s="3" t="n">
        <f aca="false">IF(AND(LEFT(A224,1)&lt;&gt;"C",D224&gt;0,F224&gt;0),1,0)</f>
        <v>1</v>
      </c>
      <c r="K224" s="3" t="n">
        <f aca="false">IF(AND(H224="United Kingdom",G224&lt;&gt;"",COUNTIFS($G$2:G224,G224,$H$2:H224,"United Kingdom")=1),1,0)</f>
        <v>0</v>
      </c>
    </row>
    <row r="225" customFormat="false" ht="15" hidden="false" customHeight="false" outlineLevel="0" collapsed="false">
      <c r="A225" s="0" t="s">
        <v>132</v>
      </c>
      <c r="B225" s="0" t="s">
        <v>75</v>
      </c>
      <c r="C225" s="0" t="s">
        <v>76</v>
      </c>
      <c r="D225" s="0" t="n">
        <v>6</v>
      </c>
      <c r="E225" s="2" t="n">
        <v>40544.6013888889</v>
      </c>
      <c r="F225" s="0" t="n">
        <v>1.97</v>
      </c>
      <c r="G225" s="0" t="n">
        <v>16902</v>
      </c>
      <c r="H225" s="3" t="s">
        <v>14</v>
      </c>
      <c r="I225" s="4" t="n">
        <f aca="false">D225*F225</f>
        <v>11.82</v>
      </c>
      <c r="J225" s="3" t="n">
        <f aca="false">IF(AND(LEFT(A225,1)&lt;&gt;"C",D225&gt;0,F225&gt;0),1,0)</f>
        <v>1</v>
      </c>
      <c r="K225" s="3" t="n">
        <f aca="false">IF(AND(H225="United Kingdom",G225&lt;&gt;"",COUNTIFS($G$2:G225,G225,$H$2:H225,"United Kingdom")=1),1,0)</f>
        <v>0</v>
      </c>
    </row>
    <row r="226" customFormat="false" ht="15" hidden="false" customHeight="false" outlineLevel="0" collapsed="false">
      <c r="A226" s="0" t="s">
        <v>133</v>
      </c>
      <c r="B226" s="0" t="s">
        <v>75</v>
      </c>
      <c r="C226" s="0" t="s">
        <v>76</v>
      </c>
      <c r="D226" s="0" t="n">
        <v>1</v>
      </c>
      <c r="E226" s="2" t="n">
        <v>40545.55</v>
      </c>
      <c r="F226" s="0" t="n">
        <v>1.97</v>
      </c>
      <c r="G226" s="0" t="n">
        <v>15943</v>
      </c>
      <c r="H226" s="3" t="s">
        <v>14</v>
      </c>
      <c r="I226" s="4" t="n">
        <f aca="false">D226*F226</f>
        <v>1.97</v>
      </c>
      <c r="J226" s="3" t="n">
        <f aca="false">IF(AND(LEFT(A226,1)&lt;&gt;"C",D226&gt;0,F226&gt;0),1,0)</f>
        <v>1</v>
      </c>
      <c r="K226" s="3" t="n">
        <f aca="false">IF(AND(H226="United Kingdom",G226&lt;&gt;"",COUNTIFS($G$2:G226,G226,$H$2:H226,"United Kingdom")=1),1,0)</f>
        <v>1</v>
      </c>
    </row>
    <row r="227" customFormat="false" ht="15" hidden="false" customHeight="false" outlineLevel="0" collapsed="false">
      <c r="A227" s="0" t="s">
        <v>133</v>
      </c>
      <c r="B227" s="0" t="s">
        <v>12</v>
      </c>
      <c r="C227" s="0" t="s">
        <v>13</v>
      </c>
      <c r="D227" s="0" t="n">
        <v>8</v>
      </c>
      <c r="E227" s="2" t="n">
        <v>40545.55</v>
      </c>
      <c r="F227" s="0" t="n">
        <v>3.33</v>
      </c>
      <c r="G227" s="0" t="n">
        <v>15943</v>
      </c>
      <c r="H227" s="3" t="s">
        <v>14</v>
      </c>
      <c r="I227" s="4" t="n">
        <f aca="false">D227*F227</f>
        <v>26.64</v>
      </c>
      <c r="J227" s="3" t="n">
        <f aca="false">IF(AND(LEFT(A227,1)&lt;&gt;"C",D227&gt;0,F227&gt;0),1,0)</f>
        <v>1</v>
      </c>
      <c r="K227" s="3" t="n">
        <f aca="false">IF(AND(H227="United Kingdom",G227&lt;&gt;"",COUNTIFS($G$2:G227,G227,$H$2:H227,"United Kingdom")=1),1,0)</f>
        <v>0</v>
      </c>
    </row>
    <row r="228" customFormat="false" ht="15" hidden="false" customHeight="false" outlineLevel="0" collapsed="false">
      <c r="A228" s="0" t="s">
        <v>134</v>
      </c>
      <c r="B228" s="0" t="s">
        <v>43</v>
      </c>
      <c r="C228" s="0" t="s">
        <v>44</v>
      </c>
      <c r="D228" s="0" t="n">
        <v>4</v>
      </c>
      <c r="E228" s="2" t="n">
        <v>40545.7458333333</v>
      </c>
      <c r="F228" s="0" t="n">
        <v>1.35</v>
      </c>
      <c r="G228" s="0" t="n">
        <v>13016</v>
      </c>
      <c r="H228" s="3" t="s">
        <v>14</v>
      </c>
      <c r="I228" s="4" t="n">
        <f aca="false">D228*F228</f>
        <v>5.4</v>
      </c>
      <c r="J228" s="3" t="n">
        <f aca="false">IF(AND(LEFT(A228,1)&lt;&gt;"C",D228&gt;0,F228&gt;0),1,0)</f>
        <v>1</v>
      </c>
      <c r="K228" s="3" t="n">
        <f aca="false">IF(AND(H228="United Kingdom",G228&lt;&gt;"",COUNTIFS($G$2:G228,G228,$H$2:H228,"United Kingdom")=1),1,0)</f>
        <v>1</v>
      </c>
    </row>
    <row r="229" customFormat="false" ht="15" hidden="false" customHeight="false" outlineLevel="0" collapsed="false">
      <c r="A229" s="0" t="s">
        <v>134</v>
      </c>
      <c r="B229" s="0" t="s">
        <v>60</v>
      </c>
      <c r="C229" s="0" t="s">
        <v>61</v>
      </c>
      <c r="D229" s="0" t="n">
        <v>12</v>
      </c>
      <c r="E229" s="2" t="n">
        <v>40545.7458333333</v>
      </c>
      <c r="F229" s="0" t="n">
        <v>0.63</v>
      </c>
      <c r="G229" s="0" t="n">
        <v>13016</v>
      </c>
      <c r="H229" s="3" t="s">
        <v>14</v>
      </c>
      <c r="I229" s="4" t="n">
        <f aca="false">D229*F229</f>
        <v>7.56</v>
      </c>
      <c r="J229" s="3" t="n">
        <f aca="false">IF(AND(LEFT(A229,1)&lt;&gt;"C",D229&gt;0,F229&gt;0),1,0)</f>
        <v>1</v>
      </c>
      <c r="K229" s="3" t="n">
        <f aca="false">IF(AND(H229="United Kingdom",G229&lt;&gt;"",COUNTIFS($G$2:G229,G229,$H$2:H229,"United Kingdom")=1),1,0)</f>
        <v>0</v>
      </c>
    </row>
    <row r="230" customFormat="false" ht="15" hidden="false" customHeight="false" outlineLevel="0" collapsed="false">
      <c r="A230" s="0" t="s">
        <v>134</v>
      </c>
      <c r="B230" s="0" t="s">
        <v>113</v>
      </c>
      <c r="C230" s="0" t="s">
        <v>114</v>
      </c>
      <c r="D230" s="0" t="n">
        <v>8</v>
      </c>
      <c r="E230" s="2" t="n">
        <v>40545.7458333333</v>
      </c>
      <c r="F230" s="0" t="n">
        <v>3.57</v>
      </c>
      <c r="G230" s="0" t="n">
        <v>13016</v>
      </c>
      <c r="H230" s="3" t="s">
        <v>14</v>
      </c>
      <c r="I230" s="4" t="n">
        <f aca="false">D230*F230</f>
        <v>28.56</v>
      </c>
      <c r="J230" s="3" t="n">
        <f aca="false">IF(AND(LEFT(A230,1)&lt;&gt;"C",D230&gt;0,F230&gt;0),1,0)</f>
        <v>1</v>
      </c>
      <c r="K230" s="3" t="n">
        <f aca="false">IF(AND(H230="United Kingdom",G230&lt;&gt;"",COUNTIFS($G$2:G230,G230,$H$2:H230,"United Kingdom")=1),1,0)</f>
        <v>0</v>
      </c>
    </row>
    <row r="231" customFormat="false" ht="15" hidden="false" customHeight="false" outlineLevel="0" collapsed="false">
      <c r="A231" s="0" t="s">
        <v>134</v>
      </c>
      <c r="B231" s="0" t="s">
        <v>17</v>
      </c>
      <c r="C231" s="0" t="s">
        <v>18</v>
      </c>
      <c r="D231" s="0" t="n">
        <v>1</v>
      </c>
      <c r="E231" s="2" t="n">
        <v>40545.7458333333</v>
      </c>
      <c r="F231" s="0" t="n">
        <v>1.92</v>
      </c>
      <c r="G231" s="0" t="n">
        <v>13016</v>
      </c>
      <c r="H231" s="3" t="s">
        <v>14</v>
      </c>
      <c r="I231" s="4" t="n">
        <f aca="false">D231*F231</f>
        <v>1.92</v>
      </c>
      <c r="J231" s="3" t="n">
        <f aca="false">IF(AND(LEFT(A231,1)&lt;&gt;"C",D231&gt;0,F231&gt;0),1,0)</f>
        <v>1</v>
      </c>
      <c r="K231" s="3" t="n">
        <f aca="false">IF(AND(H231="United Kingdom",G231&lt;&gt;"",COUNTIFS($G$2:G231,G231,$H$2:H231,"United Kingdom")=1),1,0)</f>
        <v>0</v>
      </c>
    </row>
    <row r="232" customFormat="false" ht="15" hidden="false" customHeight="false" outlineLevel="0" collapsed="false">
      <c r="A232" s="0" t="s">
        <v>134</v>
      </c>
      <c r="B232" s="0" t="s">
        <v>65</v>
      </c>
      <c r="C232" s="0" t="s">
        <v>66</v>
      </c>
      <c r="D232" s="0" t="n">
        <v>8</v>
      </c>
      <c r="E232" s="2" t="n">
        <v>40545.7458333333</v>
      </c>
      <c r="F232" s="0" t="n">
        <v>4.75</v>
      </c>
      <c r="G232" s="0" t="n">
        <v>13016</v>
      </c>
      <c r="H232" s="3" t="s">
        <v>14</v>
      </c>
      <c r="I232" s="4" t="n">
        <f aca="false">D232*F232</f>
        <v>38</v>
      </c>
      <c r="J232" s="3" t="n">
        <f aca="false">IF(AND(LEFT(A232,1)&lt;&gt;"C",D232&gt;0,F232&gt;0),1,0)</f>
        <v>1</v>
      </c>
      <c r="K232" s="3" t="n">
        <f aca="false">IF(AND(H232="United Kingdom",G232&lt;&gt;"",COUNTIFS($G$2:G232,G232,$H$2:H232,"United Kingdom")=1),1,0)</f>
        <v>0</v>
      </c>
    </row>
    <row r="233" customFormat="false" ht="15" hidden="false" customHeight="false" outlineLevel="0" collapsed="false">
      <c r="A233" s="0" t="s">
        <v>135</v>
      </c>
      <c r="B233" s="0" t="s">
        <v>45</v>
      </c>
      <c r="C233" s="0" t="s">
        <v>46</v>
      </c>
      <c r="D233" s="0" t="n">
        <v>2</v>
      </c>
      <c r="E233" s="2" t="n">
        <v>40547.3986111111</v>
      </c>
      <c r="F233" s="0" t="n">
        <v>4.55</v>
      </c>
      <c r="G233" s="0" t="n">
        <v>13721</v>
      </c>
      <c r="H233" s="3" t="s">
        <v>14</v>
      </c>
      <c r="I233" s="4" t="n">
        <f aca="false">D233*F233</f>
        <v>9.1</v>
      </c>
      <c r="J233" s="3" t="n">
        <f aca="false">IF(AND(LEFT(A233,1)&lt;&gt;"C",D233&gt;0,F233&gt;0),1,0)</f>
        <v>1</v>
      </c>
      <c r="K233" s="3" t="n">
        <f aca="false">IF(AND(H233="United Kingdom",G233&lt;&gt;"",COUNTIFS($G$2:G233,G233,$H$2:H233,"United Kingdom")=1),1,0)</f>
        <v>1</v>
      </c>
    </row>
    <row r="234" customFormat="false" ht="15" hidden="false" customHeight="false" outlineLevel="0" collapsed="false">
      <c r="A234" s="0" t="s">
        <v>135</v>
      </c>
      <c r="B234" s="0" t="s">
        <v>12</v>
      </c>
      <c r="C234" s="0" t="s">
        <v>13</v>
      </c>
      <c r="D234" s="0" t="n">
        <v>12</v>
      </c>
      <c r="E234" s="2" t="n">
        <v>40547.3986111111</v>
      </c>
      <c r="F234" s="0" t="n">
        <v>3.33</v>
      </c>
      <c r="G234" s="0" t="n">
        <v>13721</v>
      </c>
      <c r="H234" s="3" t="s">
        <v>14</v>
      </c>
      <c r="I234" s="4" t="n">
        <f aca="false">D234*F234</f>
        <v>39.96</v>
      </c>
      <c r="J234" s="3" t="n">
        <f aca="false">IF(AND(LEFT(A234,1)&lt;&gt;"C",D234&gt;0,F234&gt;0),1,0)</f>
        <v>1</v>
      </c>
      <c r="K234" s="3" t="n">
        <f aca="false">IF(AND(H234="United Kingdom",G234&lt;&gt;"",COUNTIFS($G$2:G234,G234,$H$2:H234,"United Kingdom")=1),1,0)</f>
        <v>0</v>
      </c>
    </row>
    <row r="235" customFormat="false" ht="15" hidden="false" customHeight="false" outlineLevel="0" collapsed="false">
      <c r="A235" s="0" t="s">
        <v>136</v>
      </c>
      <c r="B235" s="0" t="s">
        <v>17</v>
      </c>
      <c r="C235" s="0" t="s">
        <v>18</v>
      </c>
      <c r="D235" s="0" t="n">
        <v>8</v>
      </c>
      <c r="E235" s="2" t="n">
        <v>40547.5138888889</v>
      </c>
      <c r="F235" s="0" t="n">
        <v>1.92</v>
      </c>
      <c r="G235" s="0" t="n">
        <v>17892</v>
      </c>
      <c r="H235" s="3" t="s">
        <v>14</v>
      </c>
      <c r="I235" s="4" t="n">
        <f aca="false">D235*F235</f>
        <v>15.36</v>
      </c>
      <c r="J235" s="3" t="n">
        <f aca="false">IF(AND(LEFT(A235,1)&lt;&gt;"C",D235&gt;0,F235&gt;0),1,0)</f>
        <v>1</v>
      </c>
      <c r="K235" s="3" t="n">
        <f aca="false">IF(AND(H235="United Kingdom",G235&lt;&gt;"",COUNTIFS($G$2:G235,G235,$H$2:H235,"United Kingdom")=1),1,0)</f>
        <v>0</v>
      </c>
    </row>
    <row r="236" customFormat="false" ht="15" hidden="false" customHeight="false" outlineLevel="0" collapsed="false">
      <c r="A236" s="0" t="s">
        <v>136</v>
      </c>
      <c r="B236" s="0" t="s">
        <v>29</v>
      </c>
      <c r="C236" s="0" t="s">
        <v>30</v>
      </c>
      <c r="D236" s="0" t="n">
        <v>6</v>
      </c>
      <c r="E236" s="2" t="n">
        <v>40547.5138888889</v>
      </c>
      <c r="F236" s="0" t="n">
        <v>5.79</v>
      </c>
      <c r="G236" s="0" t="n">
        <v>17892</v>
      </c>
      <c r="H236" s="3" t="s">
        <v>14</v>
      </c>
      <c r="I236" s="4" t="n">
        <f aca="false">D236*F236</f>
        <v>34.74</v>
      </c>
      <c r="J236" s="3" t="n">
        <f aca="false">IF(AND(LEFT(A236,1)&lt;&gt;"C",D236&gt;0,F236&gt;0),1,0)</f>
        <v>1</v>
      </c>
      <c r="K236" s="3" t="n">
        <f aca="false">IF(AND(H236="United Kingdom",G236&lt;&gt;"",COUNTIFS($G$2:G236,G236,$H$2:H236,"United Kingdom")=1),1,0)</f>
        <v>0</v>
      </c>
    </row>
    <row r="237" customFormat="false" ht="15" hidden="false" customHeight="false" outlineLevel="0" collapsed="false">
      <c r="A237" s="0" t="s">
        <v>136</v>
      </c>
      <c r="B237" s="0" t="s">
        <v>65</v>
      </c>
      <c r="C237" s="0" t="s">
        <v>66</v>
      </c>
      <c r="D237" s="0" t="n">
        <v>1</v>
      </c>
      <c r="E237" s="2" t="n">
        <v>40547.5138888889</v>
      </c>
      <c r="F237" s="0" t="n">
        <v>4.75</v>
      </c>
      <c r="G237" s="0" t="n">
        <v>17892</v>
      </c>
      <c r="H237" s="3" t="s">
        <v>14</v>
      </c>
      <c r="I237" s="4" t="n">
        <f aca="false">D237*F237</f>
        <v>4.75</v>
      </c>
      <c r="J237" s="3" t="n">
        <f aca="false">IF(AND(LEFT(A237,1)&lt;&gt;"C",D237&gt;0,F237&gt;0),1,0)</f>
        <v>1</v>
      </c>
      <c r="K237" s="3" t="n">
        <f aca="false">IF(AND(H237="United Kingdom",G237&lt;&gt;"",COUNTIFS($G$2:G237,G237,$H$2:H237,"United Kingdom")=1),1,0)</f>
        <v>0</v>
      </c>
    </row>
    <row r="238" customFormat="false" ht="15" hidden="false" customHeight="false" outlineLevel="0" collapsed="false">
      <c r="A238" s="0" t="s">
        <v>136</v>
      </c>
      <c r="B238" s="0" t="s">
        <v>15</v>
      </c>
      <c r="C238" s="0" t="s">
        <v>16</v>
      </c>
      <c r="D238" s="0" t="n">
        <v>2</v>
      </c>
      <c r="E238" s="2" t="n">
        <v>40547.5138888889</v>
      </c>
      <c r="F238" s="0" t="n">
        <v>3.18</v>
      </c>
      <c r="G238" s="0" t="n">
        <v>17892</v>
      </c>
      <c r="H238" s="3" t="s">
        <v>14</v>
      </c>
      <c r="I238" s="4" t="n">
        <f aca="false">D238*F238</f>
        <v>6.36</v>
      </c>
      <c r="J238" s="3" t="n">
        <f aca="false">IF(AND(LEFT(A238,1)&lt;&gt;"C",D238&gt;0,F238&gt;0),1,0)</f>
        <v>1</v>
      </c>
      <c r="K238" s="3" t="n">
        <f aca="false">IF(AND(H238="United Kingdom",G238&lt;&gt;"",COUNTIFS($G$2:G238,G238,$H$2:H238,"United Kingdom")=1),1,0)</f>
        <v>0</v>
      </c>
    </row>
    <row r="239" customFormat="false" ht="15" hidden="false" customHeight="false" outlineLevel="0" collapsed="false">
      <c r="A239" s="0" t="s">
        <v>136</v>
      </c>
      <c r="B239" s="0" t="s">
        <v>45</v>
      </c>
      <c r="C239" s="0" t="s">
        <v>46</v>
      </c>
      <c r="D239" s="0" t="n">
        <v>2</v>
      </c>
      <c r="E239" s="2" t="n">
        <v>40547.5138888889</v>
      </c>
      <c r="F239" s="0" t="n">
        <v>4.55</v>
      </c>
      <c r="G239" s="0" t="n">
        <v>17892</v>
      </c>
      <c r="H239" s="3" t="s">
        <v>14</v>
      </c>
      <c r="I239" s="4" t="n">
        <f aca="false">D239*F239</f>
        <v>9.1</v>
      </c>
      <c r="J239" s="3" t="n">
        <f aca="false">IF(AND(LEFT(A239,1)&lt;&gt;"C",D239&gt;0,F239&gt;0),1,0)</f>
        <v>1</v>
      </c>
      <c r="K239" s="3" t="n">
        <f aca="false">IF(AND(H239="United Kingdom",G239&lt;&gt;"",COUNTIFS($G$2:G239,G239,$H$2:H239,"United Kingdom")=1),1,0)</f>
        <v>0</v>
      </c>
    </row>
    <row r="240" customFormat="false" ht="15" hidden="false" customHeight="false" outlineLevel="0" collapsed="false">
      <c r="A240" s="0" t="s">
        <v>136</v>
      </c>
      <c r="B240" s="0" t="s">
        <v>43</v>
      </c>
      <c r="C240" s="0" t="s">
        <v>44</v>
      </c>
      <c r="D240" s="0" t="n">
        <v>12</v>
      </c>
      <c r="E240" s="2" t="n">
        <v>40547.5138888889</v>
      </c>
      <c r="F240" s="0" t="n">
        <v>1.35</v>
      </c>
      <c r="G240" s="0" t="n">
        <v>17892</v>
      </c>
      <c r="H240" s="3" t="s">
        <v>14</v>
      </c>
      <c r="I240" s="4" t="n">
        <f aca="false">D240*F240</f>
        <v>16.2</v>
      </c>
      <c r="J240" s="3" t="n">
        <f aca="false">IF(AND(LEFT(A240,1)&lt;&gt;"C",D240&gt;0,F240&gt;0),1,0)</f>
        <v>1</v>
      </c>
      <c r="K240" s="3" t="n">
        <f aca="false">IF(AND(H240="United Kingdom",G240&lt;&gt;"",COUNTIFS($G$2:G240,G240,$H$2:H240,"United Kingdom")=1),1,0)</f>
        <v>0</v>
      </c>
    </row>
    <row r="241" customFormat="false" ht="15" hidden="false" customHeight="false" outlineLevel="0" collapsed="false">
      <c r="A241" s="0" t="s">
        <v>136</v>
      </c>
      <c r="B241" s="0" t="s">
        <v>52</v>
      </c>
      <c r="C241" s="0" t="s">
        <v>53</v>
      </c>
      <c r="D241" s="0" t="n">
        <v>1</v>
      </c>
      <c r="E241" s="2" t="n">
        <v>40547.5138888889</v>
      </c>
      <c r="F241" s="0" t="n">
        <v>4.16</v>
      </c>
      <c r="G241" s="0" t="n">
        <v>17892</v>
      </c>
      <c r="H241" s="3" t="s">
        <v>14</v>
      </c>
      <c r="I241" s="4" t="n">
        <f aca="false">D241*F241</f>
        <v>4.16</v>
      </c>
      <c r="J241" s="3" t="n">
        <f aca="false">IF(AND(LEFT(A241,1)&lt;&gt;"C",D241&gt;0,F241&gt;0),1,0)</f>
        <v>1</v>
      </c>
      <c r="K241" s="3" t="n">
        <f aca="false">IF(AND(H241="United Kingdom",G241&lt;&gt;"",COUNTIFS($G$2:G241,G241,$H$2:H241,"United Kingdom")=1),1,0)</f>
        <v>0</v>
      </c>
    </row>
    <row r="242" customFormat="false" ht="15" hidden="false" customHeight="false" outlineLevel="0" collapsed="false">
      <c r="A242" s="0" t="s">
        <v>136</v>
      </c>
      <c r="B242" s="0" t="s">
        <v>113</v>
      </c>
      <c r="C242" s="0" t="s">
        <v>114</v>
      </c>
      <c r="D242" s="0" t="n">
        <v>2</v>
      </c>
      <c r="E242" s="2" t="n">
        <v>40547.5138888889</v>
      </c>
      <c r="F242" s="0" t="n">
        <v>3.57</v>
      </c>
      <c r="G242" s="0" t="n">
        <v>17892</v>
      </c>
      <c r="H242" s="3" t="s">
        <v>14</v>
      </c>
      <c r="I242" s="4" t="n">
        <f aca="false">D242*F242</f>
        <v>7.14</v>
      </c>
      <c r="J242" s="3" t="n">
        <f aca="false">IF(AND(LEFT(A242,1)&lt;&gt;"C",D242&gt;0,F242&gt;0),1,0)</f>
        <v>1</v>
      </c>
      <c r="K242" s="3" t="n">
        <f aca="false">IF(AND(H242="United Kingdom",G242&lt;&gt;"",COUNTIFS($G$2:G242,G242,$H$2:H242,"United Kingdom")=1),1,0)</f>
        <v>0</v>
      </c>
    </row>
    <row r="243" customFormat="false" ht="15" hidden="false" customHeight="false" outlineLevel="0" collapsed="false">
      <c r="A243" s="0" t="s">
        <v>136</v>
      </c>
      <c r="B243" s="0" t="s">
        <v>58</v>
      </c>
      <c r="C243" s="0" t="s">
        <v>59</v>
      </c>
      <c r="D243" s="0" t="n">
        <v>2</v>
      </c>
      <c r="E243" s="2" t="n">
        <v>40547.5138888889</v>
      </c>
      <c r="F243" s="0" t="n">
        <v>2.16</v>
      </c>
      <c r="G243" s="0" t="n">
        <v>17892</v>
      </c>
      <c r="H243" s="3" t="s">
        <v>14</v>
      </c>
      <c r="I243" s="4" t="n">
        <f aca="false">D243*F243</f>
        <v>4.32</v>
      </c>
      <c r="J243" s="3" t="n">
        <f aca="false">IF(AND(LEFT(A243,1)&lt;&gt;"C",D243&gt;0,F243&gt;0),1,0)</f>
        <v>1</v>
      </c>
      <c r="K243" s="3" t="n">
        <f aca="false">IF(AND(H243="United Kingdom",G243&lt;&gt;"",COUNTIFS($G$2:G243,G243,$H$2:H243,"United Kingdom")=1),1,0)</f>
        <v>0</v>
      </c>
    </row>
    <row r="244" customFormat="false" ht="15" hidden="false" customHeight="false" outlineLevel="0" collapsed="false">
      <c r="A244" s="0" t="s">
        <v>136</v>
      </c>
      <c r="B244" s="0" t="s">
        <v>41</v>
      </c>
      <c r="C244" s="0" t="s">
        <v>42</v>
      </c>
      <c r="D244" s="0" t="n">
        <v>2</v>
      </c>
      <c r="E244" s="2" t="n">
        <v>40547.5138888889</v>
      </c>
      <c r="F244" s="0" t="n">
        <v>3.28</v>
      </c>
      <c r="G244" s="0" t="n">
        <v>17892</v>
      </c>
      <c r="H244" s="3" t="s">
        <v>14</v>
      </c>
      <c r="I244" s="4" t="n">
        <f aca="false">D244*F244</f>
        <v>6.56</v>
      </c>
      <c r="J244" s="3" t="n">
        <f aca="false">IF(AND(LEFT(A244,1)&lt;&gt;"C",D244&gt;0,F244&gt;0),1,0)</f>
        <v>1</v>
      </c>
      <c r="K244" s="3" t="n">
        <f aca="false">IF(AND(H244="United Kingdom",G244&lt;&gt;"",COUNTIFS($G$2:G244,G244,$H$2:H244,"United Kingdom")=1),1,0)</f>
        <v>0</v>
      </c>
    </row>
    <row r="245" customFormat="false" ht="15" hidden="false" customHeight="false" outlineLevel="0" collapsed="false">
      <c r="A245" s="0" t="s">
        <v>136</v>
      </c>
      <c r="B245" s="0" t="s">
        <v>80</v>
      </c>
      <c r="C245" s="0" t="s">
        <v>81</v>
      </c>
      <c r="D245" s="0" t="n">
        <v>2</v>
      </c>
      <c r="E245" s="2" t="n">
        <v>40547.5138888889</v>
      </c>
      <c r="F245" s="0" t="n">
        <v>1.53</v>
      </c>
      <c r="G245" s="0" t="n">
        <v>17892</v>
      </c>
      <c r="H245" s="3" t="s">
        <v>14</v>
      </c>
      <c r="I245" s="4" t="n">
        <f aca="false">D245*F245</f>
        <v>3.06</v>
      </c>
      <c r="J245" s="3" t="n">
        <f aca="false">IF(AND(LEFT(A245,1)&lt;&gt;"C",D245&gt;0,F245&gt;0),1,0)</f>
        <v>1</v>
      </c>
      <c r="K245" s="3" t="n">
        <f aca="false">IF(AND(H245="United Kingdom",G245&lt;&gt;"",COUNTIFS($G$2:G245,G245,$H$2:H245,"United Kingdom")=1),1,0)</f>
        <v>0</v>
      </c>
    </row>
    <row r="246" customFormat="false" ht="15" hidden="false" customHeight="false" outlineLevel="0" collapsed="false">
      <c r="A246" s="0" t="s">
        <v>137</v>
      </c>
      <c r="B246" s="0" t="s">
        <v>43</v>
      </c>
      <c r="C246" s="0" t="s">
        <v>44</v>
      </c>
      <c r="D246" s="0" t="n">
        <v>4</v>
      </c>
      <c r="E246" s="2" t="n">
        <v>40550.5125</v>
      </c>
      <c r="F246" s="0" t="n">
        <v>1.35</v>
      </c>
      <c r="G246" s="0" t="n">
        <v>12612</v>
      </c>
      <c r="H246" s="3" t="s">
        <v>97</v>
      </c>
      <c r="I246" s="4" t="n">
        <f aca="false">D246*F246</f>
        <v>5.4</v>
      </c>
      <c r="J246" s="3" t="n">
        <f aca="false">IF(AND(LEFT(A246,1)&lt;&gt;"C",D246&gt;0,F246&gt;0),1,0)</f>
        <v>1</v>
      </c>
      <c r="K246" s="3" t="n">
        <f aca="false">IF(AND(H246="United Kingdom",G246&lt;&gt;"",COUNTIFS($G$2:G246,G246,$H$2:H246,"United Kingdom")=1),1,0)</f>
        <v>0</v>
      </c>
    </row>
    <row r="247" customFormat="false" ht="15" hidden="false" customHeight="false" outlineLevel="0" collapsed="false">
      <c r="A247" s="0" t="s">
        <v>137</v>
      </c>
      <c r="B247" s="0" t="s">
        <v>37</v>
      </c>
      <c r="C247" s="0" t="s">
        <v>38</v>
      </c>
      <c r="D247" s="0" t="n">
        <v>12</v>
      </c>
      <c r="E247" s="2" t="n">
        <v>40550.5125</v>
      </c>
      <c r="F247" s="0" t="n">
        <v>1.82</v>
      </c>
      <c r="G247" s="0" t="n">
        <v>12612</v>
      </c>
      <c r="H247" s="3" t="s">
        <v>97</v>
      </c>
      <c r="I247" s="4" t="n">
        <f aca="false">D247*F247</f>
        <v>21.84</v>
      </c>
      <c r="J247" s="3" t="n">
        <f aca="false">IF(AND(LEFT(A247,1)&lt;&gt;"C",D247&gt;0,F247&gt;0),1,0)</f>
        <v>1</v>
      </c>
      <c r="K247" s="3" t="n">
        <f aca="false">IF(AND(H247="United Kingdom",G247&lt;&gt;"",COUNTIFS($G$2:G247,G247,$H$2:H247,"United Kingdom")=1),1,0)</f>
        <v>0</v>
      </c>
    </row>
    <row r="248" customFormat="false" ht="15" hidden="false" customHeight="false" outlineLevel="0" collapsed="false">
      <c r="A248" s="0" t="s">
        <v>137</v>
      </c>
      <c r="B248" s="0" t="s">
        <v>17</v>
      </c>
      <c r="C248" s="0" t="s">
        <v>18</v>
      </c>
      <c r="D248" s="0" t="n">
        <v>16</v>
      </c>
      <c r="E248" s="2" t="n">
        <v>40550.5125</v>
      </c>
      <c r="F248" s="0" t="n">
        <v>1.92</v>
      </c>
      <c r="G248" s="0" t="n">
        <v>12612</v>
      </c>
      <c r="H248" s="3" t="s">
        <v>97</v>
      </c>
      <c r="I248" s="4" t="n">
        <f aca="false">D248*F248</f>
        <v>30.72</v>
      </c>
      <c r="J248" s="3" t="n">
        <f aca="false">IF(AND(LEFT(A248,1)&lt;&gt;"C",D248&gt;0,F248&gt;0),1,0)</f>
        <v>1</v>
      </c>
      <c r="K248" s="3" t="n">
        <f aca="false">IF(AND(H248="United Kingdom",G248&lt;&gt;"",COUNTIFS($G$2:G248,G248,$H$2:H248,"United Kingdom")=1),1,0)</f>
        <v>0</v>
      </c>
    </row>
    <row r="249" customFormat="false" ht="15" hidden="false" customHeight="false" outlineLevel="0" collapsed="false">
      <c r="A249" s="0" t="s">
        <v>137</v>
      </c>
      <c r="B249" s="0" t="s">
        <v>41</v>
      </c>
      <c r="C249" s="0" t="s">
        <v>42</v>
      </c>
      <c r="D249" s="0" t="n">
        <v>16</v>
      </c>
      <c r="E249" s="2" t="n">
        <v>40550.5125</v>
      </c>
      <c r="F249" s="0" t="n">
        <v>3.28</v>
      </c>
      <c r="G249" s="0" t="n">
        <v>12612</v>
      </c>
      <c r="H249" s="3" t="s">
        <v>97</v>
      </c>
      <c r="I249" s="4" t="n">
        <f aca="false">D249*F249</f>
        <v>52.48</v>
      </c>
      <c r="J249" s="3" t="n">
        <f aca="false">IF(AND(LEFT(A249,1)&lt;&gt;"C",D249&gt;0,F249&gt;0),1,0)</f>
        <v>1</v>
      </c>
      <c r="K249" s="3" t="n">
        <f aca="false">IF(AND(H249="United Kingdom",G249&lt;&gt;"",COUNTIFS($G$2:G249,G249,$H$2:H249,"United Kingdom")=1),1,0)</f>
        <v>0</v>
      </c>
    </row>
    <row r="250" customFormat="false" ht="15" hidden="false" customHeight="false" outlineLevel="0" collapsed="false">
      <c r="A250" s="0" t="s">
        <v>137</v>
      </c>
      <c r="B250" s="0" t="s">
        <v>34</v>
      </c>
      <c r="C250" s="0" t="s">
        <v>35</v>
      </c>
      <c r="D250" s="0" t="n">
        <v>32</v>
      </c>
      <c r="E250" s="2" t="n">
        <v>40550.5125</v>
      </c>
      <c r="F250" s="0" t="n">
        <v>2.38</v>
      </c>
      <c r="G250" s="0" t="n">
        <v>12612</v>
      </c>
      <c r="H250" s="3" t="s">
        <v>97</v>
      </c>
      <c r="I250" s="4" t="n">
        <f aca="false">D250*F250</f>
        <v>76.16</v>
      </c>
      <c r="J250" s="3" t="n">
        <f aca="false">IF(AND(LEFT(A250,1)&lt;&gt;"C",D250&gt;0,F250&gt;0),1,0)</f>
        <v>1</v>
      </c>
      <c r="K250" s="3" t="n">
        <f aca="false">IF(AND(H250="United Kingdom",G250&lt;&gt;"",COUNTIFS($G$2:G250,G250,$H$2:H250,"United Kingdom")=1),1,0)</f>
        <v>0</v>
      </c>
    </row>
    <row r="251" customFormat="false" ht="15" hidden="false" customHeight="false" outlineLevel="0" collapsed="false">
      <c r="A251" s="0" t="s">
        <v>137</v>
      </c>
      <c r="B251" s="0" t="s">
        <v>45</v>
      </c>
      <c r="C251" s="0" t="s">
        <v>46</v>
      </c>
      <c r="D251" s="0" t="n">
        <v>2</v>
      </c>
      <c r="E251" s="2" t="n">
        <v>40550.5125</v>
      </c>
      <c r="F251" s="0" t="n">
        <v>4.55</v>
      </c>
      <c r="G251" s="0" t="n">
        <v>12612</v>
      </c>
      <c r="H251" s="3" t="s">
        <v>97</v>
      </c>
      <c r="I251" s="4" t="n">
        <f aca="false">D251*F251</f>
        <v>9.1</v>
      </c>
      <c r="J251" s="3" t="n">
        <f aca="false">IF(AND(LEFT(A251,1)&lt;&gt;"C",D251&gt;0,F251&gt;0),1,0)</f>
        <v>1</v>
      </c>
      <c r="K251" s="3" t="n">
        <f aca="false">IF(AND(H251="United Kingdom",G251&lt;&gt;"",COUNTIFS($G$2:G251,G251,$H$2:H251,"United Kingdom")=1),1,0)</f>
        <v>0</v>
      </c>
    </row>
    <row r="252" customFormat="false" ht="15" hidden="false" customHeight="false" outlineLevel="0" collapsed="false">
      <c r="A252" s="0" t="s">
        <v>138</v>
      </c>
      <c r="B252" s="0" t="s">
        <v>58</v>
      </c>
      <c r="C252" s="0" t="s">
        <v>59</v>
      </c>
      <c r="D252" s="0" t="n">
        <v>6</v>
      </c>
      <c r="E252" s="2" t="n">
        <v>40551.3958333333</v>
      </c>
      <c r="F252" s="0" t="n">
        <v>2.16</v>
      </c>
      <c r="G252" s="0" t="n">
        <v>18102</v>
      </c>
      <c r="H252" s="3" t="s">
        <v>14</v>
      </c>
      <c r="I252" s="4" t="n">
        <f aca="false">D252*F252</f>
        <v>12.96</v>
      </c>
      <c r="J252" s="3" t="n">
        <f aca="false">IF(AND(LEFT(A252,1)&lt;&gt;"C",D252&gt;0,F252&gt;0),1,0)</f>
        <v>1</v>
      </c>
      <c r="K252" s="3" t="n">
        <f aca="false">IF(AND(H252="United Kingdom",G252&lt;&gt;"",COUNTIFS($G$2:G252,G252,$H$2:H252,"United Kingdom")=1),1,0)</f>
        <v>0</v>
      </c>
    </row>
    <row r="253" customFormat="false" ht="15" hidden="false" customHeight="false" outlineLevel="0" collapsed="false">
      <c r="A253" s="0" t="s">
        <v>138</v>
      </c>
      <c r="B253" s="0" t="s">
        <v>48</v>
      </c>
      <c r="C253" s="0" t="s">
        <v>49</v>
      </c>
      <c r="D253" s="0" t="n">
        <v>4</v>
      </c>
      <c r="E253" s="2" t="n">
        <v>40551.3958333333</v>
      </c>
      <c r="F253" s="0" t="n">
        <v>1.35</v>
      </c>
      <c r="G253" s="0" t="n">
        <v>18102</v>
      </c>
      <c r="H253" s="3" t="s">
        <v>14</v>
      </c>
      <c r="I253" s="4" t="n">
        <f aca="false">D253*F253</f>
        <v>5.4</v>
      </c>
      <c r="J253" s="3" t="n">
        <f aca="false">IF(AND(LEFT(A253,1)&lt;&gt;"C",D253&gt;0,F253&gt;0),1,0)</f>
        <v>1</v>
      </c>
      <c r="K253" s="3" t="n">
        <f aca="false">IF(AND(H253="United Kingdom",G253&lt;&gt;"",COUNTIFS($G$2:G253,G253,$H$2:H253,"United Kingdom")=1),1,0)</f>
        <v>0</v>
      </c>
    </row>
    <row r="254" customFormat="false" ht="15" hidden="false" customHeight="false" outlineLevel="0" collapsed="false">
      <c r="A254" s="0" t="s">
        <v>138</v>
      </c>
      <c r="B254" s="0" t="s">
        <v>12</v>
      </c>
      <c r="C254" s="0" t="s">
        <v>13</v>
      </c>
      <c r="D254" s="0" t="n">
        <v>6</v>
      </c>
      <c r="E254" s="2" t="n">
        <v>40551.3958333333</v>
      </c>
      <c r="F254" s="0" t="n">
        <v>3.33</v>
      </c>
      <c r="G254" s="0" t="n">
        <v>18102</v>
      </c>
      <c r="H254" s="3" t="s">
        <v>14</v>
      </c>
      <c r="I254" s="4" t="n">
        <f aca="false">D254*F254</f>
        <v>19.98</v>
      </c>
      <c r="J254" s="3" t="n">
        <f aca="false">IF(AND(LEFT(A254,1)&lt;&gt;"C",D254&gt;0,F254&gt;0),1,0)</f>
        <v>1</v>
      </c>
      <c r="K254" s="3" t="n">
        <f aca="false">IF(AND(H254="United Kingdom",G254&lt;&gt;"",COUNTIFS($G$2:G254,G254,$H$2:H254,"United Kingdom")=1),1,0)</f>
        <v>0</v>
      </c>
    </row>
    <row r="255" customFormat="false" ht="15" hidden="false" customHeight="false" outlineLevel="0" collapsed="false">
      <c r="A255" s="0" t="s">
        <v>138</v>
      </c>
      <c r="B255" s="0" t="s">
        <v>80</v>
      </c>
      <c r="C255" s="0" t="s">
        <v>81</v>
      </c>
      <c r="D255" s="0" t="n">
        <v>2</v>
      </c>
      <c r="E255" s="2" t="n">
        <v>40551.3958333333</v>
      </c>
      <c r="F255" s="0" t="n">
        <v>1.53</v>
      </c>
      <c r="G255" s="0" t="n">
        <v>18102</v>
      </c>
      <c r="H255" s="3" t="s">
        <v>14</v>
      </c>
      <c r="I255" s="4" t="n">
        <f aca="false">D255*F255</f>
        <v>3.06</v>
      </c>
      <c r="J255" s="3" t="n">
        <f aca="false">IF(AND(LEFT(A255,1)&lt;&gt;"C",D255&gt;0,F255&gt;0),1,0)</f>
        <v>1</v>
      </c>
      <c r="K255" s="3" t="n">
        <f aca="false">IF(AND(H255="United Kingdom",G255&lt;&gt;"",COUNTIFS($G$2:G255,G255,$H$2:H255,"United Kingdom")=1),1,0)</f>
        <v>0</v>
      </c>
    </row>
    <row r="256" customFormat="false" ht="15" hidden="false" customHeight="false" outlineLevel="0" collapsed="false">
      <c r="A256" s="0" t="s">
        <v>138</v>
      </c>
      <c r="B256" s="0" t="s">
        <v>34</v>
      </c>
      <c r="C256" s="0" t="s">
        <v>35</v>
      </c>
      <c r="D256" s="0" t="n">
        <v>2</v>
      </c>
      <c r="E256" s="2" t="n">
        <v>40551.3958333333</v>
      </c>
      <c r="F256" s="0" t="n">
        <v>2.38</v>
      </c>
      <c r="G256" s="0" t="n">
        <v>18102</v>
      </c>
      <c r="H256" s="3" t="s">
        <v>14</v>
      </c>
      <c r="I256" s="4" t="n">
        <f aca="false">D256*F256</f>
        <v>4.76</v>
      </c>
      <c r="J256" s="3" t="n">
        <f aca="false">IF(AND(LEFT(A256,1)&lt;&gt;"C",D256&gt;0,F256&gt;0),1,0)</f>
        <v>1</v>
      </c>
      <c r="K256" s="3" t="n">
        <f aca="false">IF(AND(H256="United Kingdom",G256&lt;&gt;"",COUNTIFS($G$2:G256,G256,$H$2:H256,"United Kingdom")=1),1,0)</f>
        <v>0</v>
      </c>
    </row>
    <row r="257" customFormat="false" ht="15" hidden="false" customHeight="false" outlineLevel="0" collapsed="false">
      <c r="A257" s="0" t="s">
        <v>138</v>
      </c>
      <c r="B257" s="0" t="s">
        <v>25</v>
      </c>
      <c r="C257" s="0" t="s">
        <v>26</v>
      </c>
      <c r="D257" s="0" t="n">
        <v>1</v>
      </c>
      <c r="E257" s="2" t="n">
        <v>40551.3958333333</v>
      </c>
      <c r="F257" s="0" t="n">
        <v>2.21</v>
      </c>
      <c r="G257" s="0" t="n">
        <v>18102</v>
      </c>
      <c r="H257" s="3" t="s">
        <v>14</v>
      </c>
      <c r="I257" s="4" t="n">
        <f aca="false">D257*F257</f>
        <v>2.21</v>
      </c>
      <c r="J257" s="3" t="n">
        <f aca="false">IF(AND(LEFT(A257,1)&lt;&gt;"C",D257&gt;0,F257&gt;0),1,0)</f>
        <v>1</v>
      </c>
      <c r="K257" s="3" t="n">
        <f aca="false">IF(AND(H257="United Kingdom",G257&lt;&gt;"",COUNTIFS($G$2:G257,G257,$H$2:H257,"United Kingdom")=1),1,0)</f>
        <v>0</v>
      </c>
    </row>
    <row r="258" customFormat="false" ht="15" hidden="false" customHeight="false" outlineLevel="0" collapsed="false">
      <c r="A258" s="0" t="s">
        <v>139</v>
      </c>
      <c r="B258" s="0" t="s">
        <v>29</v>
      </c>
      <c r="C258" s="0" t="s">
        <v>30</v>
      </c>
      <c r="D258" s="0" t="n">
        <v>12</v>
      </c>
      <c r="E258" s="2" t="n">
        <v>40553.4243055556</v>
      </c>
      <c r="F258" s="0" t="n">
        <v>5.79</v>
      </c>
      <c r="G258" s="0" t="n">
        <v>14240</v>
      </c>
      <c r="H258" s="3" t="s">
        <v>14</v>
      </c>
      <c r="I258" s="4" t="n">
        <f aca="false">D258*F258</f>
        <v>69.48</v>
      </c>
      <c r="J258" s="3" t="n">
        <f aca="false">IF(AND(LEFT(A258,1)&lt;&gt;"C",D258&gt;0,F258&gt;0),1,0)</f>
        <v>1</v>
      </c>
      <c r="K258" s="3" t="n">
        <f aca="false">IF(AND(H258="United Kingdom",G258&lt;&gt;"",COUNTIFS($G$2:G258,G258,$H$2:H258,"United Kingdom")=1),1,0)</f>
        <v>1</v>
      </c>
    </row>
    <row r="259" customFormat="false" ht="15" hidden="false" customHeight="false" outlineLevel="0" collapsed="false">
      <c r="A259" s="0" t="s">
        <v>139</v>
      </c>
      <c r="B259" s="0" t="s">
        <v>43</v>
      </c>
      <c r="C259" s="0" t="s">
        <v>44</v>
      </c>
      <c r="D259" s="0" t="n">
        <v>2</v>
      </c>
      <c r="E259" s="2" t="n">
        <v>40553.4243055556</v>
      </c>
      <c r="F259" s="0" t="n">
        <v>1.35</v>
      </c>
      <c r="G259" s="0" t="n">
        <v>14240</v>
      </c>
      <c r="H259" s="3" t="s">
        <v>14</v>
      </c>
      <c r="I259" s="4" t="n">
        <f aca="false">D259*F259</f>
        <v>2.7</v>
      </c>
      <c r="J259" s="3" t="n">
        <f aca="false">IF(AND(LEFT(A259,1)&lt;&gt;"C",D259&gt;0,F259&gt;0),1,0)</f>
        <v>1</v>
      </c>
      <c r="K259" s="3" t="n">
        <f aca="false">IF(AND(H259="United Kingdom",G259&lt;&gt;"",COUNTIFS($G$2:G259,G259,$H$2:H259,"United Kingdom")=1),1,0)</f>
        <v>0</v>
      </c>
    </row>
    <row r="260" customFormat="false" ht="15" hidden="false" customHeight="false" outlineLevel="0" collapsed="false">
      <c r="A260" s="0" t="s">
        <v>139</v>
      </c>
      <c r="B260" s="0" t="s">
        <v>48</v>
      </c>
      <c r="C260" s="0" t="s">
        <v>49</v>
      </c>
      <c r="D260" s="0" t="n">
        <v>2</v>
      </c>
      <c r="E260" s="2" t="n">
        <v>40553.4243055556</v>
      </c>
      <c r="F260" s="0" t="n">
        <v>1.35</v>
      </c>
      <c r="G260" s="0" t="n">
        <v>14240</v>
      </c>
      <c r="H260" s="3" t="s">
        <v>14</v>
      </c>
      <c r="I260" s="4" t="n">
        <f aca="false">D260*F260</f>
        <v>2.7</v>
      </c>
      <c r="J260" s="3" t="n">
        <f aca="false">IF(AND(LEFT(A260,1)&lt;&gt;"C",D260&gt;0,F260&gt;0),1,0)</f>
        <v>1</v>
      </c>
      <c r="K260" s="3" t="n">
        <f aca="false">IF(AND(H260="United Kingdom",G260&lt;&gt;"",COUNTIFS($G$2:G260,G260,$H$2:H260,"United Kingdom")=1),1,0)</f>
        <v>0</v>
      </c>
    </row>
    <row r="261" customFormat="false" ht="15" hidden="false" customHeight="false" outlineLevel="0" collapsed="false">
      <c r="A261" s="0" t="s">
        <v>139</v>
      </c>
      <c r="B261" s="0" t="s">
        <v>41</v>
      </c>
      <c r="C261" s="0" t="s">
        <v>42</v>
      </c>
      <c r="D261" s="0" t="n">
        <v>2</v>
      </c>
      <c r="E261" s="2" t="n">
        <v>40553.4243055556</v>
      </c>
      <c r="F261" s="0" t="n">
        <v>3.28</v>
      </c>
      <c r="G261" s="0" t="n">
        <v>14240</v>
      </c>
      <c r="H261" s="3" t="s">
        <v>14</v>
      </c>
      <c r="I261" s="4" t="n">
        <f aca="false">D261*F261</f>
        <v>6.56</v>
      </c>
      <c r="J261" s="3" t="n">
        <f aca="false">IF(AND(LEFT(A261,1)&lt;&gt;"C",D261&gt;0,F261&gt;0),1,0)</f>
        <v>1</v>
      </c>
      <c r="K261" s="3" t="n">
        <f aca="false">IF(AND(H261="United Kingdom",G261&lt;&gt;"",COUNTIFS($G$2:G261,G261,$H$2:H261,"United Kingdom")=1),1,0)</f>
        <v>0</v>
      </c>
    </row>
    <row r="262" customFormat="false" ht="15" hidden="false" customHeight="false" outlineLevel="0" collapsed="false">
      <c r="A262" s="0" t="s">
        <v>139</v>
      </c>
      <c r="B262" s="0" t="s">
        <v>80</v>
      </c>
      <c r="C262" s="0" t="s">
        <v>81</v>
      </c>
      <c r="D262" s="0" t="n">
        <v>6</v>
      </c>
      <c r="E262" s="2" t="n">
        <v>40553.4243055556</v>
      </c>
      <c r="F262" s="0" t="n">
        <v>1.53</v>
      </c>
      <c r="G262" s="0" t="n">
        <v>14240</v>
      </c>
      <c r="H262" s="3" t="s">
        <v>14</v>
      </c>
      <c r="I262" s="4" t="n">
        <f aca="false">D262*F262</f>
        <v>9.18</v>
      </c>
      <c r="J262" s="3" t="n">
        <f aca="false">IF(AND(LEFT(A262,1)&lt;&gt;"C",D262&gt;0,F262&gt;0),1,0)</f>
        <v>1</v>
      </c>
      <c r="K262" s="3" t="n">
        <f aca="false">IF(AND(H262="United Kingdom",G262&lt;&gt;"",COUNTIFS($G$2:G262,G262,$H$2:H262,"United Kingdom")=1),1,0)</f>
        <v>0</v>
      </c>
    </row>
    <row r="263" customFormat="false" ht="15" hidden="false" customHeight="false" outlineLevel="0" collapsed="false">
      <c r="A263" s="0" t="s">
        <v>139</v>
      </c>
      <c r="B263" s="0" t="s">
        <v>20</v>
      </c>
      <c r="C263" s="0" t="s">
        <v>21</v>
      </c>
      <c r="D263" s="0" t="n">
        <v>1</v>
      </c>
      <c r="E263" s="2" t="n">
        <v>40553.4243055556</v>
      </c>
      <c r="F263" s="0" t="n">
        <v>4.24</v>
      </c>
      <c r="G263" s="0" t="n">
        <v>14240</v>
      </c>
      <c r="H263" s="3" t="s">
        <v>14</v>
      </c>
      <c r="I263" s="4" t="n">
        <f aca="false">D263*F263</f>
        <v>4.24</v>
      </c>
      <c r="J263" s="3" t="n">
        <f aca="false">IF(AND(LEFT(A263,1)&lt;&gt;"C",D263&gt;0,F263&gt;0),1,0)</f>
        <v>1</v>
      </c>
      <c r="K263" s="3" t="n">
        <f aca="false">IF(AND(H263="United Kingdom",G263&lt;&gt;"",COUNTIFS($G$2:G263,G263,$H$2:H263,"United Kingdom")=1),1,0)</f>
        <v>0</v>
      </c>
    </row>
    <row r="264" customFormat="false" ht="15" hidden="false" customHeight="false" outlineLevel="0" collapsed="false">
      <c r="A264" s="0" t="s">
        <v>139</v>
      </c>
      <c r="B264" s="0" t="s">
        <v>52</v>
      </c>
      <c r="C264" s="0" t="s">
        <v>53</v>
      </c>
      <c r="D264" s="0" t="n">
        <v>3</v>
      </c>
      <c r="E264" s="2" t="n">
        <v>40553.4243055556</v>
      </c>
      <c r="F264" s="0" t="n">
        <v>4.16</v>
      </c>
      <c r="G264" s="0" t="n">
        <v>14240</v>
      </c>
      <c r="H264" s="3" t="s">
        <v>14</v>
      </c>
      <c r="I264" s="4" t="n">
        <f aca="false">D264*F264</f>
        <v>12.48</v>
      </c>
      <c r="J264" s="3" t="n">
        <f aca="false">IF(AND(LEFT(A264,1)&lt;&gt;"C",D264&gt;0,F264&gt;0),1,0)</f>
        <v>1</v>
      </c>
      <c r="K264" s="3" t="n">
        <f aca="false">IF(AND(H264="United Kingdom",G264&lt;&gt;"",COUNTIFS($G$2:G264,G264,$H$2:H264,"United Kingdom")=1),1,0)</f>
        <v>0</v>
      </c>
    </row>
    <row r="265" customFormat="false" ht="15" hidden="false" customHeight="false" outlineLevel="0" collapsed="false">
      <c r="A265" s="0" t="s">
        <v>140</v>
      </c>
      <c r="B265" s="0" t="s">
        <v>37</v>
      </c>
      <c r="C265" s="0" t="s">
        <v>38</v>
      </c>
      <c r="D265" s="0" t="n">
        <v>6</v>
      </c>
      <c r="E265" s="2" t="n">
        <v>40553.8090277778</v>
      </c>
      <c r="F265" s="0" t="n">
        <v>1.82</v>
      </c>
      <c r="G265" s="0" t="n">
        <v>14887</v>
      </c>
      <c r="H265" s="3" t="s">
        <v>14</v>
      </c>
      <c r="I265" s="4" t="n">
        <f aca="false">D265*F265</f>
        <v>10.92</v>
      </c>
      <c r="J265" s="3" t="n">
        <f aca="false">IF(AND(LEFT(A265,1)&lt;&gt;"C",D265&gt;0,F265&gt;0),1,0)</f>
        <v>1</v>
      </c>
      <c r="K265" s="3" t="n">
        <f aca="false">IF(AND(H265="United Kingdom",G265&lt;&gt;"",COUNTIFS($G$2:G265,G265,$H$2:H265,"United Kingdom")=1),1,0)</f>
        <v>1</v>
      </c>
    </row>
    <row r="266" customFormat="false" ht="15" hidden="false" customHeight="false" outlineLevel="0" collapsed="false">
      <c r="A266" s="0" t="s">
        <v>140</v>
      </c>
      <c r="B266" s="0" t="s">
        <v>12</v>
      </c>
      <c r="C266" s="0" t="s">
        <v>13</v>
      </c>
      <c r="D266" s="0" t="n">
        <v>16</v>
      </c>
      <c r="E266" s="2" t="n">
        <v>40553.8090277778</v>
      </c>
      <c r="F266" s="0" t="n">
        <v>3.33</v>
      </c>
      <c r="G266" s="0" t="n">
        <v>14887</v>
      </c>
      <c r="H266" s="3" t="s">
        <v>14</v>
      </c>
      <c r="I266" s="4" t="n">
        <f aca="false">D266*F266</f>
        <v>53.28</v>
      </c>
      <c r="J266" s="3" t="n">
        <f aca="false">IF(AND(LEFT(A266,1)&lt;&gt;"C",D266&gt;0,F266&gt;0),1,0)</f>
        <v>1</v>
      </c>
      <c r="K266" s="3" t="n">
        <f aca="false">IF(AND(H266="United Kingdom",G266&lt;&gt;"",COUNTIFS($G$2:G266,G266,$H$2:H266,"United Kingdom")=1),1,0)</f>
        <v>0</v>
      </c>
    </row>
    <row r="267" customFormat="false" ht="15" hidden="false" customHeight="false" outlineLevel="0" collapsed="false">
      <c r="A267" s="0" t="s">
        <v>140</v>
      </c>
      <c r="B267" s="0" t="s">
        <v>68</v>
      </c>
      <c r="C267" s="0" t="s">
        <v>69</v>
      </c>
      <c r="D267" s="0" t="n">
        <v>1</v>
      </c>
      <c r="E267" s="2" t="n">
        <v>40553.8090277778</v>
      </c>
      <c r="F267" s="0" t="n">
        <v>1.26</v>
      </c>
      <c r="G267" s="0" t="n">
        <v>14887</v>
      </c>
      <c r="H267" s="3" t="s">
        <v>14</v>
      </c>
      <c r="I267" s="4" t="n">
        <f aca="false">D267*F267</f>
        <v>1.26</v>
      </c>
      <c r="J267" s="3" t="n">
        <f aca="false">IF(AND(LEFT(A267,1)&lt;&gt;"C",D267&gt;0,F267&gt;0),1,0)</f>
        <v>1</v>
      </c>
      <c r="K267" s="3" t="n">
        <f aca="false">IF(AND(H267="United Kingdom",G267&lt;&gt;"",COUNTIFS($G$2:G267,G267,$H$2:H267,"United Kingdom")=1),1,0)</f>
        <v>0</v>
      </c>
    </row>
    <row r="268" customFormat="false" ht="15" hidden="false" customHeight="false" outlineLevel="0" collapsed="false">
      <c r="A268" s="0" t="s">
        <v>140</v>
      </c>
      <c r="B268" s="0" t="s">
        <v>17</v>
      </c>
      <c r="C268" s="0" t="s">
        <v>18</v>
      </c>
      <c r="D268" s="0" t="n">
        <v>2</v>
      </c>
      <c r="E268" s="2" t="n">
        <v>40553.8090277778</v>
      </c>
      <c r="F268" s="0" t="n">
        <v>1.92</v>
      </c>
      <c r="G268" s="0" t="n">
        <v>14887</v>
      </c>
      <c r="H268" s="3" t="s">
        <v>14</v>
      </c>
      <c r="I268" s="4" t="n">
        <f aca="false">D268*F268</f>
        <v>3.84</v>
      </c>
      <c r="J268" s="3" t="n">
        <f aca="false">IF(AND(LEFT(A268,1)&lt;&gt;"C",D268&gt;0,F268&gt;0),1,0)</f>
        <v>1</v>
      </c>
      <c r="K268" s="3" t="n">
        <f aca="false">IF(AND(H268="United Kingdom",G268&lt;&gt;"",COUNTIFS($G$2:G268,G268,$H$2:H268,"United Kingdom")=1),1,0)</f>
        <v>0</v>
      </c>
    </row>
    <row r="269" customFormat="false" ht="15" hidden="false" customHeight="false" outlineLevel="0" collapsed="false">
      <c r="A269" s="0" t="s">
        <v>140</v>
      </c>
      <c r="B269" s="0" t="s">
        <v>34</v>
      </c>
      <c r="C269" s="0" t="s">
        <v>35</v>
      </c>
      <c r="D269" s="0" t="n">
        <v>2</v>
      </c>
      <c r="E269" s="2" t="n">
        <v>40553.8090277778</v>
      </c>
      <c r="F269" s="0" t="n">
        <v>2.38</v>
      </c>
      <c r="G269" s="0" t="n">
        <v>14887</v>
      </c>
      <c r="H269" s="3" t="s">
        <v>14</v>
      </c>
      <c r="I269" s="4" t="n">
        <f aca="false">D269*F269</f>
        <v>4.76</v>
      </c>
      <c r="J269" s="3" t="n">
        <f aca="false">IF(AND(LEFT(A269,1)&lt;&gt;"C",D269&gt;0,F269&gt;0),1,0)</f>
        <v>1</v>
      </c>
      <c r="K269" s="3" t="n">
        <f aca="false">IF(AND(H269="United Kingdom",G269&lt;&gt;"",COUNTIFS($G$2:G269,G269,$H$2:H269,"United Kingdom")=1),1,0)</f>
        <v>0</v>
      </c>
    </row>
    <row r="270" customFormat="false" ht="15" hidden="false" customHeight="false" outlineLevel="0" collapsed="false">
      <c r="A270" s="0" t="s">
        <v>140</v>
      </c>
      <c r="B270" s="0" t="s">
        <v>25</v>
      </c>
      <c r="C270" s="0" t="s">
        <v>26</v>
      </c>
      <c r="D270" s="0" t="n">
        <v>6</v>
      </c>
      <c r="E270" s="2" t="n">
        <v>40553.8090277778</v>
      </c>
      <c r="F270" s="0" t="n">
        <v>2.21</v>
      </c>
      <c r="G270" s="0" t="n">
        <v>14887</v>
      </c>
      <c r="H270" s="3" t="s">
        <v>14</v>
      </c>
      <c r="I270" s="4" t="n">
        <f aca="false">D270*F270</f>
        <v>13.26</v>
      </c>
      <c r="J270" s="3" t="n">
        <f aca="false">IF(AND(LEFT(A270,1)&lt;&gt;"C",D270&gt;0,F270&gt;0),1,0)</f>
        <v>1</v>
      </c>
      <c r="K270" s="3" t="n">
        <f aca="false">IF(AND(H270="United Kingdom",G270&lt;&gt;"",COUNTIFS($G$2:G270,G270,$H$2:H270,"United Kingdom")=1),1,0)</f>
        <v>0</v>
      </c>
    </row>
    <row r="271" customFormat="false" ht="15" hidden="false" customHeight="false" outlineLevel="0" collapsed="false">
      <c r="A271" s="0" t="s">
        <v>140</v>
      </c>
      <c r="B271" s="0" t="s">
        <v>20</v>
      </c>
      <c r="C271" s="0" t="s">
        <v>21</v>
      </c>
      <c r="D271" s="0" t="n">
        <v>3</v>
      </c>
      <c r="E271" s="2" t="n">
        <v>40553.8090277778</v>
      </c>
      <c r="F271" s="0" t="n">
        <v>4.24</v>
      </c>
      <c r="G271" s="0" t="n">
        <v>14887</v>
      </c>
      <c r="H271" s="3" t="s">
        <v>14</v>
      </c>
      <c r="I271" s="4" t="n">
        <f aca="false">D271*F271</f>
        <v>12.72</v>
      </c>
      <c r="J271" s="3" t="n">
        <f aca="false">IF(AND(LEFT(A271,1)&lt;&gt;"C",D271&gt;0,F271&gt;0),1,0)</f>
        <v>1</v>
      </c>
      <c r="K271" s="3" t="n">
        <f aca="false">IF(AND(H271="United Kingdom",G271&lt;&gt;"",COUNTIFS($G$2:G271,G271,$H$2:H271,"United Kingdom")=1),1,0)</f>
        <v>0</v>
      </c>
    </row>
    <row r="272" customFormat="false" ht="15" hidden="false" customHeight="false" outlineLevel="0" collapsed="false">
      <c r="A272" s="0" t="s">
        <v>140</v>
      </c>
      <c r="B272" s="0" t="s">
        <v>72</v>
      </c>
      <c r="C272" s="0" t="s">
        <v>73</v>
      </c>
      <c r="D272" s="0" t="n">
        <v>12</v>
      </c>
      <c r="E272" s="2" t="n">
        <v>40553.8090277778</v>
      </c>
      <c r="F272" s="0" t="n">
        <v>2.69</v>
      </c>
      <c r="G272" s="0" t="n">
        <v>14887</v>
      </c>
      <c r="H272" s="3" t="s">
        <v>14</v>
      </c>
      <c r="I272" s="4" t="n">
        <f aca="false">D272*F272</f>
        <v>32.28</v>
      </c>
      <c r="J272" s="3" t="n">
        <f aca="false">IF(AND(LEFT(A272,1)&lt;&gt;"C",D272&gt;0,F272&gt;0),1,0)</f>
        <v>1</v>
      </c>
      <c r="K272" s="3" t="n">
        <f aca="false">IF(AND(H272="United Kingdom",G272&lt;&gt;"",COUNTIFS($G$2:G272,G272,$H$2:H272,"United Kingdom")=1),1,0)</f>
        <v>0</v>
      </c>
    </row>
    <row r="273" customFormat="false" ht="15" hidden="false" customHeight="false" outlineLevel="0" collapsed="false">
      <c r="A273" s="0" t="s">
        <v>140</v>
      </c>
      <c r="B273" s="0" t="s">
        <v>63</v>
      </c>
      <c r="C273" s="0" t="s">
        <v>64</v>
      </c>
      <c r="D273" s="0" t="n">
        <v>8</v>
      </c>
      <c r="E273" s="2" t="n">
        <v>40553.8090277778</v>
      </c>
      <c r="F273" s="0" t="n">
        <v>2.43</v>
      </c>
      <c r="G273" s="0" t="n">
        <v>14887</v>
      </c>
      <c r="H273" s="3" t="s">
        <v>14</v>
      </c>
      <c r="I273" s="4" t="n">
        <f aca="false">D273*F273</f>
        <v>19.44</v>
      </c>
      <c r="J273" s="3" t="n">
        <f aca="false">IF(AND(LEFT(A273,1)&lt;&gt;"C",D273&gt;0,F273&gt;0),1,0)</f>
        <v>1</v>
      </c>
      <c r="K273" s="3" t="n">
        <f aca="false">IF(AND(H273="United Kingdom",G273&lt;&gt;"",COUNTIFS($G$2:G273,G273,$H$2:H273,"United Kingdom")=1),1,0)</f>
        <v>0</v>
      </c>
    </row>
    <row r="274" customFormat="false" ht="15" hidden="false" customHeight="false" outlineLevel="0" collapsed="false">
      <c r="A274" s="0" t="s">
        <v>140</v>
      </c>
      <c r="B274" s="0" t="s">
        <v>77</v>
      </c>
      <c r="C274" s="0" t="s">
        <v>78</v>
      </c>
      <c r="D274" s="0" t="n">
        <v>6</v>
      </c>
      <c r="E274" s="2" t="n">
        <v>40553.8090277778</v>
      </c>
      <c r="F274" s="0" t="n">
        <v>3.41</v>
      </c>
      <c r="G274" s="0" t="n">
        <v>14887</v>
      </c>
      <c r="H274" s="3" t="s">
        <v>14</v>
      </c>
      <c r="I274" s="4" t="n">
        <f aca="false">D274*F274</f>
        <v>20.46</v>
      </c>
      <c r="J274" s="3" t="n">
        <f aca="false">IF(AND(LEFT(A274,1)&lt;&gt;"C",D274&gt;0,F274&gt;0),1,0)</f>
        <v>1</v>
      </c>
      <c r="K274" s="3" t="n">
        <f aca="false">IF(AND(H274="United Kingdom",G274&lt;&gt;"",COUNTIFS($G$2:G274,G274,$H$2:H274,"United Kingdom")=1),1,0)</f>
        <v>0</v>
      </c>
    </row>
    <row r="275" customFormat="false" ht="15" hidden="false" customHeight="false" outlineLevel="0" collapsed="false">
      <c r="A275" s="0" t="s">
        <v>140</v>
      </c>
      <c r="B275" s="0" t="s">
        <v>58</v>
      </c>
      <c r="C275" s="0" t="s">
        <v>59</v>
      </c>
      <c r="D275" s="0" t="n">
        <v>4</v>
      </c>
      <c r="E275" s="2" t="n">
        <v>40553.8090277778</v>
      </c>
      <c r="F275" s="0" t="n">
        <v>2.16</v>
      </c>
      <c r="G275" s="0" t="n">
        <v>14887</v>
      </c>
      <c r="H275" s="3" t="s">
        <v>14</v>
      </c>
      <c r="I275" s="4" t="n">
        <f aca="false">D275*F275</f>
        <v>8.64</v>
      </c>
      <c r="J275" s="3" t="n">
        <f aca="false">IF(AND(LEFT(A275,1)&lt;&gt;"C",D275&gt;0,F275&gt;0),1,0)</f>
        <v>1</v>
      </c>
      <c r="K275" s="3" t="n">
        <f aca="false">IF(AND(H275="United Kingdom",G275&lt;&gt;"",COUNTIFS($G$2:G275,G275,$H$2:H275,"United Kingdom")=1),1,0)</f>
        <v>0</v>
      </c>
    </row>
    <row r="276" customFormat="false" ht="15" hidden="false" customHeight="false" outlineLevel="0" collapsed="false">
      <c r="A276" s="0" t="s">
        <v>140</v>
      </c>
      <c r="B276" s="0" t="s">
        <v>75</v>
      </c>
      <c r="C276" s="0" t="s">
        <v>76</v>
      </c>
      <c r="D276" s="0" t="n">
        <v>2</v>
      </c>
      <c r="E276" s="2" t="n">
        <v>40553.8090277778</v>
      </c>
      <c r="F276" s="0" t="n">
        <v>1.97</v>
      </c>
      <c r="G276" s="0" t="n">
        <v>14887</v>
      </c>
      <c r="H276" s="3" t="s">
        <v>14</v>
      </c>
      <c r="I276" s="4" t="n">
        <f aca="false">D276*F276</f>
        <v>3.94</v>
      </c>
      <c r="J276" s="3" t="n">
        <f aca="false">IF(AND(LEFT(A276,1)&lt;&gt;"C",D276&gt;0,F276&gt;0),1,0)</f>
        <v>1</v>
      </c>
      <c r="K276" s="3" t="n">
        <f aca="false">IF(AND(H276="United Kingdom",G276&lt;&gt;"",COUNTIFS($G$2:G276,G276,$H$2:H276,"United Kingdom")=1),1,0)</f>
        <v>0</v>
      </c>
    </row>
    <row r="277" customFormat="false" ht="15" hidden="false" customHeight="false" outlineLevel="0" collapsed="false">
      <c r="A277" s="0" t="s">
        <v>140</v>
      </c>
      <c r="B277" s="0" t="s">
        <v>80</v>
      </c>
      <c r="C277" s="0" t="s">
        <v>81</v>
      </c>
      <c r="D277" s="0" t="n">
        <v>2</v>
      </c>
      <c r="E277" s="2" t="n">
        <v>40553.8090277778</v>
      </c>
      <c r="F277" s="0" t="n">
        <v>1.53</v>
      </c>
      <c r="G277" s="0" t="n">
        <v>14887</v>
      </c>
      <c r="H277" s="3" t="s">
        <v>14</v>
      </c>
      <c r="I277" s="4" t="n">
        <f aca="false">D277*F277</f>
        <v>3.06</v>
      </c>
      <c r="J277" s="3" t="n">
        <f aca="false">IF(AND(LEFT(A277,1)&lt;&gt;"C",D277&gt;0,F277&gt;0),1,0)</f>
        <v>1</v>
      </c>
      <c r="K277" s="3" t="n">
        <f aca="false">IF(AND(H277="United Kingdom",G277&lt;&gt;"",COUNTIFS($G$2:G277,G277,$H$2:H277,"United Kingdom")=1),1,0)</f>
        <v>0</v>
      </c>
    </row>
    <row r="278" customFormat="false" ht="15" hidden="false" customHeight="false" outlineLevel="0" collapsed="false">
      <c r="A278" s="0" t="s">
        <v>140</v>
      </c>
      <c r="B278" s="0" t="s">
        <v>65</v>
      </c>
      <c r="C278" s="0" t="s">
        <v>66</v>
      </c>
      <c r="D278" s="0" t="n">
        <v>3</v>
      </c>
      <c r="E278" s="2" t="n">
        <v>40553.8090277778</v>
      </c>
      <c r="F278" s="0" t="n">
        <v>4.75</v>
      </c>
      <c r="G278" s="0" t="n">
        <v>14887</v>
      </c>
      <c r="H278" s="3" t="s">
        <v>14</v>
      </c>
      <c r="I278" s="4" t="n">
        <f aca="false">D278*F278</f>
        <v>14.25</v>
      </c>
      <c r="J278" s="3" t="n">
        <f aca="false">IF(AND(LEFT(A278,1)&lt;&gt;"C",D278&gt;0,F278&gt;0),1,0)</f>
        <v>1</v>
      </c>
      <c r="K278" s="3" t="n">
        <f aca="false">IF(AND(H278="United Kingdom",G278&lt;&gt;"",COUNTIFS($G$2:G278,G278,$H$2:H278,"United Kingdom")=1),1,0)</f>
        <v>0</v>
      </c>
    </row>
    <row r="279" customFormat="false" ht="15" hidden="false" customHeight="false" outlineLevel="0" collapsed="false">
      <c r="A279" s="0" t="s">
        <v>140</v>
      </c>
      <c r="B279" s="0" t="s">
        <v>113</v>
      </c>
      <c r="C279" s="0" t="s">
        <v>114</v>
      </c>
      <c r="D279" s="0" t="n">
        <v>2</v>
      </c>
      <c r="E279" s="2" t="n">
        <v>40553.8090277778</v>
      </c>
      <c r="F279" s="0" t="n">
        <v>3.57</v>
      </c>
      <c r="G279" s="0" t="n">
        <v>14887</v>
      </c>
      <c r="H279" s="3" t="s">
        <v>14</v>
      </c>
      <c r="I279" s="4" t="n">
        <f aca="false">D279*F279</f>
        <v>7.14</v>
      </c>
      <c r="J279" s="3" t="n">
        <f aca="false">IF(AND(LEFT(A279,1)&lt;&gt;"C",D279&gt;0,F279&gt;0),1,0)</f>
        <v>1</v>
      </c>
      <c r="K279" s="3" t="n">
        <f aca="false">IF(AND(H279="United Kingdom",G279&lt;&gt;"",COUNTIFS($G$2:G279,G279,$H$2:H279,"United Kingdom")=1),1,0)</f>
        <v>0</v>
      </c>
    </row>
    <row r="280" customFormat="false" ht="15" hidden="false" customHeight="false" outlineLevel="0" collapsed="false">
      <c r="A280" s="0" t="s">
        <v>140</v>
      </c>
      <c r="B280" s="0" t="s">
        <v>52</v>
      </c>
      <c r="C280" s="0" t="s">
        <v>53</v>
      </c>
      <c r="D280" s="0" t="n">
        <v>2</v>
      </c>
      <c r="E280" s="2" t="n">
        <v>40553.8090277778</v>
      </c>
      <c r="F280" s="0" t="n">
        <v>4.16</v>
      </c>
      <c r="G280" s="0" t="n">
        <v>14887</v>
      </c>
      <c r="H280" s="3" t="s">
        <v>14</v>
      </c>
      <c r="I280" s="4" t="n">
        <f aca="false">D280*F280</f>
        <v>8.32</v>
      </c>
      <c r="J280" s="3" t="n">
        <f aca="false">IF(AND(LEFT(A280,1)&lt;&gt;"C",D280&gt;0,F280&gt;0),1,0)</f>
        <v>1</v>
      </c>
      <c r="K280" s="3" t="n">
        <f aca="false">IF(AND(H280="United Kingdom",G280&lt;&gt;"",COUNTIFS($G$2:G280,G280,$H$2:H280,"United Kingdom")=1),1,0)</f>
        <v>0</v>
      </c>
    </row>
    <row r="281" customFormat="false" ht="15" hidden="false" customHeight="false" outlineLevel="0" collapsed="false">
      <c r="A281" s="0" t="s">
        <v>141</v>
      </c>
      <c r="B281" s="0" t="s">
        <v>20</v>
      </c>
      <c r="C281" s="0" t="s">
        <v>21</v>
      </c>
      <c r="D281" s="0" t="n">
        <v>-8</v>
      </c>
      <c r="E281" s="2" t="n">
        <v>40554.3513888889</v>
      </c>
      <c r="F281" s="0" t="n">
        <v>4.24</v>
      </c>
      <c r="G281" s="0" t="n">
        <v>12612</v>
      </c>
      <c r="H281" s="3" t="s">
        <v>97</v>
      </c>
      <c r="I281" s="4" t="n">
        <f aca="false">D281*F281</f>
        <v>-33.92</v>
      </c>
      <c r="J281" s="3" t="n">
        <f aca="false">IF(AND(LEFT(A281,1)&lt;&gt;"C",D281&gt;0,F281&gt;0),1,0)</f>
        <v>0</v>
      </c>
      <c r="K281" s="3" t="n">
        <f aca="false">IF(AND(H281="United Kingdom",G281&lt;&gt;"",COUNTIFS($G$2:G281,G281,$H$2:H281,"United Kingdom")=1),1,0)</f>
        <v>0</v>
      </c>
    </row>
    <row r="282" customFormat="false" ht="15" hidden="false" customHeight="false" outlineLevel="0" collapsed="false">
      <c r="A282" s="0" t="s">
        <v>142</v>
      </c>
      <c r="B282" s="0" t="s">
        <v>75</v>
      </c>
      <c r="C282" s="0" t="s">
        <v>76</v>
      </c>
      <c r="D282" s="0" t="n">
        <v>2</v>
      </c>
      <c r="E282" s="2" t="n">
        <v>40554.3777777778</v>
      </c>
      <c r="F282" s="0" t="n">
        <v>1.97</v>
      </c>
      <c r="G282" s="0" t="n">
        <v>12377</v>
      </c>
      <c r="H282" s="3" t="s">
        <v>120</v>
      </c>
      <c r="I282" s="4" t="n">
        <f aca="false">D282*F282</f>
        <v>3.94</v>
      </c>
      <c r="J282" s="3" t="n">
        <f aca="false">IF(AND(LEFT(A282,1)&lt;&gt;"C",D282&gt;0,F282&gt;0),1,0)</f>
        <v>1</v>
      </c>
      <c r="K282" s="3" t="n">
        <f aca="false">IF(AND(H282="United Kingdom",G282&lt;&gt;"",COUNTIFS($G$2:G282,G282,$H$2:H282,"United Kingdom")=1),1,0)</f>
        <v>0</v>
      </c>
    </row>
    <row r="283" customFormat="false" ht="15" hidden="false" customHeight="false" outlineLevel="0" collapsed="false">
      <c r="A283" s="0" t="s">
        <v>142</v>
      </c>
      <c r="B283" s="0" t="s">
        <v>52</v>
      </c>
      <c r="C283" s="0" t="s">
        <v>53</v>
      </c>
      <c r="D283" s="0" t="n">
        <v>15</v>
      </c>
      <c r="E283" s="2" t="n">
        <v>40554.3777777778</v>
      </c>
      <c r="F283" s="0" t="n">
        <v>4.16</v>
      </c>
      <c r="G283" s="0" t="n">
        <v>12377</v>
      </c>
      <c r="H283" s="3" t="s">
        <v>120</v>
      </c>
      <c r="I283" s="4" t="n">
        <f aca="false">D283*F283</f>
        <v>62.4</v>
      </c>
      <c r="J283" s="3" t="n">
        <f aca="false">IF(AND(LEFT(A283,1)&lt;&gt;"C",D283&gt;0,F283&gt;0),1,0)</f>
        <v>1</v>
      </c>
      <c r="K283" s="3" t="n">
        <f aca="false">IF(AND(H283="United Kingdom",G283&lt;&gt;"",COUNTIFS($G$2:G283,G283,$H$2:H283,"United Kingdom")=1),1,0)</f>
        <v>0</v>
      </c>
    </row>
    <row r="284" customFormat="false" ht="15" hidden="false" customHeight="false" outlineLevel="0" collapsed="false">
      <c r="A284" s="0" t="s">
        <v>142</v>
      </c>
      <c r="B284" s="0" t="s">
        <v>113</v>
      </c>
      <c r="C284" s="0" t="s">
        <v>114</v>
      </c>
      <c r="D284" s="0" t="n">
        <v>7</v>
      </c>
      <c r="E284" s="2" t="n">
        <v>40554.3777777778</v>
      </c>
      <c r="F284" s="0" t="n">
        <v>3.57</v>
      </c>
      <c r="G284" s="0" t="n">
        <v>12377</v>
      </c>
      <c r="H284" s="3" t="s">
        <v>120</v>
      </c>
      <c r="I284" s="4" t="n">
        <f aca="false">D284*F284</f>
        <v>24.99</v>
      </c>
      <c r="J284" s="3" t="n">
        <f aca="false">IF(AND(LEFT(A284,1)&lt;&gt;"C",D284&gt;0,F284&gt;0),1,0)</f>
        <v>1</v>
      </c>
      <c r="K284" s="3" t="n">
        <f aca="false">IF(AND(H284="United Kingdom",G284&lt;&gt;"",COUNTIFS($G$2:G284,G284,$H$2:H284,"United Kingdom")=1),1,0)</f>
        <v>0</v>
      </c>
    </row>
    <row r="285" customFormat="false" ht="15" hidden="false" customHeight="false" outlineLevel="0" collapsed="false">
      <c r="A285" s="0" t="s">
        <v>142</v>
      </c>
      <c r="B285" s="0" t="s">
        <v>43</v>
      </c>
      <c r="C285" s="0" t="s">
        <v>44</v>
      </c>
      <c r="D285" s="0" t="n">
        <v>10</v>
      </c>
      <c r="E285" s="2" t="n">
        <v>40554.3777777778</v>
      </c>
      <c r="F285" s="0" t="n">
        <v>1.35</v>
      </c>
      <c r="G285" s="0" t="n">
        <v>12377</v>
      </c>
      <c r="H285" s="3" t="s">
        <v>120</v>
      </c>
      <c r="I285" s="4" t="n">
        <f aca="false">D285*F285</f>
        <v>13.5</v>
      </c>
      <c r="J285" s="3" t="n">
        <f aca="false">IF(AND(LEFT(A285,1)&lt;&gt;"C",D285&gt;0,F285&gt;0),1,0)</f>
        <v>1</v>
      </c>
      <c r="K285" s="3" t="n">
        <f aca="false">IF(AND(H285="United Kingdom",G285&lt;&gt;"",COUNTIFS($G$2:G285,G285,$H$2:H285,"United Kingdom")=1),1,0)</f>
        <v>0</v>
      </c>
    </row>
    <row r="286" customFormat="false" ht="15" hidden="false" customHeight="false" outlineLevel="0" collapsed="false">
      <c r="A286" s="0" t="s">
        <v>142</v>
      </c>
      <c r="B286" s="0" t="s">
        <v>25</v>
      </c>
      <c r="C286" s="0" t="s">
        <v>26</v>
      </c>
      <c r="D286" s="0" t="n">
        <v>2</v>
      </c>
      <c r="E286" s="2" t="n">
        <v>40554.3777777778</v>
      </c>
      <c r="F286" s="0" t="n">
        <v>2.21</v>
      </c>
      <c r="G286" s="0" t="n">
        <v>12377</v>
      </c>
      <c r="H286" s="3" t="s">
        <v>120</v>
      </c>
      <c r="I286" s="4" t="n">
        <f aca="false">D286*F286</f>
        <v>4.42</v>
      </c>
      <c r="J286" s="3" t="n">
        <f aca="false">IF(AND(LEFT(A286,1)&lt;&gt;"C",D286&gt;0,F286&gt;0),1,0)</f>
        <v>1</v>
      </c>
      <c r="K286" s="3" t="n">
        <f aca="false">IF(AND(H286="United Kingdom",G286&lt;&gt;"",COUNTIFS($G$2:G286,G286,$H$2:H286,"United Kingdom")=1),1,0)</f>
        <v>0</v>
      </c>
    </row>
    <row r="287" customFormat="false" ht="15" hidden="false" customHeight="false" outlineLevel="0" collapsed="false">
      <c r="A287" s="0" t="s">
        <v>143</v>
      </c>
      <c r="B287" s="0" t="s">
        <v>41</v>
      </c>
      <c r="C287" s="0" t="s">
        <v>42</v>
      </c>
      <c r="D287" s="0" t="n">
        <v>48</v>
      </c>
      <c r="E287" s="2" t="n">
        <v>40554.5743055556</v>
      </c>
      <c r="F287" s="0" t="n">
        <v>3.28</v>
      </c>
      <c r="G287" s="0" t="n">
        <v>17669</v>
      </c>
      <c r="H287" s="3" t="s">
        <v>14</v>
      </c>
      <c r="I287" s="4" t="n">
        <f aca="false">D287*F287</f>
        <v>157.44</v>
      </c>
      <c r="J287" s="3" t="n">
        <f aca="false">IF(AND(LEFT(A287,1)&lt;&gt;"C",D287&gt;0,F287&gt;0),1,0)</f>
        <v>1</v>
      </c>
      <c r="K287" s="3" t="n">
        <f aca="false">IF(AND(H287="United Kingdom",G287&lt;&gt;"",COUNTIFS($G$2:G287,G287,$H$2:H287,"United Kingdom")=1),1,0)</f>
        <v>1</v>
      </c>
    </row>
    <row r="288" customFormat="false" ht="15" hidden="false" customHeight="false" outlineLevel="0" collapsed="false">
      <c r="A288" s="0" t="s">
        <v>143</v>
      </c>
      <c r="B288" s="0" t="s">
        <v>20</v>
      </c>
      <c r="C288" s="0" t="s">
        <v>21</v>
      </c>
      <c r="D288" s="0" t="n">
        <v>576</v>
      </c>
      <c r="E288" s="2" t="n">
        <v>40554.5743055556</v>
      </c>
      <c r="F288" s="0" t="n">
        <v>4.24</v>
      </c>
      <c r="G288" s="0" t="n">
        <v>17669</v>
      </c>
      <c r="H288" s="3" t="s">
        <v>14</v>
      </c>
      <c r="I288" s="4" t="n">
        <f aca="false">D288*F288</f>
        <v>2442.24</v>
      </c>
      <c r="J288" s="3" t="n">
        <f aca="false">IF(AND(LEFT(A288,1)&lt;&gt;"C",D288&gt;0,F288&gt;0),1,0)</f>
        <v>1</v>
      </c>
      <c r="K288" s="3" t="n">
        <f aca="false">IF(AND(H288="United Kingdom",G288&lt;&gt;"",COUNTIFS($G$2:G288,G288,$H$2:H288,"United Kingdom")=1),1,0)</f>
        <v>0</v>
      </c>
    </row>
    <row r="289" customFormat="false" ht="15" hidden="false" customHeight="false" outlineLevel="0" collapsed="false">
      <c r="A289" s="0" t="s">
        <v>144</v>
      </c>
      <c r="B289" s="0" t="s">
        <v>39</v>
      </c>
      <c r="C289" s="0" t="s">
        <v>40</v>
      </c>
      <c r="D289" s="0" t="n">
        <v>12</v>
      </c>
      <c r="E289" s="2" t="n">
        <v>40555.75</v>
      </c>
      <c r="F289" s="0" t="n">
        <v>2.58</v>
      </c>
      <c r="G289" s="0" t="n">
        <v>13280</v>
      </c>
      <c r="H289" s="3" t="s">
        <v>14</v>
      </c>
      <c r="I289" s="4" t="n">
        <f aca="false">D289*F289</f>
        <v>30.96</v>
      </c>
      <c r="J289" s="3" t="n">
        <f aca="false">IF(AND(LEFT(A289,1)&lt;&gt;"C",D289&gt;0,F289&gt;0),1,0)</f>
        <v>1</v>
      </c>
      <c r="K289" s="3" t="n">
        <f aca="false">IF(AND(H289="United Kingdom",G289&lt;&gt;"",COUNTIFS($G$2:G289,G289,$H$2:H289,"United Kingdom")=1),1,0)</f>
        <v>1</v>
      </c>
    </row>
    <row r="290" customFormat="false" ht="15" hidden="false" customHeight="false" outlineLevel="0" collapsed="false">
      <c r="A290" s="0" t="s">
        <v>144</v>
      </c>
      <c r="B290" s="0" t="s">
        <v>41</v>
      </c>
      <c r="C290" s="0" t="s">
        <v>42</v>
      </c>
      <c r="D290" s="0" t="n">
        <v>2</v>
      </c>
      <c r="E290" s="2" t="n">
        <v>40555.75</v>
      </c>
      <c r="F290" s="0" t="n">
        <v>3.28</v>
      </c>
      <c r="G290" s="0" t="n">
        <v>13280</v>
      </c>
      <c r="H290" s="3" t="s">
        <v>14</v>
      </c>
      <c r="I290" s="4" t="n">
        <f aca="false">D290*F290</f>
        <v>6.56</v>
      </c>
      <c r="J290" s="3" t="n">
        <f aca="false">IF(AND(LEFT(A290,1)&lt;&gt;"C",D290&gt;0,F290&gt;0),1,0)</f>
        <v>1</v>
      </c>
      <c r="K290" s="3" t="n">
        <f aca="false">IF(AND(H290="United Kingdom",G290&lt;&gt;"",COUNTIFS($G$2:G290,G290,$H$2:H290,"United Kingdom")=1),1,0)</f>
        <v>0</v>
      </c>
    </row>
    <row r="291" customFormat="false" ht="15" hidden="false" customHeight="false" outlineLevel="0" collapsed="false">
      <c r="A291" s="0" t="s">
        <v>144</v>
      </c>
      <c r="B291" s="0" t="s">
        <v>54</v>
      </c>
      <c r="C291" s="0" t="s">
        <v>55</v>
      </c>
      <c r="D291" s="0" t="n">
        <v>2</v>
      </c>
      <c r="E291" s="2" t="n">
        <v>40555.75</v>
      </c>
      <c r="F291" s="0" t="n">
        <v>0.99</v>
      </c>
      <c r="G291" s="0" t="n">
        <v>13280</v>
      </c>
      <c r="H291" s="3" t="s">
        <v>14</v>
      </c>
      <c r="I291" s="4" t="n">
        <f aca="false">D291*F291</f>
        <v>1.98</v>
      </c>
      <c r="J291" s="3" t="n">
        <f aca="false">IF(AND(LEFT(A291,1)&lt;&gt;"C",D291&gt;0,F291&gt;0),1,0)</f>
        <v>1</v>
      </c>
      <c r="K291" s="3" t="n">
        <f aca="false">IF(AND(H291="United Kingdom",G291&lt;&gt;"",COUNTIFS($G$2:G291,G291,$H$2:H291,"United Kingdom")=1),1,0)</f>
        <v>0</v>
      </c>
    </row>
    <row r="292" customFormat="false" ht="15" hidden="false" customHeight="false" outlineLevel="0" collapsed="false">
      <c r="A292" s="0" t="s">
        <v>144</v>
      </c>
      <c r="B292" s="0" t="s">
        <v>113</v>
      </c>
      <c r="C292" s="0" t="s">
        <v>114</v>
      </c>
      <c r="D292" s="0" t="n">
        <v>6</v>
      </c>
      <c r="E292" s="2" t="n">
        <v>40555.75</v>
      </c>
      <c r="F292" s="0" t="n">
        <v>3.57</v>
      </c>
      <c r="G292" s="0" t="n">
        <v>13280</v>
      </c>
      <c r="H292" s="3" t="s">
        <v>14</v>
      </c>
      <c r="I292" s="4" t="n">
        <f aca="false">D292*F292</f>
        <v>21.42</v>
      </c>
      <c r="J292" s="3" t="n">
        <f aca="false">IF(AND(LEFT(A292,1)&lt;&gt;"C",D292&gt;0,F292&gt;0),1,0)</f>
        <v>1</v>
      </c>
      <c r="K292" s="3" t="n">
        <f aca="false">IF(AND(H292="United Kingdom",G292&lt;&gt;"",COUNTIFS($G$2:G292,G292,$H$2:H292,"United Kingdom")=1),1,0)</f>
        <v>0</v>
      </c>
    </row>
    <row r="293" customFormat="false" ht="15" hidden="false" customHeight="false" outlineLevel="0" collapsed="false">
      <c r="A293" s="0" t="s">
        <v>144</v>
      </c>
      <c r="B293" s="0" t="s">
        <v>22</v>
      </c>
      <c r="C293" s="0" t="s">
        <v>23</v>
      </c>
      <c r="D293" s="0" t="n">
        <v>4</v>
      </c>
      <c r="E293" s="2" t="n">
        <v>40555.75</v>
      </c>
      <c r="F293" s="0" t="n">
        <v>3.18</v>
      </c>
      <c r="G293" s="0" t="n">
        <v>13280</v>
      </c>
      <c r="H293" s="3" t="s">
        <v>14</v>
      </c>
      <c r="I293" s="4" t="n">
        <f aca="false">D293*F293</f>
        <v>12.72</v>
      </c>
      <c r="J293" s="3" t="n">
        <f aca="false">IF(AND(LEFT(A293,1)&lt;&gt;"C",D293&gt;0,F293&gt;0),1,0)</f>
        <v>1</v>
      </c>
      <c r="K293" s="3" t="n">
        <f aca="false">IF(AND(H293="United Kingdom",G293&lt;&gt;"",COUNTIFS($G$2:G293,G293,$H$2:H293,"United Kingdom")=1),1,0)</f>
        <v>0</v>
      </c>
    </row>
    <row r="294" customFormat="false" ht="15" hidden="false" customHeight="false" outlineLevel="0" collapsed="false">
      <c r="A294" s="0" t="s">
        <v>144</v>
      </c>
      <c r="B294" s="0" t="s">
        <v>80</v>
      </c>
      <c r="C294" s="0" t="s">
        <v>81</v>
      </c>
      <c r="D294" s="0" t="n">
        <v>12</v>
      </c>
      <c r="E294" s="2" t="n">
        <v>40555.75</v>
      </c>
      <c r="F294" s="0" t="n">
        <v>1.53</v>
      </c>
      <c r="G294" s="0" t="n">
        <v>13280</v>
      </c>
      <c r="H294" s="3" t="s">
        <v>14</v>
      </c>
      <c r="I294" s="4" t="n">
        <f aca="false">D294*F294</f>
        <v>18.36</v>
      </c>
      <c r="J294" s="3" t="n">
        <f aca="false">IF(AND(LEFT(A294,1)&lt;&gt;"C",D294&gt;0,F294&gt;0),1,0)</f>
        <v>1</v>
      </c>
      <c r="K294" s="3" t="n">
        <f aca="false">IF(AND(H294="United Kingdom",G294&lt;&gt;"",COUNTIFS($G$2:G294,G294,$H$2:H294,"United Kingdom")=1),1,0)</f>
        <v>0</v>
      </c>
    </row>
    <row r="295" customFormat="false" ht="15" hidden="false" customHeight="false" outlineLevel="0" collapsed="false">
      <c r="A295" s="0" t="s">
        <v>144</v>
      </c>
      <c r="B295" s="0" t="s">
        <v>43</v>
      </c>
      <c r="C295" s="0" t="s">
        <v>44</v>
      </c>
      <c r="D295" s="0" t="n">
        <v>6</v>
      </c>
      <c r="E295" s="2" t="n">
        <v>40555.75</v>
      </c>
      <c r="F295" s="0" t="n">
        <v>1.35</v>
      </c>
      <c r="G295" s="0" t="n">
        <v>13280</v>
      </c>
      <c r="H295" s="3" t="s">
        <v>14</v>
      </c>
      <c r="I295" s="4" t="n">
        <f aca="false">D295*F295</f>
        <v>8.1</v>
      </c>
      <c r="J295" s="3" t="n">
        <f aca="false">IF(AND(LEFT(A295,1)&lt;&gt;"C",D295&gt;0,F295&gt;0),1,0)</f>
        <v>1</v>
      </c>
      <c r="K295" s="3" t="n">
        <f aca="false">IF(AND(H295="United Kingdom",G295&lt;&gt;"",COUNTIFS($G$2:G295,G295,$H$2:H295,"United Kingdom")=1),1,0)</f>
        <v>0</v>
      </c>
    </row>
    <row r="296" customFormat="false" ht="15" hidden="false" customHeight="false" outlineLevel="0" collapsed="false">
      <c r="A296" s="0" t="s">
        <v>144</v>
      </c>
      <c r="B296" s="0" t="s">
        <v>20</v>
      </c>
      <c r="C296" s="0" t="s">
        <v>21</v>
      </c>
      <c r="D296" s="0" t="n">
        <v>2</v>
      </c>
      <c r="E296" s="2" t="n">
        <v>40555.75</v>
      </c>
      <c r="F296" s="0" t="n">
        <v>4.24</v>
      </c>
      <c r="G296" s="0" t="n">
        <v>13280</v>
      </c>
      <c r="H296" s="3" t="s">
        <v>14</v>
      </c>
      <c r="I296" s="4" t="n">
        <f aca="false">D296*F296</f>
        <v>8.48</v>
      </c>
      <c r="J296" s="3" t="n">
        <f aca="false">IF(AND(LEFT(A296,1)&lt;&gt;"C",D296&gt;0,F296&gt;0),1,0)</f>
        <v>1</v>
      </c>
      <c r="K296" s="3" t="n">
        <f aca="false">IF(AND(H296="United Kingdom",G296&lt;&gt;"",COUNTIFS($G$2:G296,G296,$H$2:H296,"United Kingdom")=1),1,0)</f>
        <v>0</v>
      </c>
    </row>
    <row r="297" customFormat="false" ht="15" hidden="false" customHeight="false" outlineLevel="0" collapsed="false">
      <c r="A297" s="0" t="s">
        <v>144</v>
      </c>
      <c r="B297" s="0" t="s">
        <v>25</v>
      </c>
      <c r="C297" s="0" t="s">
        <v>26</v>
      </c>
      <c r="D297" s="0" t="n">
        <v>12</v>
      </c>
      <c r="E297" s="2" t="n">
        <v>40555.75</v>
      </c>
      <c r="F297" s="0" t="n">
        <v>2.21</v>
      </c>
      <c r="G297" s="0" t="n">
        <v>13280</v>
      </c>
      <c r="H297" s="3" t="s">
        <v>14</v>
      </c>
      <c r="I297" s="4" t="n">
        <f aca="false">D297*F297</f>
        <v>26.52</v>
      </c>
      <c r="J297" s="3" t="n">
        <f aca="false">IF(AND(LEFT(A297,1)&lt;&gt;"C",D297&gt;0,F297&gt;0),1,0)</f>
        <v>1</v>
      </c>
      <c r="K297" s="3" t="n">
        <f aca="false">IF(AND(H297="United Kingdom",G297&lt;&gt;"",COUNTIFS($G$2:G297,G297,$H$2:H297,"United Kingdom")=1),1,0)</f>
        <v>0</v>
      </c>
    </row>
    <row r="298" customFormat="false" ht="15" hidden="false" customHeight="false" outlineLevel="0" collapsed="false">
      <c r="A298" s="0" t="s">
        <v>144</v>
      </c>
      <c r="B298" s="0" t="s">
        <v>37</v>
      </c>
      <c r="C298" s="0" t="s">
        <v>38</v>
      </c>
      <c r="D298" s="0" t="n">
        <v>4</v>
      </c>
      <c r="E298" s="2" t="n">
        <v>40555.75</v>
      </c>
      <c r="F298" s="0" t="n">
        <v>1.82</v>
      </c>
      <c r="G298" s="0" t="n">
        <v>13280</v>
      </c>
      <c r="H298" s="3" t="s">
        <v>14</v>
      </c>
      <c r="I298" s="4" t="n">
        <f aca="false">D298*F298</f>
        <v>7.28</v>
      </c>
      <c r="J298" s="3" t="n">
        <f aca="false">IF(AND(LEFT(A298,1)&lt;&gt;"C",D298&gt;0,F298&gt;0),1,0)</f>
        <v>1</v>
      </c>
      <c r="K298" s="3" t="n">
        <f aca="false">IF(AND(H298="United Kingdom",G298&lt;&gt;"",COUNTIFS($G$2:G298,G298,$H$2:H298,"United Kingdom")=1),1,0)</f>
        <v>0</v>
      </c>
    </row>
    <row r="299" customFormat="false" ht="15" hidden="false" customHeight="false" outlineLevel="0" collapsed="false">
      <c r="A299" s="0" t="s">
        <v>145</v>
      </c>
      <c r="B299" s="0" t="s">
        <v>12</v>
      </c>
      <c r="C299" s="0" t="s">
        <v>13</v>
      </c>
      <c r="D299" s="0" t="n">
        <v>3</v>
      </c>
      <c r="E299" s="2" t="n">
        <v>40556.8097222222</v>
      </c>
      <c r="F299" s="0" t="n">
        <v>3.33</v>
      </c>
      <c r="G299" s="0" t="n">
        <v>17690</v>
      </c>
      <c r="H299" s="3" t="s">
        <v>14</v>
      </c>
      <c r="I299" s="4" t="n">
        <f aca="false">D299*F299</f>
        <v>9.99</v>
      </c>
      <c r="J299" s="3" t="n">
        <f aca="false">IF(AND(LEFT(A299,1)&lt;&gt;"C",D299&gt;0,F299&gt;0),1,0)</f>
        <v>1</v>
      </c>
      <c r="K299" s="3" t="n">
        <f aca="false">IF(AND(H299="United Kingdom",G299&lt;&gt;"",COUNTIFS($G$2:G299,G299,$H$2:H299,"United Kingdom")=1),1,0)</f>
        <v>1</v>
      </c>
    </row>
    <row r="300" customFormat="false" ht="15" hidden="false" customHeight="false" outlineLevel="0" collapsed="false">
      <c r="A300" s="0" t="s">
        <v>146</v>
      </c>
      <c r="B300" s="0" t="s">
        <v>27</v>
      </c>
      <c r="C300" s="0" t="s">
        <v>28</v>
      </c>
      <c r="D300" s="0" t="n">
        <v>4</v>
      </c>
      <c r="E300" s="2" t="n">
        <v>40557.40625</v>
      </c>
      <c r="F300" s="0" t="n">
        <v>4.55</v>
      </c>
      <c r="G300" s="0" t="n">
        <v>18034</v>
      </c>
      <c r="H300" s="3" t="s">
        <v>14</v>
      </c>
      <c r="I300" s="4" t="n">
        <f aca="false">D300*F300</f>
        <v>18.2</v>
      </c>
      <c r="J300" s="3" t="n">
        <f aca="false">IF(AND(LEFT(A300,1)&lt;&gt;"C",D300&gt;0,F300&gt;0),1,0)</f>
        <v>1</v>
      </c>
      <c r="K300" s="3" t="n">
        <f aca="false">IF(AND(H300="United Kingdom",G300&lt;&gt;"",COUNTIFS($G$2:G300,G300,$H$2:H300,"United Kingdom")=1),1,0)</f>
        <v>1</v>
      </c>
    </row>
    <row r="301" customFormat="false" ht="15" hidden="false" customHeight="false" outlineLevel="0" collapsed="false">
      <c r="A301" s="0" t="s">
        <v>146</v>
      </c>
      <c r="B301" s="0" t="s">
        <v>15</v>
      </c>
      <c r="C301" s="0" t="s">
        <v>16</v>
      </c>
      <c r="D301" s="0" t="n">
        <v>2</v>
      </c>
      <c r="E301" s="2" t="n">
        <v>40557.40625</v>
      </c>
      <c r="F301" s="0" t="n">
        <v>3.18</v>
      </c>
      <c r="G301" s="0" t="n">
        <v>18034</v>
      </c>
      <c r="H301" s="3" t="s">
        <v>14</v>
      </c>
      <c r="I301" s="4" t="n">
        <f aca="false">D301*F301</f>
        <v>6.36</v>
      </c>
      <c r="J301" s="3" t="n">
        <f aca="false">IF(AND(LEFT(A301,1)&lt;&gt;"C",D301&gt;0,F301&gt;0),1,0)</f>
        <v>1</v>
      </c>
      <c r="K301" s="3" t="n">
        <f aca="false">IF(AND(H301="United Kingdom",G301&lt;&gt;"",COUNTIFS($G$2:G301,G301,$H$2:H301,"United Kingdom")=1),1,0)</f>
        <v>0</v>
      </c>
    </row>
    <row r="302" customFormat="false" ht="15" hidden="false" customHeight="false" outlineLevel="0" collapsed="false">
      <c r="A302" s="0" t="s">
        <v>146</v>
      </c>
      <c r="B302" s="0" t="s">
        <v>63</v>
      </c>
      <c r="C302" s="0" t="s">
        <v>64</v>
      </c>
      <c r="D302" s="0" t="n">
        <v>8</v>
      </c>
      <c r="E302" s="2" t="n">
        <v>40557.40625</v>
      </c>
      <c r="F302" s="0" t="n">
        <v>2.43</v>
      </c>
      <c r="G302" s="0" t="n">
        <v>18034</v>
      </c>
      <c r="H302" s="3" t="s">
        <v>14</v>
      </c>
      <c r="I302" s="4" t="n">
        <f aca="false">D302*F302</f>
        <v>19.44</v>
      </c>
      <c r="J302" s="3" t="n">
        <f aca="false">IF(AND(LEFT(A302,1)&lt;&gt;"C",D302&gt;0,F302&gt;0),1,0)</f>
        <v>1</v>
      </c>
      <c r="K302" s="3" t="n">
        <f aca="false">IF(AND(H302="United Kingdom",G302&lt;&gt;"",COUNTIFS($G$2:G302,G302,$H$2:H302,"United Kingdom")=1),1,0)</f>
        <v>0</v>
      </c>
    </row>
    <row r="303" customFormat="false" ht="15" hidden="false" customHeight="false" outlineLevel="0" collapsed="false">
      <c r="A303" s="0" t="s">
        <v>146</v>
      </c>
      <c r="B303" s="0" t="s">
        <v>34</v>
      </c>
      <c r="C303" s="0" t="s">
        <v>35</v>
      </c>
      <c r="D303" s="0" t="n">
        <v>1</v>
      </c>
      <c r="E303" s="2" t="n">
        <v>40557.40625</v>
      </c>
      <c r="F303" s="0" t="n">
        <v>2.38</v>
      </c>
      <c r="G303" s="0" t="n">
        <v>18034</v>
      </c>
      <c r="H303" s="3" t="s">
        <v>14</v>
      </c>
      <c r="I303" s="4" t="n">
        <f aca="false">D303*F303</f>
        <v>2.38</v>
      </c>
      <c r="J303" s="3" t="n">
        <f aca="false">IF(AND(LEFT(A303,1)&lt;&gt;"C",D303&gt;0,F303&gt;0),1,0)</f>
        <v>1</v>
      </c>
      <c r="K303" s="3" t="n">
        <f aca="false">IF(AND(H303="United Kingdom",G303&lt;&gt;"",COUNTIFS($G$2:G303,G303,$H$2:H303,"United Kingdom")=1),1,0)</f>
        <v>0</v>
      </c>
    </row>
    <row r="304" customFormat="false" ht="15" hidden="false" customHeight="false" outlineLevel="0" collapsed="false">
      <c r="A304" s="0" t="s">
        <v>146</v>
      </c>
      <c r="B304" s="0" t="s">
        <v>54</v>
      </c>
      <c r="C304" s="0" t="s">
        <v>55</v>
      </c>
      <c r="D304" s="0" t="n">
        <v>4</v>
      </c>
      <c r="E304" s="2" t="n">
        <v>40557.40625</v>
      </c>
      <c r="F304" s="0" t="n">
        <v>0.99</v>
      </c>
      <c r="G304" s="0" t="n">
        <v>18034</v>
      </c>
      <c r="H304" s="3" t="s">
        <v>14</v>
      </c>
      <c r="I304" s="4" t="n">
        <f aca="false">D304*F304</f>
        <v>3.96</v>
      </c>
      <c r="J304" s="3" t="n">
        <f aca="false">IF(AND(LEFT(A304,1)&lt;&gt;"C",D304&gt;0,F304&gt;0),1,0)</f>
        <v>1</v>
      </c>
      <c r="K304" s="3" t="n">
        <f aca="false">IF(AND(H304="United Kingdom",G304&lt;&gt;"",COUNTIFS($G$2:G304,G304,$H$2:H304,"United Kingdom")=1),1,0)</f>
        <v>0</v>
      </c>
    </row>
    <row r="305" customFormat="false" ht="15" hidden="false" customHeight="false" outlineLevel="0" collapsed="false">
      <c r="A305" s="0" t="s">
        <v>146</v>
      </c>
      <c r="B305" s="0" t="s">
        <v>45</v>
      </c>
      <c r="C305" s="0" t="s">
        <v>46</v>
      </c>
      <c r="D305" s="0" t="n">
        <v>8</v>
      </c>
      <c r="E305" s="2" t="n">
        <v>40557.40625</v>
      </c>
      <c r="F305" s="0" t="n">
        <v>4.55</v>
      </c>
      <c r="G305" s="0" t="n">
        <v>18034</v>
      </c>
      <c r="H305" s="3" t="s">
        <v>14</v>
      </c>
      <c r="I305" s="4" t="n">
        <f aca="false">D305*F305</f>
        <v>36.4</v>
      </c>
      <c r="J305" s="3" t="n">
        <f aca="false">IF(AND(LEFT(A305,1)&lt;&gt;"C",D305&gt;0,F305&gt;0),1,0)</f>
        <v>1</v>
      </c>
      <c r="K305" s="3" t="n">
        <f aca="false">IF(AND(H305="United Kingdom",G305&lt;&gt;"",COUNTIFS($G$2:G305,G305,$H$2:H305,"United Kingdom")=1),1,0)</f>
        <v>0</v>
      </c>
    </row>
    <row r="306" customFormat="false" ht="15" hidden="false" customHeight="false" outlineLevel="0" collapsed="false">
      <c r="A306" s="0" t="s">
        <v>147</v>
      </c>
      <c r="B306" s="0" t="s">
        <v>43</v>
      </c>
      <c r="C306" s="0" t="s">
        <v>44</v>
      </c>
      <c r="D306" s="0" t="n">
        <v>-1</v>
      </c>
      <c r="E306" s="2" t="n">
        <v>40558.3777777778</v>
      </c>
      <c r="F306" s="0" t="n">
        <v>1.35</v>
      </c>
      <c r="G306" s="0" t="n">
        <v>12377</v>
      </c>
      <c r="H306" s="3" t="s">
        <v>120</v>
      </c>
      <c r="I306" s="4" t="n">
        <f aca="false">D306*F306</f>
        <v>-1.35</v>
      </c>
      <c r="J306" s="3" t="n">
        <f aca="false">IF(AND(LEFT(A306,1)&lt;&gt;"C",D306&gt;0,F306&gt;0),1,0)</f>
        <v>0</v>
      </c>
      <c r="K306" s="3" t="n">
        <f aca="false">IF(AND(H306="United Kingdom",G306&lt;&gt;"",COUNTIFS($G$2:G306,G306,$H$2:H306,"United Kingdom")=1),1,0)</f>
        <v>0</v>
      </c>
    </row>
    <row r="307" customFormat="false" ht="15" hidden="false" customHeight="false" outlineLevel="0" collapsed="false">
      <c r="A307" s="0" t="s">
        <v>148</v>
      </c>
      <c r="B307" s="0" t="s">
        <v>27</v>
      </c>
      <c r="C307" s="0" t="s">
        <v>28</v>
      </c>
      <c r="D307" s="0" t="n">
        <v>3</v>
      </c>
      <c r="E307" s="2" t="n">
        <v>40558.4145833333</v>
      </c>
      <c r="F307" s="0" t="n">
        <v>4.55</v>
      </c>
      <c r="G307" s="0" t="n">
        <v>15943</v>
      </c>
      <c r="H307" s="3" t="s">
        <v>14</v>
      </c>
      <c r="I307" s="4" t="n">
        <f aca="false">D307*F307</f>
        <v>13.65</v>
      </c>
      <c r="J307" s="3" t="n">
        <f aca="false">IF(AND(LEFT(A307,1)&lt;&gt;"C",D307&gt;0,F307&gt;0),1,0)</f>
        <v>1</v>
      </c>
      <c r="K307" s="3" t="n">
        <f aca="false">IF(AND(H307="United Kingdom",G307&lt;&gt;"",COUNTIFS($G$2:G307,G307,$H$2:H307,"United Kingdom")=1),1,0)</f>
        <v>0</v>
      </c>
    </row>
    <row r="308" customFormat="false" ht="15" hidden="false" customHeight="false" outlineLevel="0" collapsed="false">
      <c r="A308" s="0" t="s">
        <v>149</v>
      </c>
      <c r="B308" s="0" t="s">
        <v>58</v>
      </c>
      <c r="C308" s="0" t="s">
        <v>59</v>
      </c>
      <c r="D308" s="0" t="n">
        <v>8</v>
      </c>
      <c r="E308" s="2" t="n">
        <v>40559.5194444444</v>
      </c>
      <c r="F308" s="0" t="n">
        <v>2.16</v>
      </c>
      <c r="G308" s="0" t="n">
        <v>16499</v>
      </c>
      <c r="H308" s="3" t="s">
        <v>14</v>
      </c>
      <c r="I308" s="4" t="n">
        <f aca="false">D308*F308</f>
        <v>17.28</v>
      </c>
      <c r="J308" s="3" t="n">
        <f aca="false">IF(AND(LEFT(A308,1)&lt;&gt;"C",D308&gt;0,F308&gt;0),1,0)</f>
        <v>1</v>
      </c>
      <c r="K308" s="3" t="n">
        <f aca="false">IF(AND(H308="United Kingdom",G308&lt;&gt;"",COUNTIFS($G$2:G308,G308,$H$2:H308,"United Kingdom")=1),1,0)</f>
        <v>0</v>
      </c>
    </row>
    <row r="309" customFormat="false" ht="15" hidden="false" customHeight="false" outlineLevel="0" collapsed="false">
      <c r="A309" s="0" t="s">
        <v>149</v>
      </c>
      <c r="B309" s="0" t="s">
        <v>34</v>
      </c>
      <c r="C309" s="0" t="s">
        <v>35</v>
      </c>
      <c r="D309" s="0" t="n">
        <v>1</v>
      </c>
      <c r="E309" s="2" t="n">
        <v>40559.5194444444</v>
      </c>
      <c r="F309" s="0" t="n">
        <v>2.38</v>
      </c>
      <c r="G309" s="0" t="n">
        <v>16499</v>
      </c>
      <c r="H309" s="3" t="s">
        <v>14</v>
      </c>
      <c r="I309" s="4" t="n">
        <f aca="false">D309*F309</f>
        <v>2.38</v>
      </c>
      <c r="J309" s="3" t="n">
        <f aca="false">IF(AND(LEFT(A309,1)&lt;&gt;"C",D309&gt;0,F309&gt;0),1,0)</f>
        <v>1</v>
      </c>
      <c r="K309" s="3" t="n">
        <f aca="false">IF(AND(H309="United Kingdom",G309&lt;&gt;"",COUNTIFS($G$2:G309,G309,$H$2:H309,"United Kingdom")=1),1,0)</f>
        <v>0</v>
      </c>
    </row>
    <row r="310" customFormat="false" ht="15" hidden="false" customHeight="false" outlineLevel="0" collapsed="false">
      <c r="A310" s="0" t="s">
        <v>149</v>
      </c>
      <c r="B310" s="0" t="s">
        <v>60</v>
      </c>
      <c r="C310" s="0" t="s">
        <v>61</v>
      </c>
      <c r="D310" s="0" t="n">
        <v>24</v>
      </c>
      <c r="E310" s="2" t="n">
        <v>40559.5194444444</v>
      </c>
      <c r="F310" s="0" t="n">
        <v>0.63</v>
      </c>
      <c r="G310" s="0" t="n">
        <v>16499</v>
      </c>
      <c r="H310" s="3" t="s">
        <v>14</v>
      </c>
      <c r="I310" s="4" t="n">
        <f aca="false">D310*F310</f>
        <v>15.12</v>
      </c>
      <c r="J310" s="3" t="n">
        <f aca="false">IF(AND(LEFT(A310,1)&lt;&gt;"C",D310&gt;0,F310&gt;0),1,0)</f>
        <v>1</v>
      </c>
      <c r="K310" s="3" t="n">
        <f aca="false">IF(AND(H310="United Kingdom",G310&lt;&gt;"",COUNTIFS($G$2:G310,G310,$H$2:H310,"United Kingdom")=1),1,0)</f>
        <v>0</v>
      </c>
    </row>
    <row r="311" customFormat="false" ht="15" hidden="false" customHeight="false" outlineLevel="0" collapsed="false">
      <c r="A311" s="0" t="s">
        <v>149</v>
      </c>
      <c r="B311" s="0" t="s">
        <v>48</v>
      </c>
      <c r="C311" s="0" t="s">
        <v>49</v>
      </c>
      <c r="D311" s="0" t="n">
        <v>2</v>
      </c>
      <c r="E311" s="2" t="n">
        <v>40559.5194444444</v>
      </c>
      <c r="F311" s="0" t="n">
        <v>1.35</v>
      </c>
      <c r="G311" s="0" t="n">
        <v>16499</v>
      </c>
      <c r="H311" s="3" t="s">
        <v>14</v>
      </c>
      <c r="I311" s="4" t="n">
        <f aca="false">D311*F311</f>
        <v>2.7</v>
      </c>
      <c r="J311" s="3" t="n">
        <f aca="false">IF(AND(LEFT(A311,1)&lt;&gt;"C",D311&gt;0,F311&gt;0),1,0)</f>
        <v>1</v>
      </c>
      <c r="K311" s="3" t="n">
        <f aca="false">IF(AND(H311="United Kingdom",G311&lt;&gt;"",COUNTIFS($G$2:G311,G311,$H$2:H311,"United Kingdom")=1),1,0)</f>
        <v>0</v>
      </c>
    </row>
    <row r="312" customFormat="false" ht="15" hidden="false" customHeight="false" outlineLevel="0" collapsed="false">
      <c r="A312" s="0" t="s">
        <v>149</v>
      </c>
      <c r="B312" s="0" t="s">
        <v>68</v>
      </c>
      <c r="C312" s="0" t="s">
        <v>69</v>
      </c>
      <c r="D312" s="0" t="n">
        <v>24</v>
      </c>
      <c r="E312" s="2" t="n">
        <v>40559.5194444444</v>
      </c>
      <c r="F312" s="0" t="n">
        <v>1.26</v>
      </c>
      <c r="G312" s="0" t="n">
        <v>16499</v>
      </c>
      <c r="H312" s="3" t="s">
        <v>14</v>
      </c>
      <c r="I312" s="4" t="n">
        <f aca="false">D312*F312</f>
        <v>30.24</v>
      </c>
      <c r="J312" s="3" t="n">
        <f aca="false">IF(AND(LEFT(A312,1)&lt;&gt;"C",D312&gt;0,F312&gt;0),1,0)</f>
        <v>1</v>
      </c>
      <c r="K312" s="3" t="n">
        <f aca="false">IF(AND(H312="United Kingdom",G312&lt;&gt;"",COUNTIFS($G$2:G312,G312,$H$2:H312,"United Kingdom")=1),1,0)</f>
        <v>0</v>
      </c>
    </row>
    <row r="313" customFormat="false" ht="15" hidden="false" customHeight="false" outlineLevel="0" collapsed="false">
      <c r="A313" s="0" t="s">
        <v>149</v>
      </c>
      <c r="B313" s="0" t="s">
        <v>77</v>
      </c>
      <c r="C313" s="0" t="s">
        <v>78</v>
      </c>
      <c r="D313" s="0" t="n">
        <v>3</v>
      </c>
      <c r="E313" s="2" t="n">
        <v>40559.5194444444</v>
      </c>
      <c r="F313" s="0" t="n">
        <v>3.41</v>
      </c>
      <c r="G313" s="0" t="n">
        <v>16499</v>
      </c>
      <c r="H313" s="3" t="s">
        <v>14</v>
      </c>
      <c r="I313" s="4" t="n">
        <f aca="false">D313*F313</f>
        <v>10.23</v>
      </c>
      <c r="J313" s="3" t="n">
        <f aca="false">IF(AND(LEFT(A313,1)&lt;&gt;"C",D313&gt;0,F313&gt;0),1,0)</f>
        <v>1</v>
      </c>
      <c r="K313" s="3" t="n">
        <f aca="false">IF(AND(H313="United Kingdom",G313&lt;&gt;"",COUNTIFS($G$2:G313,G313,$H$2:H313,"United Kingdom")=1),1,0)</f>
        <v>0</v>
      </c>
    </row>
    <row r="314" customFormat="false" ht="15" hidden="false" customHeight="false" outlineLevel="0" collapsed="false">
      <c r="A314" s="0" t="s">
        <v>149</v>
      </c>
      <c r="B314" s="0" t="s">
        <v>65</v>
      </c>
      <c r="C314" s="0" t="s">
        <v>66</v>
      </c>
      <c r="D314" s="0" t="n">
        <v>3</v>
      </c>
      <c r="E314" s="2" t="n">
        <v>40559.5194444444</v>
      </c>
      <c r="F314" s="0" t="n">
        <v>4.75</v>
      </c>
      <c r="G314" s="0" t="n">
        <v>16499</v>
      </c>
      <c r="H314" s="3" t="s">
        <v>14</v>
      </c>
      <c r="I314" s="4" t="n">
        <f aca="false">D314*F314</f>
        <v>14.25</v>
      </c>
      <c r="J314" s="3" t="n">
        <f aca="false">IF(AND(LEFT(A314,1)&lt;&gt;"C",D314&gt;0,F314&gt;0),1,0)</f>
        <v>1</v>
      </c>
      <c r="K314" s="3" t="n">
        <f aca="false">IF(AND(H314="United Kingdom",G314&lt;&gt;"",COUNTIFS($G$2:G314,G314,$H$2:H314,"United Kingdom")=1),1,0)</f>
        <v>0</v>
      </c>
    </row>
    <row r="315" customFormat="false" ht="15" hidden="false" customHeight="false" outlineLevel="0" collapsed="false">
      <c r="A315" s="0" t="s">
        <v>149</v>
      </c>
      <c r="B315" s="0" t="s">
        <v>45</v>
      </c>
      <c r="C315" s="0" t="s">
        <v>46</v>
      </c>
      <c r="D315" s="0" t="n">
        <v>1</v>
      </c>
      <c r="E315" s="2" t="n">
        <v>40559.5194444444</v>
      </c>
      <c r="F315" s="0" t="n">
        <v>4.55</v>
      </c>
      <c r="G315" s="0" t="n">
        <v>16499</v>
      </c>
      <c r="H315" s="3" t="s">
        <v>14</v>
      </c>
      <c r="I315" s="4" t="n">
        <f aca="false">D315*F315</f>
        <v>4.55</v>
      </c>
      <c r="J315" s="3" t="n">
        <f aca="false">IF(AND(LEFT(A315,1)&lt;&gt;"C",D315&gt;0,F315&gt;0),1,0)</f>
        <v>1</v>
      </c>
      <c r="K315" s="3" t="n">
        <f aca="false">IF(AND(H315="United Kingdom",G315&lt;&gt;"",COUNTIFS($G$2:G315,G315,$H$2:H315,"United Kingdom")=1),1,0)</f>
        <v>0</v>
      </c>
    </row>
    <row r="316" customFormat="false" ht="15" hidden="false" customHeight="false" outlineLevel="0" collapsed="false">
      <c r="A316" s="0" t="s">
        <v>149</v>
      </c>
      <c r="B316" s="0" t="s">
        <v>72</v>
      </c>
      <c r="C316" s="0" t="s">
        <v>73</v>
      </c>
      <c r="D316" s="0" t="n">
        <v>4</v>
      </c>
      <c r="E316" s="2" t="n">
        <v>40559.5194444444</v>
      </c>
      <c r="F316" s="0" t="n">
        <v>2.69</v>
      </c>
      <c r="G316" s="0" t="n">
        <v>16499</v>
      </c>
      <c r="H316" s="3" t="s">
        <v>14</v>
      </c>
      <c r="I316" s="4" t="n">
        <f aca="false">D316*F316</f>
        <v>10.76</v>
      </c>
      <c r="J316" s="3" t="n">
        <f aca="false">IF(AND(LEFT(A316,1)&lt;&gt;"C",D316&gt;0,F316&gt;0),1,0)</f>
        <v>1</v>
      </c>
      <c r="K316" s="3" t="n">
        <f aca="false">IF(AND(H316="United Kingdom",G316&lt;&gt;"",COUNTIFS($G$2:G316,G316,$H$2:H316,"United Kingdom")=1),1,0)</f>
        <v>0</v>
      </c>
    </row>
    <row r="317" customFormat="false" ht="15" hidden="false" customHeight="false" outlineLevel="0" collapsed="false">
      <c r="A317" s="0" t="s">
        <v>149</v>
      </c>
      <c r="B317" s="0" t="s">
        <v>90</v>
      </c>
      <c r="C317" s="0" t="s">
        <v>91</v>
      </c>
      <c r="D317" s="0" t="n">
        <v>1</v>
      </c>
      <c r="E317" s="2" t="n">
        <v>40559.5194444444</v>
      </c>
      <c r="F317" s="0" t="n">
        <v>3.04</v>
      </c>
      <c r="G317" s="0" t="n">
        <v>16499</v>
      </c>
      <c r="H317" s="3" t="s">
        <v>14</v>
      </c>
      <c r="I317" s="4" t="n">
        <f aca="false">D317*F317</f>
        <v>3.04</v>
      </c>
      <c r="J317" s="3" t="n">
        <f aca="false">IF(AND(LEFT(A317,1)&lt;&gt;"C",D317&gt;0,F317&gt;0),1,0)</f>
        <v>1</v>
      </c>
      <c r="K317" s="3" t="n">
        <f aca="false">IF(AND(H317="United Kingdom",G317&lt;&gt;"",COUNTIFS($G$2:G317,G317,$H$2:H317,"United Kingdom")=1),1,0)</f>
        <v>0</v>
      </c>
    </row>
    <row r="318" customFormat="false" ht="15" hidden="false" customHeight="false" outlineLevel="0" collapsed="false">
      <c r="A318" s="0" t="s">
        <v>149</v>
      </c>
      <c r="B318" s="0" t="s">
        <v>12</v>
      </c>
      <c r="C318" s="0" t="s">
        <v>13</v>
      </c>
      <c r="D318" s="0" t="n">
        <v>3</v>
      </c>
      <c r="E318" s="2" t="n">
        <v>40559.5194444444</v>
      </c>
      <c r="F318" s="0" t="n">
        <v>3.33</v>
      </c>
      <c r="G318" s="0" t="n">
        <v>16499</v>
      </c>
      <c r="H318" s="3" t="s">
        <v>14</v>
      </c>
      <c r="I318" s="4" t="n">
        <f aca="false">D318*F318</f>
        <v>9.99</v>
      </c>
      <c r="J318" s="3" t="n">
        <f aca="false">IF(AND(LEFT(A318,1)&lt;&gt;"C",D318&gt;0,F318&gt;0),1,0)</f>
        <v>1</v>
      </c>
      <c r="K318" s="3" t="n">
        <f aca="false">IF(AND(H318="United Kingdom",G318&lt;&gt;"",COUNTIFS($G$2:G318,G318,$H$2:H318,"United Kingdom")=1),1,0)</f>
        <v>0</v>
      </c>
    </row>
    <row r="319" customFormat="false" ht="15" hidden="false" customHeight="false" outlineLevel="0" collapsed="false">
      <c r="A319" s="0" t="s">
        <v>149</v>
      </c>
      <c r="B319" s="0" t="s">
        <v>32</v>
      </c>
      <c r="C319" s="0" t="s">
        <v>33</v>
      </c>
      <c r="D319" s="0" t="n">
        <v>1</v>
      </c>
      <c r="E319" s="2" t="n">
        <v>40559.5194444444</v>
      </c>
      <c r="F319" s="0" t="n">
        <v>1.19</v>
      </c>
      <c r="G319" s="0" t="n">
        <v>16499</v>
      </c>
      <c r="H319" s="3" t="s">
        <v>14</v>
      </c>
      <c r="I319" s="4" t="n">
        <f aca="false">D319*F319</f>
        <v>1.19</v>
      </c>
      <c r="J319" s="3" t="n">
        <f aca="false">IF(AND(LEFT(A319,1)&lt;&gt;"C",D319&gt;0,F319&gt;0),1,0)</f>
        <v>1</v>
      </c>
      <c r="K319" s="3" t="n">
        <f aca="false">IF(AND(H319="United Kingdom",G319&lt;&gt;"",COUNTIFS($G$2:G319,G319,$H$2:H319,"United Kingdom")=1),1,0)</f>
        <v>0</v>
      </c>
    </row>
    <row r="320" customFormat="false" ht="15" hidden="false" customHeight="false" outlineLevel="0" collapsed="false">
      <c r="A320" s="0" t="s">
        <v>149</v>
      </c>
      <c r="B320" s="0" t="s">
        <v>17</v>
      </c>
      <c r="C320" s="0" t="s">
        <v>18</v>
      </c>
      <c r="D320" s="0" t="n">
        <v>2</v>
      </c>
      <c r="E320" s="2" t="n">
        <v>40559.5194444444</v>
      </c>
      <c r="F320" s="0" t="n">
        <v>1.92</v>
      </c>
      <c r="G320" s="0" t="n">
        <v>16499</v>
      </c>
      <c r="H320" s="3" t="s">
        <v>14</v>
      </c>
      <c r="I320" s="4" t="n">
        <f aca="false">D320*F320</f>
        <v>3.84</v>
      </c>
      <c r="J320" s="3" t="n">
        <f aca="false">IF(AND(LEFT(A320,1)&lt;&gt;"C",D320&gt;0,F320&gt;0),1,0)</f>
        <v>1</v>
      </c>
      <c r="K320" s="3" t="n">
        <f aca="false">IF(AND(H320="United Kingdom",G320&lt;&gt;"",COUNTIFS($G$2:G320,G320,$H$2:H320,"United Kingdom")=1),1,0)</f>
        <v>0</v>
      </c>
    </row>
    <row r="321" customFormat="false" ht="15" hidden="false" customHeight="false" outlineLevel="0" collapsed="false">
      <c r="A321" s="0" t="s">
        <v>149</v>
      </c>
      <c r="B321" s="0" t="s">
        <v>15</v>
      </c>
      <c r="C321" s="0" t="s">
        <v>16</v>
      </c>
      <c r="D321" s="0" t="n">
        <v>12</v>
      </c>
      <c r="E321" s="2" t="n">
        <v>40559.5194444444</v>
      </c>
      <c r="F321" s="0" t="n">
        <v>3.18</v>
      </c>
      <c r="G321" s="0" t="n">
        <v>16499</v>
      </c>
      <c r="H321" s="3" t="s">
        <v>14</v>
      </c>
      <c r="I321" s="4" t="n">
        <f aca="false">D321*F321</f>
        <v>38.16</v>
      </c>
      <c r="J321" s="3" t="n">
        <f aca="false">IF(AND(LEFT(A321,1)&lt;&gt;"C",D321&gt;0,F321&gt;0),1,0)</f>
        <v>1</v>
      </c>
      <c r="K321" s="3" t="n">
        <f aca="false">IF(AND(H321="United Kingdom",G321&lt;&gt;"",COUNTIFS($G$2:G321,G321,$H$2:H321,"United Kingdom")=1),1,0)</f>
        <v>0</v>
      </c>
    </row>
    <row r="322" customFormat="false" ht="15" hidden="false" customHeight="false" outlineLevel="0" collapsed="false">
      <c r="A322" s="0" t="s">
        <v>149</v>
      </c>
      <c r="B322" s="0" t="s">
        <v>75</v>
      </c>
      <c r="C322" s="0" t="s">
        <v>76</v>
      </c>
      <c r="D322" s="0" t="n">
        <v>24</v>
      </c>
      <c r="E322" s="2" t="n">
        <v>40559.5194444444</v>
      </c>
      <c r="F322" s="0" t="n">
        <v>1.97</v>
      </c>
      <c r="G322" s="0" t="n">
        <v>16499</v>
      </c>
      <c r="H322" s="3" t="s">
        <v>14</v>
      </c>
      <c r="I322" s="4" t="n">
        <f aca="false">D322*F322</f>
        <v>47.28</v>
      </c>
      <c r="J322" s="3" t="n">
        <f aca="false">IF(AND(LEFT(A322,1)&lt;&gt;"C",D322&gt;0,F322&gt;0),1,0)</f>
        <v>1</v>
      </c>
      <c r="K322" s="3" t="n">
        <f aca="false">IF(AND(H322="United Kingdom",G322&lt;&gt;"",COUNTIFS($G$2:G322,G322,$H$2:H322,"United Kingdom")=1),1,0)</f>
        <v>0</v>
      </c>
    </row>
    <row r="323" customFormat="false" ht="15" hidden="false" customHeight="false" outlineLevel="0" collapsed="false">
      <c r="A323" s="0" t="s">
        <v>149</v>
      </c>
      <c r="B323" s="0" t="s">
        <v>29</v>
      </c>
      <c r="C323" s="0" t="s">
        <v>30</v>
      </c>
      <c r="D323" s="0" t="n">
        <v>8</v>
      </c>
      <c r="E323" s="2" t="n">
        <v>40559.5194444444</v>
      </c>
      <c r="F323" s="0" t="n">
        <v>5.79</v>
      </c>
      <c r="G323" s="0" t="n">
        <v>16499</v>
      </c>
      <c r="H323" s="3" t="s">
        <v>14</v>
      </c>
      <c r="I323" s="4" t="n">
        <f aca="false">D323*F323</f>
        <v>46.32</v>
      </c>
      <c r="J323" s="3" t="n">
        <f aca="false">IF(AND(LEFT(A323,1)&lt;&gt;"C",D323&gt;0,F323&gt;0),1,0)</f>
        <v>1</v>
      </c>
      <c r="K323" s="3" t="n">
        <f aca="false">IF(AND(H323="United Kingdom",G323&lt;&gt;"",COUNTIFS($G$2:G323,G323,$H$2:H323,"United Kingdom")=1),1,0)</f>
        <v>0</v>
      </c>
    </row>
    <row r="324" customFormat="false" ht="15" hidden="false" customHeight="false" outlineLevel="0" collapsed="false">
      <c r="A324" s="0" t="s">
        <v>149</v>
      </c>
      <c r="B324" s="0" t="s">
        <v>113</v>
      </c>
      <c r="C324" s="0" t="s">
        <v>114</v>
      </c>
      <c r="D324" s="0" t="n">
        <v>4</v>
      </c>
      <c r="E324" s="2" t="n">
        <v>40559.5194444444</v>
      </c>
      <c r="F324" s="0" t="n">
        <v>3.57</v>
      </c>
      <c r="G324" s="0" t="n">
        <v>16499</v>
      </c>
      <c r="H324" s="3" t="s">
        <v>14</v>
      </c>
      <c r="I324" s="4" t="n">
        <f aca="false">D324*F324</f>
        <v>14.28</v>
      </c>
      <c r="J324" s="3" t="n">
        <f aca="false">IF(AND(LEFT(A324,1)&lt;&gt;"C",D324&gt;0,F324&gt;0),1,0)</f>
        <v>1</v>
      </c>
      <c r="K324" s="3" t="n">
        <f aca="false">IF(AND(H324="United Kingdom",G324&lt;&gt;"",COUNTIFS($G$2:G324,G324,$H$2:H324,"United Kingdom")=1),1,0)</f>
        <v>0</v>
      </c>
    </row>
    <row r="325" customFormat="false" ht="15" hidden="false" customHeight="false" outlineLevel="0" collapsed="false">
      <c r="A325" s="0" t="s">
        <v>149</v>
      </c>
      <c r="B325" s="0" t="s">
        <v>80</v>
      </c>
      <c r="C325" s="0" t="s">
        <v>81</v>
      </c>
      <c r="D325" s="0" t="n">
        <v>4</v>
      </c>
      <c r="E325" s="2" t="n">
        <v>40559.5194444444</v>
      </c>
      <c r="F325" s="0" t="n">
        <v>1.53</v>
      </c>
      <c r="G325" s="0" t="n">
        <v>16499</v>
      </c>
      <c r="H325" s="3" t="s">
        <v>14</v>
      </c>
      <c r="I325" s="4" t="n">
        <f aca="false">D325*F325</f>
        <v>6.12</v>
      </c>
      <c r="J325" s="3" t="n">
        <f aca="false">IF(AND(LEFT(A325,1)&lt;&gt;"C",D325&gt;0,F325&gt;0),1,0)</f>
        <v>1</v>
      </c>
      <c r="K325" s="3" t="n">
        <f aca="false">IF(AND(H325="United Kingdom",G325&lt;&gt;"",COUNTIFS($G$2:G325,G325,$H$2:H325,"United Kingdom")=1),1,0)</f>
        <v>0</v>
      </c>
    </row>
    <row r="326" customFormat="false" ht="15" hidden="false" customHeight="false" outlineLevel="0" collapsed="false">
      <c r="A326" s="0" t="s">
        <v>149</v>
      </c>
      <c r="B326" s="0" t="s">
        <v>41</v>
      </c>
      <c r="C326" s="0" t="s">
        <v>42</v>
      </c>
      <c r="D326" s="0" t="n">
        <v>12</v>
      </c>
      <c r="E326" s="2" t="n">
        <v>40559.5194444444</v>
      </c>
      <c r="F326" s="0" t="n">
        <v>3.28</v>
      </c>
      <c r="G326" s="0" t="n">
        <v>16499</v>
      </c>
      <c r="H326" s="3" t="s">
        <v>14</v>
      </c>
      <c r="I326" s="4" t="n">
        <f aca="false">D326*F326</f>
        <v>39.36</v>
      </c>
      <c r="J326" s="3" t="n">
        <f aca="false">IF(AND(LEFT(A326,1)&lt;&gt;"C",D326&gt;0,F326&gt;0),1,0)</f>
        <v>1</v>
      </c>
      <c r="K326" s="3" t="n">
        <f aca="false">IF(AND(H326="United Kingdom",G326&lt;&gt;"",COUNTIFS($G$2:G326,G326,$H$2:H326,"United Kingdom")=1),1,0)</f>
        <v>0</v>
      </c>
    </row>
    <row r="327" customFormat="false" ht="15" hidden="false" customHeight="false" outlineLevel="0" collapsed="false">
      <c r="A327" s="0" t="s">
        <v>150</v>
      </c>
      <c r="B327" s="0" t="s">
        <v>43</v>
      </c>
      <c r="C327" s="0" t="s">
        <v>44</v>
      </c>
      <c r="D327" s="0" t="n">
        <v>3</v>
      </c>
      <c r="E327" s="2" t="n">
        <v>40559.6104166667</v>
      </c>
      <c r="F327" s="0" t="n">
        <v>1.35</v>
      </c>
      <c r="H327" s="3" t="s">
        <v>14</v>
      </c>
      <c r="I327" s="4" t="n">
        <f aca="false">D327*F327</f>
        <v>4.05</v>
      </c>
      <c r="J327" s="3" t="n">
        <f aca="false">IF(AND(LEFT(A327,1)&lt;&gt;"C",D327&gt;0,F327&gt;0),1,0)</f>
        <v>1</v>
      </c>
      <c r="K327" s="3" t="n">
        <f aca="false">IF(AND(H327="United Kingdom",G327&lt;&gt;"",COUNTIFS($G$2:G327,G327,$H$2:H327,"United Kingdom")=1),1,0)</f>
        <v>0</v>
      </c>
    </row>
    <row r="328" customFormat="false" ht="15" hidden="false" customHeight="false" outlineLevel="0" collapsed="false">
      <c r="A328" s="0" t="s">
        <v>150</v>
      </c>
      <c r="B328" s="0" t="s">
        <v>27</v>
      </c>
      <c r="C328" s="0" t="s">
        <v>28</v>
      </c>
      <c r="D328" s="0" t="n">
        <v>12</v>
      </c>
      <c r="E328" s="2" t="n">
        <v>40559.6104166667</v>
      </c>
      <c r="F328" s="0" t="n">
        <v>4.55</v>
      </c>
      <c r="H328" s="3" t="s">
        <v>14</v>
      </c>
      <c r="I328" s="4" t="n">
        <f aca="false">D328*F328</f>
        <v>54.6</v>
      </c>
      <c r="J328" s="3" t="n">
        <f aca="false">IF(AND(LEFT(A328,1)&lt;&gt;"C",D328&gt;0,F328&gt;0),1,0)</f>
        <v>1</v>
      </c>
      <c r="K328" s="3" t="n">
        <f aca="false">IF(AND(H328="United Kingdom",G328&lt;&gt;"",COUNTIFS($G$2:G328,G328,$H$2:H328,"United Kingdom")=1),1,0)</f>
        <v>0</v>
      </c>
    </row>
    <row r="329" customFormat="false" ht="15" hidden="false" customHeight="false" outlineLevel="0" collapsed="false">
      <c r="A329" s="0" t="s">
        <v>150</v>
      </c>
      <c r="B329" s="0" t="s">
        <v>39</v>
      </c>
      <c r="C329" s="0" t="s">
        <v>40</v>
      </c>
      <c r="D329" s="0" t="n">
        <v>2</v>
      </c>
      <c r="E329" s="2" t="n">
        <v>40559.6104166667</v>
      </c>
      <c r="F329" s="0" t="n">
        <v>2.58</v>
      </c>
      <c r="H329" s="3" t="s">
        <v>14</v>
      </c>
      <c r="I329" s="4" t="n">
        <f aca="false">D329*F329</f>
        <v>5.16</v>
      </c>
      <c r="J329" s="3" t="n">
        <f aca="false">IF(AND(LEFT(A329,1)&lt;&gt;"C",D329&gt;0,F329&gt;0),1,0)</f>
        <v>1</v>
      </c>
      <c r="K329" s="3" t="n">
        <f aca="false">IF(AND(H329="United Kingdom",G329&lt;&gt;"",COUNTIFS($G$2:G329,G329,$H$2:H329,"United Kingdom")=1),1,0)</f>
        <v>0</v>
      </c>
    </row>
    <row r="330" customFormat="false" ht="15" hidden="false" customHeight="false" outlineLevel="0" collapsed="false">
      <c r="A330" s="0" t="s">
        <v>150</v>
      </c>
      <c r="B330" s="0" t="s">
        <v>90</v>
      </c>
      <c r="C330" s="0" t="s">
        <v>91</v>
      </c>
      <c r="D330" s="0" t="n">
        <v>3</v>
      </c>
      <c r="E330" s="2" t="n">
        <v>40559.6104166667</v>
      </c>
      <c r="F330" s="0" t="n">
        <v>3.04</v>
      </c>
      <c r="H330" s="3" t="s">
        <v>14</v>
      </c>
      <c r="I330" s="4" t="n">
        <f aca="false">D330*F330</f>
        <v>9.12</v>
      </c>
      <c r="J330" s="3" t="n">
        <f aca="false">IF(AND(LEFT(A330,1)&lt;&gt;"C",D330&gt;0,F330&gt;0),1,0)</f>
        <v>1</v>
      </c>
      <c r="K330" s="3" t="n">
        <f aca="false">IF(AND(H330="United Kingdom",G330&lt;&gt;"",COUNTIFS($G$2:G330,G330,$H$2:H330,"United Kingdom")=1),1,0)</f>
        <v>0</v>
      </c>
    </row>
    <row r="331" customFormat="false" ht="15" hidden="false" customHeight="false" outlineLevel="0" collapsed="false">
      <c r="A331" s="0" t="s">
        <v>151</v>
      </c>
      <c r="B331" s="0" t="s">
        <v>45</v>
      </c>
      <c r="C331" s="0" t="s">
        <v>46</v>
      </c>
      <c r="D331" s="0" t="n">
        <v>24</v>
      </c>
      <c r="E331" s="2" t="n">
        <v>40559.8131944445</v>
      </c>
      <c r="F331" s="0" t="n">
        <v>4.55</v>
      </c>
      <c r="G331" s="0" t="n">
        <v>12549</v>
      </c>
      <c r="H331" s="3" t="s">
        <v>14</v>
      </c>
      <c r="I331" s="4" t="n">
        <f aca="false">D331*F331</f>
        <v>109.2</v>
      </c>
      <c r="J331" s="3" t="n">
        <f aca="false">IF(AND(LEFT(A331,1)&lt;&gt;"C",D331&gt;0,F331&gt;0),1,0)</f>
        <v>1</v>
      </c>
      <c r="K331" s="3" t="n">
        <f aca="false">IF(AND(H331="United Kingdom",G331&lt;&gt;"",COUNTIFS($G$2:G331,G331,$H$2:H331,"United Kingdom")=1),1,0)</f>
        <v>1</v>
      </c>
    </row>
    <row r="332" customFormat="false" ht="15" hidden="false" customHeight="false" outlineLevel="0" collapsed="false">
      <c r="A332" s="0" t="s">
        <v>151</v>
      </c>
      <c r="B332" s="0" t="s">
        <v>20</v>
      </c>
      <c r="C332" s="0" t="s">
        <v>21</v>
      </c>
      <c r="D332" s="0" t="n">
        <v>72</v>
      </c>
      <c r="E332" s="2" t="n">
        <v>40559.8131944445</v>
      </c>
      <c r="F332" s="0" t="n">
        <v>4.24</v>
      </c>
      <c r="G332" s="0" t="n">
        <v>12549</v>
      </c>
      <c r="H332" s="3" t="s">
        <v>14</v>
      </c>
      <c r="I332" s="4" t="n">
        <f aca="false">D332*F332</f>
        <v>305.28</v>
      </c>
      <c r="J332" s="3" t="n">
        <f aca="false">IF(AND(LEFT(A332,1)&lt;&gt;"C",D332&gt;0,F332&gt;0),1,0)</f>
        <v>1</v>
      </c>
      <c r="K332" s="3" t="n">
        <f aca="false">IF(AND(H332="United Kingdom",G332&lt;&gt;"",COUNTIFS($G$2:G332,G332,$H$2:H332,"United Kingdom")=1),1,0)</f>
        <v>0</v>
      </c>
    </row>
    <row r="333" customFormat="false" ht="15" hidden="false" customHeight="false" outlineLevel="0" collapsed="false">
      <c r="A333" s="0" t="s">
        <v>151</v>
      </c>
      <c r="B333" s="0" t="s">
        <v>34</v>
      </c>
      <c r="C333" s="0" t="s">
        <v>35</v>
      </c>
      <c r="D333" s="0" t="n">
        <v>192</v>
      </c>
      <c r="E333" s="2" t="n">
        <v>40559.8131944445</v>
      </c>
      <c r="F333" s="0" t="n">
        <v>2.38</v>
      </c>
      <c r="G333" s="0" t="n">
        <v>12549</v>
      </c>
      <c r="H333" s="3" t="s">
        <v>14</v>
      </c>
      <c r="I333" s="4" t="n">
        <f aca="false">D333*F333</f>
        <v>456.96</v>
      </c>
      <c r="J333" s="3" t="n">
        <f aca="false">IF(AND(LEFT(A333,1)&lt;&gt;"C",D333&gt;0,F333&gt;0),1,0)</f>
        <v>1</v>
      </c>
      <c r="K333" s="3" t="n">
        <f aca="false">IF(AND(H333="United Kingdom",G333&lt;&gt;"",COUNTIFS($G$2:G333,G333,$H$2:H333,"United Kingdom")=1),1,0)</f>
        <v>0</v>
      </c>
    </row>
    <row r="334" customFormat="false" ht="15" hidden="false" customHeight="false" outlineLevel="0" collapsed="false">
      <c r="A334" s="0" t="s">
        <v>151</v>
      </c>
      <c r="B334" s="0" t="s">
        <v>72</v>
      </c>
      <c r="C334" s="0" t="s">
        <v>73</v>
      </c>
      <c r="D334" s="0" t="n">
        <v>108</v>
      </c>
      <c r="E334" s="2" t="n">
        <v>40559.8131944445</v>
      </c>
      <c r="F334" s="0" t="n">
        <v>2.69</v>
      </c>
      <c r="G334" s="0" t="n">
        <v>12549</v>
      </c>
      <c r="H334" s="3" t="s">
        <v>14</v>
      </c>
      <c r="I334" s="4" t="n">
        <f aca="false">D334*F334</f>
        <v>290.52</v>
      </c>
      <c r="J334" s="3" t="n">
        <f aca="false">IF(AND(LEFT(A334,1)&lt;&gt;"C",D334&gt;0,F334&gt;0),1,0)</f>
        <v>1</v>
      </c>
      <c r="K334" s="3" t="n">
        <f aca="false">IF(AND(H334="United Kingdom",G334&lt;&gt;"",COUNTIFS($G$2:G334,G334,$H$2:H334,"United Kingdom")=1),1,0)</f>
        <v>0</v>
      </c>
    </row>
    <row r="335" customFormat="false" ht="15" hidden="false" customHeight="false" outlineLevel="0" collapsed="false">
      <c r="A335" s="0" t="s">
        <v>151</v>
      </c>
      <c r="B335" s="0" t="s">
        <v>22</v>
      </c>
      <c r="C335" s="0" t="s">
        <v>23</v>
      </c>
      <c r="D335" s="0" t="n">
        <v>144</v>
      </c>
      <c r="E335" s="2" t="n">
        <v>40559.8131944445</v>
      </c>
      <c r="F335" s="0" t="n">
        <v>3.18</v>
      </c>
      <c r="G335" s="0" t="n">
        <v>12549</v>
      </c>
      <c r="H335" s="3" t="s">
        <v>14</v>
      </c>
      <c r="I335" s="4" t="n">
        <f aca="false">D335*F335</f>
        <v>457.92</v>
      </c>
      <c r="J335" s="3" t="n">
        <f aca="false">IF(AND(LEFT(A335,1)&lt;&gt;"C",D335&gt;0,F335&gt;0),1,0)</f>
        <v>1</v>
      </c>
      <c r="K335" s="3" t="n">
        <f aca="false">IF(AND(H335="United Kingdom",G335&lt;&gt;"",COUNTIFS($G$2:G335,G335,$H$2:H335,"United Kingdom")=1),1,0)</f>
        <v>0</v>
      </c>
    </row>
    <row r="336" customFormat="false" ht="15" hidden="false" customHeight="false" outlineLevel="0" collapsed="false">
      <c r="A336" s="0" t="s">
        <v>151</v>
      </c>
      <c r="B336" s="0" t="s">
        <v>25</v>
      </c>
      <c r="C336" s="0" t="s">
        <v>26</v>
      </c>
      <c r="D336" s="0" t="n">
        <v>432</v>
      </c>
      <c r="E336" s="2" t="n">
        <v>40559.8131944445</v>
      </c>
      <c r="F336" s="0" t="n">
        <v>2.21</v>
      </c>
      <c r="G336" s="0" t="n">
        <v>12549</v>
      </c>
      <c r="H336" s="3" t="s">
        <v>14</v>
      </c>
      <c r="I336" s="4" t="n">
        <f aca="false">D336*F336</f>
        <v>954.72</v>
      </c>
      <c r="J336" s="3" t="n">
        <f aca="false">IF(AND(LEFT(A336,1)&lt;&gt;"C",D336&gt;0,F336&gt;0),1,0)</f>
        <v>1</v>
      </c>
      <c r="K336" s="3" t="n">
        <f aca="false">IF(AND(H336="United Kingdom",G336&lt;&gt;"",COUNTIFS($G$2:G336,G336,$H$2:H336,"United Kingdom")=1),1,0)</f>
        <v>0</v>
      </c>
    </row>
    <row r="337" customFormat="false" ht="15" hidden="false" customHeight="false" outlineLevel="0" collapsed="false">
      <c r="A337" s="0" t="s">
        <v>151</v>
      </c>
      <c r="B337" s="0" t="s">
        <v>68</v>
      </c>
      <c r="C337" s="0" t="s">
        <v>69</v>
      </c>
      <c r="D337" s="0" t="n">
        <v>96</v>
      </c>
      <c r="E337" s="2" t="n">
        <v>40559.8131944445</v>
      </c>
      <c r="F337" s="0" t="n">
        <v>1.26</v>
      </c>
      <c r="G337" s="0" t="n">
        <v>12549</v>
      </c>
      <c r="H337" s="3" t="s">
        <v>14</v>
      </c>
      <c r="I337" s="4" t="n">
        <f aca="false">D337*F337</f>
        <v>120.96</v>
      </c>
      <c r="J337" s="3" t="n">
        <f aca="false">IF(AND(LEFT(A337,1)&lt;&gt;"C",D337&gt;0,F337&gt;0),1,0)</f>
        <v>1</v>
      </c>
      <c r="K337" s="3" t="n">
        <f aca="false">IF(AND(H337="United Kingdom",G337&lt;&gt;"",COUNTIFS($G$2:G337,G337,$H$2:H337,"United Kingdom")=1),1,0)</f>
        <v>0</v>
      </c>
    </row>
    <row r="338" customFormat="false" ht="15" hidden="false" customHeight="false" outlineLevel="0" collapsed="false">
      <c r="A338" s="0" t="s">
        <v>151</v>
      </c>
      <c r="B338" s="0" t="s">
        <v>29</v>
      </c>
      <c r="C338" s="0" t="s">
        <v>30</v>
      </c>
      <c r="D338" s="0" t="n">
        <v>6</v>
      </c>
      <c r="E338" s="2" t="n">
        <v>40559.8131944445</v>
      </c>
      <c r="F338" s="0" t="n">
        <v>5.79</v>
      </c>
      <c r="G338" s="0" t="n">
        <v>12549</v>
      </c>
      <c r="H338" s="3" t="s">
        <v>14</v>
      </c>
      <c r="I338" s="4" t="n">
        <f aca="false">D338*F338</f>
        <v>34.74</v>
      </c>
      <c r="J338" s="3" t="n">
        <f aca="false">IF(AND(LEFT(A338,1)&lt;&gt;"C",D338&gt;0,F338&gt;0),1,0)</f>
        <v>1</v>
      </c>
      <c r="K338" s="3" t="n">
        <f aca="false">IF(AND(H338="United Kingdom",G338&lt;&gt;"",COUNTIFS($G$2:G338,G338,$H$2:H338,"United Kingdom")=1),1,0)</f>
        <v>0</v>
      </c>
    </row>
    <row r="339" customFormat="false" ht="15" hidden="false" customHeight="false" outlineLevel="0" collapsed="false">
      <c r="A339" s="0" t="s">
        <v>151</v>
      </c>
      <c r="B339" s="0" t="s">
        <v>54</v>
      </c>
      <c r="C339" s="0" t="s">
        <v>55</v>
      </c>
      <c r="D339" s="0" t="n">
        <v>12</v>
      </c>
      <c r="E339" s="2" t="n">
        <v>40559.8131944445</v>
      </c>
      <c r="F339" s="0" t="n">
        <v>0.99</v>
      </c>
      <c r="G339" s="0" t="n">
        <v>12549</v>
      </c>
      <c r="H339" s="3" t="s">
        <v>14</v>
      </c>
      <c r="I339" s="4" t="n">
        <f aca="false">D339*F339</f>
        <v>11.88</v>
      </c>
      <c r="J339" s="3" t="n">
        <f aca="false">IF(AND(LEFT(A339,1)&lt;&gt;"C",D339&gt;0,F339&gt;0),1,0)</f>
        <v>1</v>
      </c>
      <c r="K339" s="3" t="n">
        <f aca="false">IF(AND(H339="United Kingdom",G339&lt;&gt;"",COUNTIFS($G$2:G339,G339,$H$2:H339,"United Kingdom")=1),1,0)</f>
        <v>0</v>
      </c>
    </row>
    <row r="340" customFormat="false" ht="15" hidden="false" customHeight="false" outlineLevel="0" collapsed="false">
      <c r="A340" s="0" t="s">
        <v>151</v>
      </c>
      <c r="B340" s="0" t="s">
        <v>90</v>
      </c>
      <c r="C340" s="0" t="s">
        <v>91</v>
      </c>
      <c r="D340" s="0" t="n">
        <v>36</v>
      </c>
      <c r="E340" s="2" t="n">
        <v>40559.8131944445</v>
      </c>
      <c r="F340" s="0" t="n">
        <v>3.04</v>
      </c>
      <c r="G340" s="0" t="n">
        <v>12549</v>
      </c>
      <c r="H340" s="3" t="s">
        <v>14</v>
      </c>
      <c r="I340" s="4" t="n">
        <f aca="false">D340*F340</f>
        <v>109.44</v>
      </c>
      <c r="J340" s="3" t="n">
        <f aca="false">IF(AND(LEFT(A340,1)&lt;&gt;"C",D340&gt;0,F340&gt;0),1,0)</f>
        <v>1</v>
      </c>
      <c r="K340" s="3" t="n">
        <f aca="false">IF(AND(H340="United Kingdom",G340&lt;&gt;"",COUNTIFS($G$2:G340,G340,$H$2:H340,"United Kingdom")=1),1,0)</f>
        <v>0</v>
      </c>
    </row>
    <row r="341" customFormat="false" ht="15" hidden="false" customHeight="false" outlineLevel="0" collapsed="false">
      <c r="A341" s="0" t="s">
        <v>152</v>
      </c>
      <c r="B341" s="0" t="s">
        <v>48</v>
      </c>
      <c r="C341" s="0" t="s">
        <v>49</v>
      </c>
      <c r="D341" s="0" t="n">
        <v>6</v>
      </c>
      <c r="E341" s="2" t="n">
        <v>40560.4152777778</v>
      </c>
      <c r="F341" s="0" t="n">
        <v>1.35</v>
      </c>
      <c r="G341" s="0" t="n">
        <v>15284</v>
      </c>
      <c r="H341" s="3" t="s">
        <v>14</v>
      </c>
      <c r="I341" s="4" t="n">
        <f aca="false">D341*F341</f>
        <v>8.1</v>
      </c>
      <c r="J341" s="3" t="n">
        <f aca="false">IF(AND(LEFT(A341,1)&lt;&gt;"C",D341&gt;0,F341&gt;0),1,0)</f>
        <v>1</v>
      </c>
      <c r="K341" s="3" t="n">
        <f aca="false">IF(AND(H341="United Kingdom",G341&lt;&gt;"",COUNTIFS($G$2:G341,G341,$H$2:H341,"United Kingdom")=1),1,0)</f>
        <v>1</v>
      </c>
    </row>
    <row r="342" customFormat="false" ht="15" hidden="false" customHeight="false" outlineLevel="0" collapsed="false">
      <c r="A342" s="0" t="s">
        <v>152</v>
      </c>
      <c r="B342" s="0" t="s">
        <v>63</v>
      </c>
      <c r="C342" s="0" t="s">
        <v>64</v>
      </c>
      <c r="D342" s="0" t="n">
        <v>4</v>
      </c>
      <c r="E342" s="2" t="n">
        <v>40560.4152777778</v>
      </c>
      <c r="F342" s="0" t="n">
        <v>2.43</v>
      </c>
      <c r="G342" s="0" t="n">
        <v>15284</v>
      </c>
      <c r="H342" s="3" t="s">
        <v>14</v>
      </c>
      <c r="I342" s="4" t="n">
        <f aca="false">D342*F342</f>
        <v>9.72</v>
      </c>
      <c r="J342" s="3" t="n">
        <f aca="false">IF(AND(LEFT(A342,1)&lt;&gt;"C",D342&gt;0,F342&gt;0),1,0)</f>
        <v>1</v>
      </c>
      <c r="K342" s="3" t="n">
        <f aca="false">IF(AND(H342="United Kingdom",G342&lt;&gt;"",COUNTIFS($G$2:G342,G342,$H$2:H342,"United Kingdom")=1),1,0)</f>
        <v>0</v>
      </c>
    </row>
    <row r="343" customFormat="false" ht="15" hidden="false" customHeight="false" outlineLevel="0" collapsed="false">
      <c r="A343" s="0" t="s">
        <v>152</v>
      </c>
      <c r="B343" s="0" t="s">
        <v>22</v>
      </c>
      <c r="C343" s="0" t="s">
        <v>23</v>
      </c>
      <c r="D343" s="0" t="n">
        <v>3</v>
      </c>
      <c r="E343" s="2" t="n">
        <v>40560.4152777778</v>
      </c>
      <c r="F343" s="0" t="n">
        <v>3.18</v>
      </c>
      <c r="G343" s="0" t="n">
        <v>15284</v>
      </c>
      <c r="H343" s="3" t="s">
        <v>14</v>
      </c>
      <c r="I343" s="4" t="n">
        <f aca="false">D343*F343</f>
        <v>9.54</v>
      </c>
      <c r="J343" s="3" t="n">
        <f aca="false">IF(AND(LEFT(A343,1)&lt;&gt;"C",D343&gt;0,F343&gt;0),1,0)</f>
        <v>1</v>
      </c>
      <c r="K343" s="3" t="n">
        <f aca="false">IF(AND(H343="United Kingdom",G343&lt;&gt;"",COUNTIFS($G$2:G343,G343,$H$2:H343,"United Kingdom")=1),1,0)</f>
        <v>0</v>
      </c>
    </row>
    <row r="344" customFormat="false" ht="15" hidden="false" customHeight="false" outlineLevel="0" collapsed="false">
      <c r="A344" s="0" t="s">
        <v>152</v>
      </c>
      <c r="B344" s="0" t="s">
        <v>37</v>
      </c>
      <c r="C344" s="0" t="s">
        <v>38</v>
      </c>
      <c r="D344" s="0" t="n">
        <v>4</v>
      </c>
      <c r="E344" s="2" t="n">
        <v>40560.4152777778</v>
      </c>
      <c r="F344" s="0" t="n">
        <v>1.82</v>
      </c>
      <c r="G344" s="0" t="n">
        <v>15284</v>
      </c>
      <c r="H344" s="3" t="s">
        <v>14</v>
      </c>
      <c r="I344" s="4" t="n">
        <f aca="false">D344*F344</f>
        <v>7.28</v>
      </c>
      <c r="J344" s="3" t="n">
        <f aca="false">IF(AND(LEFT(A344,1)&lt;&gt;"C",D344&gt;0,F344&gt;0),1,0)</f>
        <v>1</v>
      </c>
      <c r="K344" s="3" t="n">
        <f aca="false">IF(AND(H344="United Kingdom",G344&lt;&gt;"",COUNTIFS($G$2:G344,G344,$H$2:H344,"United Kingdom")=1),1,0)</f>
        <v>0</v>
      </c>
    </row>
    <row r="345" customFormat="false" ht="15" hidden="false" customHeight="false" outlineLevel="0" collapsed="false">
      <c r="A345" s="0" t="s">
        <v>152</v>
      </c>
      <c r="B345" s="0" t="s">
        <v>32</v>
      </c>
      <c r="C345" s="0" t="s">
        <v>33</v>
      </c>
      <c r="D345" s="0" t="n">
        <v>2</v>
      </c>
      <c r="E345" s="2" t="n">
        <v>40560.4152777778</v>
      </c>
      <c r="F345" s="0" t="n">
        <v>1.19</v>
      </c>
      <c r="G345" s="0" t="n">
        <v>15284</v>
      </c>
      <c r="H345" s="3" t="s">
        <v>14</v>
      </c>
      <c r="I345" s="4" t="n">
        <f aca="false">D345*F345</f>
        <v>2.38</v>
      </c>
      <c r="J345" s="3" t="n">
        <f aca="false">IF(AND(LEFT(A345,1)&lt;&gt;"C",D345&gt;0,F345&gt;0),1,0)</f>
        <v>1</v>
      </c>
      <c r="K345" s="3" t="n">
        <f aca="false">IF(AND(H345="United Kingdom",G345&lt;&gt;"",COUNTIFS($G$2:G345,G345,$H$2:H345,"United Kingdom")=1),1,0)</f>
        <v>0</v>
      </c>
    </row>
    <row r="346" customFormat="false" ht="15" hidden="false" customHeight="false" outlineLevel="0" collapsed="false">
      <c r="A346" s="0" t="s">
        <v>153</v>
      </c>
      <c r="B346" s="0" t="s">
        <v>77</v>
      </c>
      <c r="C346" s="0" t="s">
        <v>78</v>
      </c>
      <c r="D346" s="0" t="n">
        <v>1</v>
      </c>
      <c r="E346" s="2" t="n">
        <v>40560.4368055556</v>
      </c>
      <c r="F346" s="0" t="n">
        <v>3.41</v>
      </c>
      <c r="G346" s="0" t="n">
        <v>12747</v>
      </c>
      <c r="H346" s="3" t="s">
        <v>120</v>
      </c>
      <c r="I346" s="4" t="n">
        <f aca="false">D346*F346</f>
        <v>3.41</v>
      </c>
      <c r="J346" s="3" t="n">
        <f aca="false">IF(AND(LEFT(A346,1)&lt;&gt;"C",D346&gt;0,F346&gt;0),1,0)</f>
        <v>1</v>
      </c>
      <c r="K346" s="3" t="n">
        <f aca="false">IF(AND(H346="United Kingdom",G346&lt;&gt;"",COUNTIFS($G$2:G346,G346,$H$2:H346,"United Kingdom")=1),1,0)</f>
        <v>0</v>
      </c>
    </row>
    <row r="347" customFormat="false" ht="15" hidden="false" customHeight="false" outlineLevel="0" collapsed="false">
      <c r="A347" s="0" t="s">
        <v>153</v>
      </c>
      <c r="B347" s="0" t="s">
        <v>15</v>
      </c>
      <c r="C347" s="0" t="s">
        <v>16</v>
      </c>
      <c r="D347" s="0" t="n">
        <v>5</v>
      </c>
      <c r="E347" s="2" t="n">
        <v>40560.4368055556</v>
      </c>
      <c r="F347" s="0" t="n">
        <v>3.18</v>
      </c>
      <c r="G347" s="0" t="n">
        <v>12747</v>
      </c>
      <c r="H347" s="3" t="s">
        <v>120</v>
      </c>
      <c r="I347" s="4" t="n">
        <f aca="false">D347*F347</f>
        <v>15.9</v>
      </c>
      <c r="J347" s="3" t="n">
        <f aca="false">IF(AND(LEFT(A347,1)&lt;&gt;"C",D347&gt;0,F347&gt;0),1,0)</f>
        <v>1</v>
      </c>
      <c r="K347" s="3" t="n">
        <f aca="false">IF(AND(H347="United Kingdom",G347&lt;&gt;"",COUNTIFS($G$2:G347,G347,$H$2:H347,"United Kingdom")=1),1,0)</f>
        <v>0</v>
      </c>
    </row>
    <row r="348" customFormat="false" ht="15" hidden="false" customHeight="false" outlineLevel="0" collapsed="false">
      <c r="A348" s="0" t="s">
        <v>153</v>
      </c>
      <c r="B348" s="0" t="s">
        <v>113</v>
      </c>
      <c r="C348" s="0" t="s">
        <v>114</v>
      </c>
      <c r="D348" s="0" t="n">
        <v>5</v>
      </c>
      <c r="E348" s="2" t="n">
        <v>40560.4368055556</v>
      </c>
      <c r="F348" s="0" t="n">
        <v>3.57</v>
      </c>
      <c r="G348" s="0" t="n">
        <v>12747</v>
      </c>
      <c r="H348" s="3" t="s">
        <v>120</v>
      </c>
      <c r="I348" s="4" t="n">
        <f aca="false">D348*F348</f>
        <v>17.85</v>
      </c>
      <c r="J348" s="3" t="n">
        <f aca="false">IF(AND(LEFT(A348,1)&lt;&gt;"C",D348&gt;0,F348&gt;0),1,0)</f>
        <v>1</v>
      </c>
      <c r="K348" s="3" t="n">
        <f aca="false">IF(AND(H348="United Kingdom",G348&lt;&gt;"",COUNTIFS($G$2:G348,G348,$H$2:H348,"United Kingdom")=1),1,0)</f>
        <v>0</v>
      </c>
    </row>
    <row r="349" customFormat="false" ht="15" hidden="false" customHeight="false" outlineLevel="0" collapsed="false">
      <c r="A349" s="0" t="s">
        <v>153</v>
      </c>
      <c r="B349" s="0" t="s">
        <v>20</v>
      </c>
      <c r="C349" s="0" t="s">
        <v>21</v>
      </c>
      <c r="D349" s="0" t="n">
        <v>20</v>
      </c>
      <c r="E349" s="2" t="n">
        <v>40560.4368055556</v>
      </c>
      <c r="F349" s="0" t="n">
        <v>4.24</v>
      </c>
      <c r="G349" s="0" t="n">
        <v>12747</v>
      </c>
      <c r="H349" s="3" t="s">
        <v>120</v>
      </c>
      <c r="I349" s="4" t="n">
        <f aca="false">D349*F349</f>
        <v>84.8</v>
      </c>
      <c r="J349" s="3" t="n">
        <f aca="false">IF(AND(LEFT(A349,1)&lt;&gt;"C",D349&gt;0,F349&gt;0),1,0)</f>
        <v>1</v>
      </c>
      <c r="K349" s="3" t="n">
        <f aca="false">IF(AND(H349="United Kingdom",G349&lt;&gt;"",COUNTIFS($G$2:G349,G349,$H$2:H349,"United Kingdom")=1),1,0)</f>
        <v>0</v>
      </c>
    </row>
    <row r="350" customFormat="false" ht="15" hidden="false" customHeight="false" outlineLevel="0" collapsed="false">
      <c r="A350" s="0" t="s">
        <v>153</v>
      </c>
      <c r="B350" s="0" t="s">
        <v>52</v>
      </c>
      <c r="C350" s="0" t="s">
        <v>53</v>
      </c>
      <c r="D350" s="0" t="n">
        <v>7</v>
      </c>
      <c r="E350" s="2" t="n">
        <v>40560.4368055556</v>
      </c>
      <c r="F350" s="0" t="n">
        <v>4.16</v>
      </c>
      <c r="G350" s="0" t="n">
        <v>12747</v>
      </c>
      <c r="H350" s="3" t="s">
        <v>120</v>
      </c>
      <c r="I350" s="4" t="n">
        <f aca="false">D350*F350</f>
        <v>29.12</v>
      </c>
      <c r="J350" s="3" t="n">
        <f aca="false">IF(AND(LEFT(A350,1)&lt;&gt;"C",D350&gt;0,F350&gt;0),1,0)</f>
        <v>1</v>
      </c>
      <c r="K350" s="3" t="n">
        <f aca="false">IF(AND(H350="United Kingdom",G350&lt;&gt;"",COUNTIFS($G$2:G350,G350,$H$2:H350,"United Kingdom")=1),1,0)</f>
        <v>0</v>
      </c>
    </row>
    <row r="351" customFormat="false" ht="15" hidden="false" customHeight="false" outlineLevel="0" collapsed="false">
      <c r="A351" s="0" t="s">
        <v>153</v>
      </c>
      <c r="B351" s="0" t="s">
        <v>27</v>
      </c>
      <c r="C351" s="0" t="s">
        <v>28</v>
      </c>
      <c r="D351" s="0" t="n">
        <v>2</v>
      </c>
      <c r="E351" s="2" t="n">
        <v>40560.4368055556</v>
      </c>
      <c r="F351" s="0" t="n">
        <v>4.55</v>
      </c>
      <c r="G351" s="0" t="n">
        <v>12747</v>
      </c>
      <c r="H351" s="3" t="s">
        <v>120</v>
      </c>
      <c r="I351" s="4" t="n">
        <f aca="false">D351*F351</f>
        <v>9.1</v>
      </c>
      <c r="J351" s="3" t="n">
        <f aca="false">IF(AND(LEFT(A351,1)&lt;&gt;"C",D351&gt;0,F351&gt;0),1,0)</f>
        <v>1</v>
      </c>
      <c r="K351" s="3" t="n">
        <f aca="false">IF(AND(H351="United Kingdom",G351&lt;&gt;"",COUNTIFS($G$2:G351,G351,$H$2:H351,"United Kingdom")=1),1,0)</f>
        <v>0</v>
      </c>
    </row>
    <row r="352" customFormat="false" ht="15" hidden="false" customHeight="false" outlineLevel="0" collapsed="false">
      <c r="A352" s="0" t="s">
        <v>153</v>
      </c>
      <c r="B352" s="0" t="s">
        <v>17</v>
      </c>
      <c r="C352" s="0" t="s">
        <v>18</v>
      </c>
      <c r="D352" s="0" t="n">
        <v>2</v>
      </c>
      <c r="E352" s="2" t="n">
        <v>40560.4368055556</v>
      </c>
      <c r="F352" s="0" t="n">
        <v>1.92</v>
      </c>
      <c r="G352" s="0" t="n">
        <v>12747</v>
      </c>
      <c r="H352" s="3" t="s">
        <v>120</v>
      </c>
      <c r="I352" s="4" t="n">
        <f aca="false">D352*F352</f>
        <v>3.84</v>
      </c>
      <c r="J352" s="3" t="n">
        <f aca="false">IF(AND(LEFT(A352,1)&lt;&gt;"C",D352&gt;0,F352&gt;0),1,0)</f>
        <v>1</v>
      </c>
      <c r="K352" s="3" t="n">
        <f aca="false">IF(AND(H352="United Kingdom",G352&lt;&gt;"",COUNTIFS($G$2:G352,G352,$H$2:H352,"United Kingdom")=1),1,0)</f>
        <v>0</v>
      </c>
    </row>
    <row r="353" customFormat="false" ht="15" hidden="false" customHeight="false" outlineLevel="0" collapsed="false">
      <c r="A353" s="0" t="s">
        <v>153</v>
      </c>
      <c r="B353" s="0" t="s">
        <v>41</v>
      </c>
      <c r="C353" s="0" t="s">
        <v>42</v>
      </c>
      <c r="D353" s="0" t="n">
        <v>20</v>
      </c>
      <c r="E353" s="2" t="n">
        <v>40560.4368055556</v>
      </c>
      <c r="F353" s="0" t="n">
        <v>3.28</v>
      </c>
      <c r="G353" s="0" t="n">
        <v>12747</v>
      </c>
      <c r="H353" s="3" t="s">
        <v>120</v>
      </c>
      <c r="I353" s="4" t="n">
        <f aca="false">D353*F353</f>
        <v>65.6</v>
      </c>
      <c r="J353" s="3" t="n">
        <f aca="false">IF(AND(LEFT(A353,1)&lt;&gt;"C",D353&gt;0,F353&gt;0),1,0)</f>
        <v>1</v>
      </c>
      <c r="K353" s="3" t="n">
        <f aca="false">IF(AND(H353="United Kingdom",G353&lt;&gt;"",COUNTIFS($G$2:G353,G353,$H$2:H353,"United Kingdom")=1),1,0)</f>
        <v>0</v>
      </c>
    </row>
    <row r="354" customFormat="false" ht="15" hidden="false" customHeight="false" outlineLevel="0" collapsed="false">
      <c r="A354" s="0" t="s">
        <v>153</v>
      </c>
      <c r="B354" s="0" t="s">
        <v>48</v>
      </c>
      <c r="C354" s="0" t="s">
        <v>49</v>
      </c>
      <c r="D354" s="0" t="n">
        <v>20</v>
      </c>
      <c r="E354" s="2" t="n">
        <v>40560.4368055556</v>
      </c>
      <c r="F354" s="0" t="n">
        <v>1.35</v>
      </c>
      <c r="G354" s="0" t="n">
        <v>12747</v>
      </c>
      <c r="H354" s="3" t="s">
        <v>120</v>
      </c>
      <c r="I354" s="4" t="n">
        <f aca="false">D354*F354</f>
        <v>27</v>
      </c>
      <c r="J354" s="3" t="n">
        <f aca="false">IF(AND(LEFT(A354,1)&lt;&gt;"C",D354&gt;0,F354&gt;0),1,0)</f>
        <v>1</v>
      </c>
      <c r="K354" s="3" t="n">
        <f aca="false">IF(AND(H354="United Kingdom",G354&lt;&gt;"",COUNTIFS($G$2:G354,G354,$H$2:H354,"United Kingdom")=1),1,0)</f>
        <v>0</v>
      </c>
    </row>
    <row r="355" customFormat="false" ht="15" hidden="false" customHeight="false" outlineLevel="0" collapsed="false">
      <c r="A355" s="0" t="s">
        <v>154</v>
      </c>
      <c r="B355" s="0" t="s">
        <v>45</v>
      </c>
      <c r="C355" s="0" t="s">
        <v>46</v>
      </c>
      <c r="D355" s="0" t="n">
        <v>6</v>
      </c>
      <c r="E355" s="2" t="n">
        <v>40561.4597222222</v>
      </c>
      <c r="F355" s="0" t="n">
        <v>4.55</v>
      </c>
      <c r="G355" s="0" t="n">
        <v>14240</v>
      </c>
      <c r="H355" s="3" t="s">
        <v>14</v>
      </c>
      <c r="I355" s="4" t="n">
        <f aca="false">D355*F355</f>
        <v>27.3</v>
      </c>
      <c r="J355" s="3" t="n">
        <f aca="false">IF(AND(LEFT(A355,1)&lt;&gt;"C",D355&gt;0,F355&gt;0),1,0)</f>
        <v>1</v>
      </c>
      <c r="K355" s="3" t="n">
        <f aca="false">IF(AND(H355="United Kingdom",G355&lt;&gt;"",COUNTIFS($G$2:G355,G355,$H$2:H355,"United Kingdom")=1),1,0)</f>
        <v>0</v>
      </c>
    </row>
    <row r="356" customFormat="false" ht="15" hidden="false" customHeight="false" outlineLevel="0" collapsed="false">
      <c r="A356" s="0" t="s">
        <v>154</v>
      </c>
      <c r="B356" s="0" t="s">
        <v>25</v>
      </c>
      <c r="C356" s="0" t="s">
        <v>26</v>
      </c>
      <c r="D356" s="0" t="n">
        <v>12</v>
      </c>
      <c r="E356" s="2" t="n">
        <v>40561.4597222222</v>
      </c>
      <c r="F356" s="0" t="n">
        <v>2.21</v>
      </c>
      <c r="G356" s="0" t="n">
        <v>14240</v>
      </c>
      <c r="H356" s="3" t="s">
        <v>14</v>
      </c>
      <c r="I356" s="4" t="n">
        <f aca="false">D356*F356</f>
        <v>26.52</v>
      </c>
      <c r="J356" s="3" t="n">
        <f aca="false">IF(AND(LEFT(A356,1)&lt;&gt;"C",D356&gt;0,F356&gt;0),1,0)</f>
        <v>1</v>
      </c>
      <c r="K356" s="3" t="n">
        <f aca="false">IF(AND(H356="United Kingdom",G356&lt;&gt;"",COUNTIFS($G$2:G356,G356,$H$2:H356,"United Kingdom")=1),1,0)</f>
        <v>0</v>
      </c>
    </row>
    <row r="357" customFormat="false" ht="15" hidden="false" customHeight="false" outlineLevel="0" collapsed="false">
      <c r="A357" s="0" t="s">
        <v>154</v>
      </c>
      <c r="B357" s="0" t="s">
        <v>80</v>
      </c>
      <c r="C357" s="0" t="s">
        <v>81</v>
      </c>
      <c r="D357" s="0" t="n">
        <v>4</v>
      </c>
      <c r="E357" s="2" t="n">
        <v>40561.4597222222</v>
      </c>
      <c r="F357" s="0" t="n">
        <v>1.53</v>
      </c>
      <c r="G357" s="0" t="n">
        <v>14240</v>
      </c>
      <c r="H357" s="3" t="s">
        <v>14</v>
      </c>
      <c r="I357" s="4" t="n">
        <f aca="false">D357*F357</f>
        <v>6.12</v>
      </c>
      <c r="J357" s="3" t="n">
        <f aca="false">IF(AND(LEFT(A357,1)&lt;&gt;"C",D357&gt;0,F357&gt;0),1,0)</f>
        <v>1</v>
      </c>
      <c r="K357" s="3" t="n">
        <f aca="false">IF(AND(H357="United Kingdom",G357&lt;&gt;"",COUNTIFS($G$2:G357,G357,$H$2:H357,"United Kingdom")=1),1,0)</f>
        <v>0</v>
      </c>
    </row>
    <row r="358" customFormat="false" ht="15" hidden="false" customHeight="false" outlineLevel="0" collapsed="false">
      <c r="A358" s="0" t="s">
        <v>154</v>
      </c>
      <c r="B358" s="0" t="s">
        <v>63</v>
      </c>
      <c r="C358" s="0" t="s">
        <v>64</v>
      </c>
      <c r="D358" s="0" t="n">
        <v>4</v>
      </c>
      <c r="E358" s="2" t="n">
        <v>40561.4597222222</v>
      </c>
      <c r="F358" s="0" t="n">
        <v>2.43</v>
      </c>
      <c r="G358" s="0" t="n">
        <v>14240</v>
      </c>
      <c r="H358" s="3" t="s">
        <v>14</v>
      </c>
      <c r="I358" s="4" t="n">
        <f aca="false">D358*F358</f>
        <v>9.72</v>
      </c>
      <c r="J358" s="3" t="n">
        <f aca="false">IF(AND(LEFT(A358,1)&lt;&gt;"C",D358&gt;0,F358&gt;0),1,0)</f>
        <v>1</v>
      </c>
      <c r="K358" s="3" t="n">
        <f aca="false">IF(AND(H358="United Kingdom",G358&lt;&gt;"",COUNTIFS($G$2:G358,G358,$H$2:H358,"United Kingdom")=1),1,0)</f>
        <v>0</v>
      </c>
    </row>
    <row r="359" customFormat="false" ht="15" hidden="false" customHeight="false" outlineLevel="0" collapsed="false">
      <c r="A359" s="0" t="s">
        <v>154</v>
      </c>
      <c r="B359" s="0" t="s">
        <v>54</v>
      </c>
      <c r="C359" s="0" t="s">
        <v>55</v>
      </c>
      <c r="D359" s="0" t="n">
        <v>2</v>
      </c>
      <c r="E359" s="2" t="n">
        <v>40561.4597222222</v>
      </c>
      <c r="F359" s="0" t="n">
        <v>0.99</v>
      </c>
      <c r="G359" s="0" t="n">
        <v>14240</v>
      </c>
      <c r="H359" s="3" t="s">
        <v>14</v>
      </c>
      <c r="I359" s="4" t="n">
        <f aca="false">D359*F359</f>
        <v>1.98</v>
      </c>
      <c r="J359" s="3" t="n">
        <f aca="false">IF(AND(LEFT(A359,1)&lt;&gt;"C",D359&gt;0,F359&gt;0),1,0)</f>
        <v>1</v>
      </c>
      <c r="K359" s="3" t="n">
        <f aca="false">IF(AND(H359="United Kingdom",G359&lt;&gt;"",COUNTIFS($G$2:G359,G359,$H$2:H359,"United Kingdom")=1),1,0)</f>
        <v>0</v>
      </c>
    </row>
    <row r="360" customFormat="false" ht="15" hidden="false" customHeight="false" outlineLevel="0" collapsed="false">
      <c r="A360" s="0" t="s">
        <v>154</v>
      </c>
      <c r="B360" s="0" t="s">
        <v>90</v>
      </c>
      <c r="C360" s="0" t="s">
        <v>91</v>
      </c>
      <c r="D360" s="0" t="n">
        <v>2</v>
      </c>
      <c r="E360" s="2" t="n">
        <v>40561.4597222222</v>
      </c>
      <c r="F360" s="0" t="n">
        <v>3.04</v>
      </c>
      <c r="G360" s="0" t="n">
        <v>14240</v>
      </c>
      <c r="H360" s="3" t="s">
        <v>14</v>
      </c>
      <c r="I360" s="4" t="n">
        <f aca="false">D360*F360</f>
        <v>6.08</v>
      </c>
      <c r="J360" s="3" t="n">
        <f aca="false">IF(AND(LEFT(A360,1)&lt;&gt;"C",D360&gt;0,F360&gt;0),1,0)</f>
        <v>1</v>
      </c>
      <c r="K360" s="3" t="n">
        <f aca="false">IF(AND(H360="United Kingdom",G360&lt;&gt;"",COUNTIFS($G$2:G360,G360,$H$2:H360,"United Kingdom")=1),1,0)</f>
        <v>0</v>
      </c>
    </row>
    <row r="361" customFormat="false" ht="15" hidden="false" customHeight="false" outlineLevel="0" collapsed="false">
      <c r="A361" s="0" t="s">
        <v>154</v>
      </c>
      <c r="B361" s="0" t="s">
        <v>50</v>
      </c>
      <c r="C361" s="0" t="s">
        <v>51</v>
      </c>
      <c r="D361" s="0" t="n">
        <v>16</v>
      </c>
      <c r="E361" s="2" t="n">
        <v>40561.4597222222</v>
      </c>
      <c r="F361" s="0" t="n">
        <v>5.41</v>
      </c>
      <c r="G361" s="0" t="n">
        <v>14240</v>
      </c>
      <c r="H361" s="3" t="s">
        <v>14</v>
      </c>
      <c r="I361" s="4" t="n">
        <f aca="false">D361*F361</f>
        <v>86.56</v>
      </c>
      <c r="J361" s="3" t="n">
        <f aca="false">IF(AND(LEFT(A361,1)&lt;&gt;"C",D361&gt;0,F361&gt;0),1,0)</f>
        <v>1</v>
      </c>
      <c r="K361" s="3" t="n">
        <f aca="false">IF(AND(H361="United Kingdom",G361&lt;&gt;"",COUNTIFS($G$2:G361,G361,$H$2:H361,"United Kingdom")=1),1,0)</f>
        <v>0</v>
      </c>
    </row>
    <row r="362" customFormat="false" ht="15" hidden="false" customHeight="false" outlineLevel="0" collapsed="false">
      <c r="A362" s="0" t="s">
        <v>154</v>
      </c>
      <c r="B362" s="0" t="s">
        <v>34</v>
      </c>
      <c r="C362" s="0" t="s">
        <v>35</v>
      </c>
      <c r="D362" s="0" t="n">
        <v>1</v>
      </c>
      <c r="E362" s="2" t="n">
        <v>40561.4597222222</v>
      </c>
      <c r="F362" s="0" t="n">
        <v>2.38</v>
      </c>
      <c r="G362" s="0" t="n">
        <v>14240</v>
      </c>
      <c r="H362" s="3" t="s">
        <v>14</v>
      </c>
      <c r="I362" s="4" t="n">
        <f aca="false">D362*F362</f>
        <v>2.38</v>
      </c>
      <c r="J362" s="3" t="n">
        <f aca="false">IF(AND(LEFT(A362,1)&lt;&gt;"C",D362&gt;0,F362&gt;0),1,0)</f>
        <v>1</v>
      </c>
      <c r="K362" s="3" t="n">
        <f aca="false">IF(AND(H362="United Kingdom",G362&lt;&gt;"",COUNTIFS($G$2:G362,G362,$H$2:H362,"United Kingdom")=1),1,0)</f>
        <v>0</v>
      </c>
    </row>
    <row r="363" customFormat="false" ht="15" hidden="false" customHeight="false" outlineLevel="0" collapsed="false">
      <c r="A363" s="0" t="s">
        <v>155</v>
      </c>
      <c r="B363" s="0" t="s">
        <v>50</v>
      </c>
      <c r="C363" s="0" t="s">
        <v>51</v>
      </c>
      <c r="D363" s="0" t="n">
        <v>1</v>
      </c>
      <c r="E363" s="2" t="n">
        <v>40562.3479166667</v>
      </c>
      <c r="F363" s="0" t="n">
        <v>5.41</v>
      </c>
      <c r="G363" s="0" t="n">
        <v>12480</v>
      </c>
      <c r="H363" s="3" t="s">
        <v>14</v>
      </c>
      <c r="I363" s="4" t="n">
        <f aca="false">D363*F363</f>
        <v>5.41</v>
      </c>
      <c r="J363" s="3" t="n">
        <f aca="false">IF(AND(LEFT(A363,1)&lt;&gt;"C",D363&gt;0,F363&gt;0),1,0)</f>
        <v>1</v>
      </c>
      <c r="K363" s="3" t="n">
        <f aca="false">IF(AND(H363="United Kingdom",G363&lt;&gt;"",COUNTIFS($G$2:G363,G363,$H$2:H363,"United Kingdom")=1),1,0)</f>
        <v>1</v>
      </c>
    </row>
    <row r="364" customFormat="false" ht="15" hidden="false" customHeight="false" outlineLevel="0" collapsed="false">
      <c r="A364" s="0" t="s">
        <v>155</v>
      </c>
      <c r="B364" s="0" t="s">
        <v>43</v>
      </c>
      <c r="C364" s="0" t="s">
        <v>44</v>
      </c>
      <c r="D364" s="0" t="n">
        <v>8</v>
      </c>
      <c r="E364" s="2" t="n">
        <v>40562.3479166667</v>
      </c>
      <c r="F364" s="0" t="n">
        <v>1.35</v>
      </c>
      <c r="G364" s="0" t="n">
        <v>12480</v>
      </c>
      <c r="H364" s="3" t="s">
        <v>14</v>
      </c>
      <c r="I364" s="4" t="n">
        <f aca="false">D364*F364</f>
        <v>10.8</v>
      </c>
      <c r="J364" s="3" t="n">
        <f aca="false">IF(AND(LEFT(A364,1)&lt;&gt;"C",D364&gt;0,F364&gt;0),1,0)</f>
        <v>1</v>
      </c>
      <c r="K364" s="3" t="n">
        <f aca="false">IF(AND(H364="United Kingdom",G364&lt;&gt;"",COUNTIFS($G$2:G364,G364,$H$2:H364,"United Kingdom")=1),1,0)</f>
        <v>0</v>
      </c>
    </row>
    <row r="365" customFormat="false" ht="15" hidden="false" customHeight="false" outlineLevel="0" collapsed="false">
      <c r="A365" s="0" t="s">
        <v>155</v>
      </c>
      <c r="B365" s="0" t="s">
        <v>41</v>
      </c>
      <c r="C365" s="0" t="s">
        <v>42</v>
      </c>
      <c r="D365" s="0" t="n">
        <v>3</v>
      </c>
      <c r="E365" s="2" t="n">
        <v>40562.3479166667</v>
      </c>
      <c r="F365" s="0" t="n">
        <v>3.28</v>
      </c>
      <c r="G365" s="0" t="n">
        <v>12480</v>
      </c>
      <c r="H365" s="3" t="s">
        <v>14</v>
      </c>
      <c r="I365" s="4" t="n">
        <f aca="false">D365*F365</f>
        <v>9.84</v>
      </c>
      <c r="J365" s="3" t="n">
        <f aca="false">IF(AND(LEFT(A365,1)&lt;&gt;"C",D365&gt;0,F365&gt;0),1,0)</f>
        <v>1</v>
      </c>
      <c r="K365" s="3" t="n">
        <f aca="false">IF(AND(H365="United Kingdom",G365&lt;&gt;"",COUNTIFS($G$2:G365,G365,$H$2:H365,"United Kingdom")=1),1,0)</f>
        <v>0</v>
      </c>
    </row>
    <row r="366" customFormat="false" ht="15" hidden="false" customHeight="false" outlineLevel="0" collapsed="false">
      <c r="A366" s="0" t="s">
        <v>155</v>
      </c>
      <c r="B366" s="0" t="s">
        <v>72</v>
      </c>
      <c r="C366" s="0" t="s">
        <v>73</v>
      </c>
      <c r="D366" s="0" t="n">
        <v>16</v>
      </c>
      <c r="E366" s="2" t="n">
        <v>40562.3479166667</v>
      </c>
      <c r="F366" s="0" t="n">
        <v>2.69</v>
      </c>
      <c r="G366" s="0" t="n">
        <v>12480</v>
      </c>
      <c r="H366" s="3" t="s">
        <v>14</v>
      </c>
      <c r="I366" s="4" t="n">
        <f aca="false">D366*F366</f>
        <v>43.04</v>
      </c>
      <c r="J366" s="3" t="n">
        <f aca="false">IF(AND(LEFT(A366,1)&lt;&gt;"C",D366&gt;0,F366&gt;0),1,0)</f>
        <v>1</v>
      </c>
      <c r="K366" s="3" t="n">
        <f aca="false">IF(AND(H366="United Kingdom",G366&lt;&gt;"",COUNTIFS($G$2:G366,G366,$H$2:H366,"United Kingdom")=1),1,0)</f>
        <v>0</v>
      </c>
    </row>
    <row r="367" customFormat="false" ht="15" hidden="false" customHeight="false" outlineLevel="0" collapsed="false">
      <c r="A367" s="0" t="s">
        <v>155</v>
      </c>
      <c r="B367" s="0" t="s">
        <v>12</v>
      </c>
      <c r="C367" s="0" t="s">
        <v>13</v>
      </c>
      <c r="D367" s="0" t="n">
        <v>6</v>
      </c>
      <c r="E367" s="2" t="n">
        <v>40562.3479166667</v>
      </c>
      <c r="F367" s="0" t="n">
        <v>3.33</v>
      </c>
      <c r="G367" s="0" t="n">
        <v>12480</v>
      </c>
      <c r="H367" s="3" t="s">
        <v>14</v>
      </c>
      <c r="I367" s="4" t="n">
        <f aca="false">D367*F367</f>
        <v>19.98</v>
      </c>
      <c r="J367" s="3" t="n">
        <f aca="false">IF(AND(LEFT(A367,1)&lt;&gt;"C",D367&gt;0,F367&gt;0),1,0)</f>
        <v>1</v>
      </c>
      <c r="K367" s="3" t="n">
        <f aca="false">IF(AND(H367="United Kingdom",G367&lt;&gt;"",COUNTIFS($G$2:G367,G367,$H$2:H367,"United Kingdom")=1),1,0)</f>
        <v>0</v>
      </c>
    </row>
    <row r="368" customFormat="false" ht="15" hidden="false" customHeight="false" outlineLevel="0" collapsed="false">
      <c r="A368" s="0" t="s">
        <v>155</v>
      </c>
      <c r="B368" s="0" t="s">
        <v>39</v>
      </c>
      <c r="C368" s="0" t="s">
        <v>40</v>
      </c>
      <c r="D368" s="0" t="n">
        <v>2</v>
      </c>
      <c r="E368" s="2" t="n">
        <v>40562.3479166667</v>
      </c>
      <c r="F368" s="0" t="n">
        <v>2.58</v>
      </c>
      <c r="G368" s="0" t="n">
        <v>12480</v>
      </c>
      <c r="H368" s="3" t="s">
        <v>14</v>
      </c>
      <c r="I368" s="4" t="n">
        <f aca="false">D368*F368</f>
        <v>5.16</v>
      </c>
      <c r="J368" s="3" t="n">
        <f aca="false">IF(AND(LEFT(A368,1)&lt;&gt;"C",D368&gt;0,F368&gt;0),1,0)</f>
        <v>1</v>
      </c>
      <c r="K368" s="3" t="n">
        <f aca="false">IF(AND(H368="United Kingdom",G368&lt;&gt;"",COUNTIFS($G$2:G368,G368,$H$2:H368,"United Kingdom")=1),1,0)</f>
        <v>0</v>
      </c>
    </row>
    <row r="369" customFormat="false" ht="15" hidden="false" customHeight="false" outlineLevel="0" collapsed="false">
      <c r="A369" s="0" t="s">
        <v>155</v>
      </c>
      <c r="B369" s="0" t="s">
        <v>65</v>
      </c>
      <c r="C369" s="0" t="s">
        <v>66</v>
      </c>
      <c r="D369" s="0" t="n">
        <v>8</v>
      </c>
      <c r="E369" s="2" t="n">
        <v>40562.3479166667</v>
      </c>
      <c r="F369" s="0" t="n">
        <v>4.75</v>
      </c>
      <c r="G369" s="0" t="n">
        <v>12480</v>
      </c>
      <c r="H369" s="3" t="s">
        <v>14</v>
      </c>
      <c r="I369" s="4" t="n">
        <f aca="false">D369*F369</f>
        <v>38</v>
      </c>
      <c r="J369" s="3" t="n">
        <f aca="false">IF(AND(LEFT(A369,1)&lt;&gt;"C",D369&gt;0,F369&gt;0),1,0)</f>
        <v>1</v>
      </c>
      <c r="K369" s="3" t="n">
        <f aca="false">IF(AND(H369="United Kingdom",G369&lt;&gt;"",COUNTIFS($G$2:G369,G369,$H$2:H369,"United Kingdom")=1),1,0)</f>
        <v>0</v>
      </c>
    </row>
    <row r="370" customFormat="false" ht="15" hidden="false" customHeight="false" outlineLevel="0" collapsed="false">
      <c r="A370" s="0" t="s">
        <v>155</v>
      </c>
      <c r="B370" s="0" t="s">
        <v>60</v>
      </c>
      <c r="C370" s="0" t="s">
        <v>61</v>
      </c>
      <c r="D370" s="0" t="n">
        <v>2</v>
      </c>
      <c r="E370" s="2" t="n">
        <v>40562.3479166667</v>
      </c>
      <c r="F370" s="0" t="n">
        <v>0.63</v>
      </c>
      <c r="G370" s="0" t="n">
        <v>12480</v>
      </c>
      <c r="H370" s="3" t="s">
        <v>14</v>
      </c>
      <c r="I370" s="4" t="n">
        <f aca="false">D370*F370</f>
        <v>1.26</v>
      </c>
      <c r="J370" s="3" t="n">
        <f aca="false">IF(AND(LEFT(A370,1)&lt;&gt;"C",D370&gt;0,F370&gt;0),1,0)</f>
        <v>1</v>
      </c>
      <c r="K370" s="3" t="n">
        <f aca="false">IF(AND(H370="United Kingdom",G370&lt;&gt;"",COUNTIFS($G$2:G370,G370,$H$2:H370,"United Kingdom")=1),1,0)</f>
        <v>0</v>
      </c>
    </row>
    <row r="371" customFormat="false" ht="15" hidden="false" customHeight="false" outlineLevel="0" collapsed="false">
      <c r="A371" s="0" t="s">
        <v>155</v>
      </c>
      <c r="B371" s="0" t="s">
        <v>77</v>
      </c>
      <c r="C371" s="0" t="s">
        <v>78</v>
      </c>
      <c r="D371" s="0" t="n">
        <v>2</v>
      </c>
      <c r="E371" s="2" t="n">
        <v>40562.3479166667</v>
      </c>
      <c r="F371" s="0" t="n">
        <v>3.41</v>
      </c>
      <c r="G371" s="0" t="n">
        <v>12480</v>
      </c>
      <c r="H371" s="3" t="s">
        <v>14</v>
      </c>
      <c r="I371" s="4" t="n">
        <f aca="false">D371*F371</f>
        <v>6.82</v>
      </c>
      <c r="J371" s="3" t="n">
        <f aca="false">IF(AND(LEFT(A371,1)&lt;&gt;"C",D371&gt;0,F371&gt;0),1,0)</f>
        <v>1</v>
      </c>
      <c r="K371" s="3" t="n">
        <f aca="false">IF(AND(H371="United Kingdom",G371&lt;&gt;"",COUNTIFS($G$2:G371,G371,$H$2:H371,"United Kingdom")=1),1,0)</f>
        <v>0</v>
      </c>
    </row>
    <row r="372" customFormat="false" ht="15" hidden="false" customHeight="false" outlineLevel="0" collapsed="false">
      <c r="A372" s="0" t="s">
        <v>155</v>
      </c>
      <c r="B372" s="0" t="s">
        <v>113</v>
      </c>
      <c r="C372" s="0" t="s">
        <v>114</v>
      </c>
      <c r="D372" s="0" t="n">
        <v>2</v>
      </c>
      <c r="E372" s="2" t="n">
        <v>40562.3479166667</v>
      </c>
      <c r="F372" s="0" t="n">
        <v>3.57</v>
      </c>
      <c r="G372" s="0" t="n">
        <v>12480</v>
      </c>
      <c r="H372" s="3" t="s">
        <v>14</v>
      </c>
      <c r="I372" s="4" t="n">
        <f aca="false">D372*F372</f>
        <v>7.14</v>
      </c>
      <c r="J372" s="3" t="n">
        <f aca="false">IF(AND(LEFT(A372,1)&lt;&gt;"C",D372&gt;0,F372&gt;0),1,0)</f>
        <v>1</v>
      </c>
      <c r="K372" s="3" t="n">
        <f aca="false">IF(AND(H372="United Kingdom",G372&lt;&gt;"",COUNTIFS($G$2:G372,G372,$H$2:H372,"United Kingdom")=1),1,0)</f>
        <v>0</v>
      </c>
    </row>
    <row r="373" customFormat="false" ht="15" hidden="false" customHeight="false" outlineLevel="0" collapsed="false">
      <c r="A373" s="0" t="s">
        <v>155</v>
      </c>
      <c r="B373" s="0" t="s">
        <v>20</v>
      </c>
      <c r="C373" s="0" t="s">
        <v>21</v>
      </c>
      <c r="D373" s="0" t="n">
        <v>12</v>
      </c>
      <c r="E373" s="2" t="n">
        <v>40562.3479166667</v>
      </c>
      <c r="F373" s="0" t="n">
        <v>4.24</v>
      </c>
      <c r="G373" s="0" t="n">
        <v>12480</v>
      </c>
      <c r="H373" s="3" t="s">
        <v>14</v>
      </c>
      <c r="I373" s="4" t="n">
        <f aca="false">D373*F373</f>
        <v>50.88</v>
      </c>
      <c r="J373" s="3" t="n">
        <f aca="false">IF(AND(LEFT(A373,1)&lt;&gt;"C",D373&gt;0,F373&gt;0),1,0)</f>
        <v>1</v>
      </c>
      <c r="K373" s="3" t="n">
        <f aca="false">IF(AND(H373="United Kingdom",G373&lt;&gt;"",COUNTIFS($G$2:G373,G373,$H$2:H373,"United Kingdom")=1),1,0)</f>
        <v>0</v>
      </c>
    </row>
    <row r="374" customFormat="false" ht="15" hidden="false" customHeight="false" outlineLevel="0" collapsed="false">
      <c r="A374" s="0" t="s">
        <v>156</v>
      </c>
      <c r="B374" s="0" t="s">
        <v>39</v>
      </c>
      <c r="C374" s="0" t="s">
        <v>40</v>
      </c>
      <c r="D374" s="0" t="n">
        <v>12</v>
      </c>
      <c r="E374" s="2" t="n">
        <v>40562.5229166667</v>
      </c>
      <c r="F374" s="0" t="n">
        <v>2.58</v>
      </c>
      <c r="G374" s="0" t="n">
        <v>15593</v>
      </c>
      <c r="H374" s="3" t="s">
        <v>14</v>
      </c>
      <c r="I374" s="4" t="n">
        <f aca="false">D374*F374</f>
        <v>30.96</v>
      </c>
      <c r="J374" s="3" t="n">
        <f aca="false">IF(AND(LEFT(A374,1)&lt;&gt;"C",D374&gt;0,F374&gt;0),1,0)</f>
        <v>1</v>
      </c>
      <c r="K374" s="3" t="n">
        <f aca="false">IF(AND(H374="United Kingdom",G374&lt;&gt;"",COUNTIFS($G$2:G374,G374,$H$2:H374,"United Kingdom")=1),1,0)</f>
        <v>1</v>
      </c>
    </row>
    <row r="375" customFormat="false" ht="15" hidden="false" customHeight="false" outlineLevel="0" collapsed="false">
      <c r="A375" s="0" t="s">
        <v>156</v>
      </c>
      <c r="B375" s="0" t="s">
        <v>77</v>
      </c>
      <c r="C375" s="0" t="s">
        <v>78</v>
      </c>
      <c r="D375" s="0" t="n">
        <v>1</v>
      </c>
      <c r="E375" s="2" t="n">
        <v>40562.5229166667</v>
      </c>
      <c r="F375" s="0" t="n">
        <v>3.41</v>
      </c>
      <c r="G375" s="0" t="n">
        <v>15593</v>
      </c>
      <c r="H375" s="3" t="s">
        <v>14</v>
      </c>
      <c r="I375" s="4" t="n">
        <f aca="false">D375*F375</f>
        <v>3.41</v>
      </c>
      <c r="J375" s="3" t="n">
        <f aca="false">IF(AND(LEFT(A375,1)&lt;&gt;"C",D375&gt;0,F375&gt;0),1,0)</f>
        <v>1</v>
      </c>
      <c r="K375" s="3" t="n">
        <f aca="false">IF(AND(H375="United Kingdom",G375&lt;&gt;"",COUNTIFS($G$2:G375,G375,$H$2:H375,"United Kingdom")=1),1,0)</f>
        <v>0</v>
      </c>
    </row>
    <row r="376" customFormat="false" ht="15" hidden="false" customHeight="false" outlineLevel="0" collapsed="false">
      <c r="A376" s="0" t="s">
        <v>157</v>
      </c>
      <c r="B376" s="0" t="s">
        <v>12</v>
      </c>
      <c r="C376" s="0" t="s">
        <v>13</v>
      </c>
      <c r="D376" s="0" t="n">
        <v>6</v>
      </c>
      <c r="E376" s="2" t="n">
        <v>40562.7701388889</v>
      </c>
      <c r="F376" s="0" t="n">
        <v>3.33</v>
      </c>
      <c r="G376" s="0" t="n">
        <v>18211</v>
      </c>
      <c r="H376" s="3" t="s">
        <v>14</v>
      </c>
      <c r="I376" s="4" t="n">
        <f aca="false">D376*F376</f>
        <v>19.98</v>
      </c>
      <c r="J376" s="3" t="n">
        <f aca="false">IF(AND(LEFT(A376,1)&lt;&gt;"C",D376&gt;0,F376&gt;0),1,0)</f>
        <v>1</v>
      </c>
      <c r="K376" s="3" t="n">
        <f aca="false">IF(AND(H376="United Kingdom",G376&lt;&gt;"",COUNTIFS($G$2:G376,G376,$H$2:H376,"United Kingdom")=1),1,0)</f>
        <v>0</v>
      </c>
    </row>
    <row r="377" customFormat="false" ht="15" hidden="false" customHeight="false" outlineLevel="0" collapsed="false">
      <c r="A377" s="0" t="s">
        <v>157</v>
      </c>
      <c r="B377" s="0" t="s">
        <v>63</v>
      </c>
      <c r="C377" s="0" t="s">
        <v>64</v>
      </c>
      <c r="D377" s="0" t="n">
        <v>6</v>
      </c>
      <c r="E377" s="2" t="n">
        <v>40562.7701388889</v>
      </c>
      <c r="F377" s="0" t="n">
        <v>2.43</v>
      </c>
      <c r="G377" s="0" t="n">
        <v>18211</v>
      </c>
      <c r="H377" s="3" t="s">
        <v>14</v>
      </c>
      <c r="I377" s="4" t="n">
        <f aca="false">D377*F377</f>
        <v>14.58</v>
      </c>
      <c r="J377" s="3" t="n">
        <f aca="false">IF(AND(LEFT(A377,1)&lt;&gt;"C",D377&gt;0,F377&gt;0),1,0)</f>
        <v>1</v>
      </c>
      <c r="K377" s="3" t="n">
        <f aca="false">IF(AND(H377="United Kingdom",G377&lt;&gt;"",COUNTIFS($G$2:G377,G377,$H$2:H377,"United Kingdom")=1),1,0)</f>
        <v>0</v>
      </c>
    </row>
    <row r="378" customFormat="false" ht="15" hidden="false" customHeight="false" outlineLevel="0" collapsed="false">
      <c r="A378" s="0" t="s">
        <v>157</v>
      </c>
      <c r="B378" s="0" t="s">
        <v>68</v>
      </c>
      <c r="C378" s="0" t="s">
        <v>69</v>
      </c>
      <c r="D378" s="0" t="n">
        <v>16</v>
      </c>
      <c r="E378" s="2" t="n">
        <v>40562.7701388889</v>
      </c>
      <c r="F378" s="0" t="n">
        <v>1.26</v>
      </c>
      <c r="G378" s="0" t="n">
        <v>18211</v>
      </c>
      <c r="H378" s="3" t="s">
        <v>14</v>
      </c>
      <c r="I378" s="4" t="n">
        <f aca="false">D378*F378</f>
        <v>20.16</v>
      </c>
      <c r="J378" s="3" t="n">
        <f aca="false">IF(AND(LEFT(A378,1)&lt;&gt;"C",D378&gt;0,F378&gt;0),1,0)</f>
        <v>1</v>
      </c>
      <c r="K378" s="3" t="n">
        <f aca="false">IF(AND(H378="United Kingdom",G378&lt;&gt;"",COUNTIFS($G$2:G378,G378,$H$2:H378,"United Kingdom")=1),1,0)</f>
        <v>0</v>
      </c>
    </row>
    <row r="379" customFormat="false" ht="15" hidden="false" customHeight="false" outlineLevel="0" collapsed="false">
      <c r="A379" s="0" t="s">
        <v>158</v>
      </c>
      <c r="B379" s="0" t="s">
        <v>32</v>
      </c>
      <c r="C379" s="0" t="s">
        <v>33</v>
      </c>
      <c r="D379" s="0" t="n">
        <v>2</v>
      </c>
      <c r="E379" s="2" t="n">
        <v>40563.3923611111</v>
      </c>
      <c r="F379" s="0" t="n">
        <v>1.19</v>
      </c>
      <c r="G379" s="0" t="n">
        <v>13075</v>
      </c>
      <c r="H379" s="3" t="s">
        <v>120</v>
      </c>
      <c r="I379" s="4" t="n">
        <f aca="false">D379*F379</f>
        <v>2.38</v>
      </c>
      <c r="J379" s="3" t="n">
        <f aca="false">IF(AND(LEFT(A379,1)&lt;&gt;"C",D379&gt;0,F379&gt;0),1,0)</f>
        <v>1</v>
      </c>
      <c r="K379" s="3" t="n">
        <f aca="false">IF(AND(H379="United Kingdom",G379&lt;&gt;"",COUNTIFS($G$2:G379,G379,$H$2:H379,"United Kingdom")=1),1,0)</f>
        <v>0</v>
      </c>
    </row>
    <row r="380" customFormat="false" ht="15" hidden="false" customHeight="false" outlineLevel="0" collapsed="false">
      <c r="A380" s="0" t="s">
        <v>158</v>
      </c>
      <c r="B380" s="0" t="s">
        <v>90</v>
      </c>
      <c r="C380" s="0" t="s">
        <v>91</v>
      </c>
      <c r="D380" s="0" t="n">
        <v>1</v>
      </c>
      <c r="E380" s="2" t="n">
        <v>40563.3923611111</v>
      </c>
      <c r="F380" s="0" t="n">
        <v>3.04</v>
      </c>
      <c r="G380" s="0" t="n">
        <v>13075</v>
      </c>
      <c r="H380" s="3" t="s">
        <v>120</v>
      </c>
      <c r="I380" s="4" t="n">
        <f aca="false">D380*F380</f>
        <v>3.04</v>
      </c>
      <c r="J380" s="3" t="n">
        <f aca="false">IF(AND(LEFT(A380,1)&lt;&gt;"C",D380&gt;0,F380&gt;0),1,0)</f>
        <v>1</v>
      </c>
      <c r="K380" s="3" t="n">
        <f aca="false">IF(AND(H380="United Kingdom",G380&lt;&gt;"",COUNTIFS($G$2:G380,G380,$H$2:H380,"United Kingdom")=1),1,0)</f>
        <v>0</v>
      </c>
    </row>
    <row r="381" customFormat="false" ht="15" hidden="false" customHeight="false" outlineLevel="0" collapsed="false">
      <c r="A381" s="0" t="s">
        <v>159</v>
      </c>
      <c r="B381" s="0" t="s">
        <v>54</v>
      </c>
      <c r="C381" s="0" t="s">
        <v>55</v>
      </c>
      <c r="D381" s="0" t="n">
        <v>3</v>
      </c>
      <c r="E381" s="2" t="n">
        <v>40563.4118055556</v>
      </c>
      <c r="F381" s="0" t="n">
        <v>0.99</v>
      </c>
      <c r="H381" s="3" t="s">
        <v>14</v>
      </c>
      <c r="I381" s="4" t="n">
        <f aca="false">D381*F381</f>
        <v>2.97</v>
      </c>
      <c r="J381" s="3" t="n">
        <f aca="false">IF(AND(LEFT(A381,1)&lt;&gt;"C",D381&gt;0,F381&gt;0),1,0)</f>
        <v>1</v>
      </c>
      <c r="K381" s="3" t="n">
        <f aca="false">IF(AND(H381="United Kingdom",G381&lt;&gt;"",COUNTIFS($G$2:G381,G381,$H$2:H381,"United Kingdom")=1),1,0)</f>
        <v>0</v>
      </c>
    </row>
    <row r="382" customFormat="false" ht="15" hidden="false" customHeight="false" outlineLevel="0" collapsed="false">
      <c r="A382" s="0" t="s">
        <v>159</v>
      </c>
      <c r="B382" s="0" t="s">
        <v>37</v>
      </c>
      <c r="C382" s="0" t="s">
        <v>38</v>
      </c>
      <c r="D382" s="0" t="n">
        <v>4</v>
      </c>
      <c r="E382" s="2" t="n">
        <v>40563.4118055556</v>
      </c>
      <c r="F382" s="0" t="n">
        <v>1.82</v>
      </c>
      <c r="H382" s="3" t="s">
        <v>14</v>
      </c>
      <c r="I382" s="4" t="n">
        <f aca="false">D382*F382</f>
        <v>7.28</v>
      </c>
      <c r="J382" s="3" t="n">
        <f aca="false">IF(AND(LEFT(A382,1)&lt;&gt;"C",D382&gt;0,F382&gt;0),1,0)</f>
        <v>1</v>
      </c>
      <c r="K382" s="3" t="n">
        <f aca="false">IF(AND(H382="United Kingdom",G382&lt;&gt;"",COUNTIFS($G$2:G382,G382,$H$2:H382,"United Kingdom")=1),1,0)</f>
        <v>0</v>
      </c>
    </row>
    <row r="383" customFormat="false" ht="15" hidden="false" customHeight="false" outlineLevel="0" collapsed="false">
      <c r="A383" s="0" t="s">
        <v>159</v>
      </c>
      <c r="B383" s="0" t="s">
        <v>58</v>
      </c>
      <c r="C383" s="0" t="s">
        <v>59</v>
      </c>
      <c r="D383" s="0" t="n">
        <v>8</v>
      </c>
      <c r="E383" s="2" t="n">
        <v>40563.4118055556</v>
      </c>
      <c r="F383" s="0" t="n">
        <v>2.16</v>
      </c>
      <c r="H383" s="3" t="s">
        <v>14</v>
      </c>
      <c r="I383" s="4" t="n">
        <f aca="false">D383*F383</f>
        <v>17.28</v>
      </c>
      <c r="J383" s="3" t="n">
        <f aca="false">IF(AND(LEFT(A383,1)&lt;&gt;"C",D383&gt;0,F383&gt;0),1,0)</f>
        <v>1</v>
      </c>
      <c r="K383" s="3" t="n">
        <f aca="false">IF(AND(H383="United Kingdom",G383&lt;&gt;"",COUNTIFS($G$2:G383,G383,$H$2:H383,"United Kingdom")=1),1,0)</f>
        <v>0</v>
      </c>
    </row>
    <row r="384" customFormat="false" ht="15" hidden="false" customHeight="false" outlineLevel="0" collapsed="false">
      <c r="A384" s="0" t="s">
        <v>159</v>
      </c>
      <c r="B384" s="0" t="s">
        <v>12</v>
      </c>
      <c r="C384" s="0" t="s">
        <v>13</v>
      </c>
      <c r="D384" s="0" t="n">
        <v>16</v>
      </c>
      <c r="E384" s="2" t="n">
        <v>40563.4118055556</v>
      </c>
      <c r="F384" s="0" t="n">
        <v>3.33</v>
      </c>
      <c r="H384" s="3" t="s">
        <v>14</v>
      </c>
      <c r="I384" s="4" t="n">
        <f aca="false">D384*F384</f>
        <v>53.28</v>
      </c>
      <c r="J384" s="3" t="n">
        <f aca="false">IF(AND(LEFT(A384,1)&lt;&gt;"C",D384&gt;0,F384&gt;0),1,0)</f>
        <v>1</v>
      </c>
      <c r="K384" s="3" t="n">
        <f aca="false">IF(AND(H384="United Kingdom",G384&lt;&gt;"",COUNTIFS($G$2:G384,G384,$H$2:H384,"United Kingdom")=1),1,0)</f>
        <v>0</v>
      </c>
    </row>
    <row r="385" customFormat="false" ht="15" hidden="false" customHeight="false" outlineLevel="0" collapsed="false">
      <c r="A385" s="0" t="s">
        <v>159</v>
      </c>
      <c r="B385" s="0" t="s">
        <v>77</v>
      </c>
      <c r="C385" s="0" t="s">
        <v>78</v>
      </c>
      <c r="D385" s="0" t="n">
        <v>8</v>
      </c>
      <c r="E385" s="2" t="n">
        <v>40563.4118055556</v>
      </c>
      <c r="F385" s="0" t="n">
        <v>3.41</v>
      </c>
      <c r="H385" s="3" t="s">
        <v>14</v>
      </c>
      <c r="I385" s="4" t="n">
        <f aca="false">D385*F385</f>
        <v>27.28</v>
      </c>
      <c r="J385" s="3" t="n">
        <f aca="false">IF(AND(LEFT(A385,1)&lt;&gt;"C",D385&gt;0,F385&gt;0),1,0)</f>
        <v>1</v>
      </c>
      <c r="K385" s="3" t="n">
        <f aca="false">IF(AND(H385="United Kingdom",G385&lt;&gt;"",COUNTIFS($G$2:G385,G385,$H$2:H385,"United Kingdom")=1),1,0)</f>
        <v>0</v>
      </c>
    </row>
    <row r="386" customFormat="false" ht="15" hidden="false" customHeight="false" outlineLevel="0" collapsed="false">
      <c r="A386" s="0" t="s">
        <v>159</v>
      </c>
      <c r="B386" s="0" t="s">
        <v>27</v>
      </c>
      <c r="C386" s="0" t="s">
        <v>28</v>
      </c>
      <c r="D386" s="0" t="n">
        <v>4</v>
      </c>
      <c r="E386" s="2" t="n">
        <v>40563.4118055556</v>
      </c>
      <c r="F386" s="0" t="n">
        <v>4.55</v>
      </c>
      <c r="H386" s="3" t="s">
        <v>14</v>
      </c>
      <c r="I386" s="4" t="n">
        <f aca="false">D386*F386</f>
        <v>18.2</v>
      </c>
      <c r="J386" s="3" t="n">
        <f aca="false">IF(AND(LEFT(A386,1)&lt;&gt;"C",D386&gt;0,F386&gt;0),1,0)</f>
        <v>1</v>
      </c>
      <c r="K386" s="3" t="n">
        <f aca="false">IF(AND(H386="United Kingdom",G386&lt;&gt;"",COUNTIFS($G$2:G386,G386,$H$2:H386,"United Kingdom")=1),1,0)</f>
        <v>0</v>
      </c>
    </row>
    <row r="387" customFormat="false" ht="15" hidden="false" customHeight="false" outlineLevel="0" collapsed="false">
      <c r="A387" s="0" t="s">
        <v>160</v>
      </c>
      <c r="B387" s="0" t="s">
        <v>113</v>
      </c>
      <c r="C387" s="0" t="s">
        <v>114</v>
      </c>
      <c r="D387" s="0" t="n">
        <v>36</v>
      </c>
      <c r="E387" s="2" t="n">
        <v>40563.7916666667</v>
      </c>
      <c r="F387" s="0" t="n">
        <v>3.57</v>
      </c>
      <c r="G387" s="0" t="n">
        <v>16902</v>
      </c>
      <c r="H387" s="3" t="s">
        <v>14</v>
      </c>
      <c r="I387" s="4" t="n">
        <f aca="false">D387*F387</f>
        <v>128.52</v>
      </c>
      <c r="J387" s="3" t="n">
        <f aca="false">IF(AND(LEFT(A387,1)&lt;&gt;"C",D387&gt;0,F387&gt;0),1,0)</f>
        <v>1</v>
      </c>
      <c r="K387" s="3" t="n">
        <f aca="false">IF(AND(H387="United Kingdom",G387&lt;&gt;"",COUNTIFS($G$2:G387,G387,$H$2:H387,"United Kingdom")=1),1,0)</f>
        <v>0</v>
      </c>
    </row>
    <row r="388" customFormat="false" ht="15" hidden="false" customHeight="false" outlineLevel="0" collapsed="false">
      <c r="A388" s="0" t="s">
        <v>160</v>
      </c>
      <c r="B388" s="0" t="s">
        <v>68</v>
      </c>
      <c r="C388" s="0" t="s">
        <v>69</v>
      </c>
      <c r="D388" s="0" t="n">
        <v>288</v>
      </c>
      <c r="E388" s="2" t="n">
        <v>40563.7916666667</v>
      </c>
      <c r="F388" s="0" t="n">
        <v>1.26</v>
      </c>
      <c r="G388" s="0" t="n">
        <v>16902</v>
      </c>
      <c r="H388" s="3" t="s">
        <v>14</v>
      </c>
      <c r="I388" s="4" t="n">
        <f aca="false">D388*F388</f>
        <v>362.88</v>
      </c>
      <c r="J388" s="3" t="n">
        <f aca="false">IF(AND(LEFT(A388,1)&lt;&gt;"C",D388&gt;0,F388&gt;0),1,0)</f>
        <v>1</v>
      </c>
      <c r="K388" s="3" t="n">
        <f aca="false">IF(AND(H388="United Kingdom",G388&lt;&gt;"",COUNTIFS($G$2:G388,G388,$H$2:H388,"United Kingdom")=1),1,0)</f>
        <v>0</v>
      </c>
    </row>
    <row r="389" customFormat="false" ht="15" hidden="false" customHeight="false" outlineLevel="0" collapsed="false">
      <c r="A389" s="0" t="s">
        <v>161</v>
      </c>
      <c r="B389" s="0" t="s">
        <v>45</v>
      </c>
      <c r="C389" s="0" t="s">
        <v>46</v>
      </c>
      <c r="D389" s="0" t="n">
        <v>1</v>
      </c>
      <c r="E389" s="2" t="n">
        <v>40564.3340277778</v>
      </c>
      <c r="F389" s="0" t="n">
        <v>4.55</v>
      </c>
      <c r="H389" s="3" t="s">
        <v>14</v>
      </c>
      <c r="I389" s="4" t="n">
        <f aca="false">D389*F389</f>
        <v>4.55</v>
      </c>
      <c r="J389" s="3" t="n">
        <f aca="false">IF(AND(LEFT(A389,1)&lt;&gt;"C",D389&gt;0,F389&gt;0),1,0)</f>
        <v>1</v>
      </c>
      <c r="K389" s="3" t="n">
        <f aca="false">IF(AND(H389="United Kingdom",G389&lt;&gt;"",COUNTIFS($G$2:G389,G389,$H$2:H389,"United Kingdom")=1),1,0)</f>
        <v>0</v>
      </c>
    </row>
    <row r="390" customFormat="false" ht="15" hidden="false" customHeight="false" outlineLevel="0" collapsed="false">
      <c r="A390" s="0" t="s">
        <v>161</v>
      </c>
      <c r="B390" s="0" t="s">
        <v>15</v>
      </c>
      <c r="C390" s="0" t="s">
        <v>16</v>
      </c>
      <c r="D390" s="0" t="n">
        <v>1</v>
      </c>
      <c r="E390" s="2" t="n">
        <v>40564.3340277778</v>
      </c>
      <c r="F390" s="0" t="n">
        <v>3.18</v>
      </c>
      <c r="H390" s="3" t="s">
        <v>14</v>
      </c>
      <c r="I390" s="4" t="n">
        <f aca="false">D390*F390</f>
        <v>3.18</v>
      </c>
      <c r="J390" s="3" t="n">
        <f aca="false">IF(AND(LEFT(A390,1)&lt;&gt;"C",D390&gt;0,F390&gt;0),1,0)</f>
        <v>1</v>
      </c>
      <c r="K390" s="3" t="n">
        <f aca="false">IF(AND(H390="United Kingdom",G390&lt;&gt;"",COUNTIFS($G$2:G390,G390,$H$2:H390,"United Kingdom")=1),1,0)</f>
        <v>0</v>
      </c>
    </row>
    <row r="391" customFormat="false" ht="15" hidden="false" customHeight="false" outlineLevel="0" collapsed="false">
      <c r="A391" s="0" t="s">
        <v>161</v>
      </c>
      <c r="B391" s="0" t="s">
        <v>25</v>
      </c>
      <c r="C391" s="0" t="s">
        <v>26</v>
      </c>
      <c r="D391" s="0" t="n">
        <v>2</v>
      </c>
      <c r="E391" s="2" t="n">
        <v>40564.3340277778</v>
      </c>
      <c r="F391" s="0" t="n">
        <v>2.21</v>
      </c>
      <c r="H391" s="3" t="s">
        <v>14</v>
      </c>
      <c r="I391" s="4" t="n">
        <f aca="false">D391*F391</f>
        <v>4.42</v>
      </c>
      <c r="J391" s="3" t="n">
        <f aca="false">IF(AND(LEFT(A391,1)&lt;&gt;"C",D391&gt;0,F391&gt;0),1,0)</f>
        <v>1</v>
      </c>
      <c r="K391" s="3" t="n">
        <f aca="false">IF(AND(H391="United Kingdom",G391&lt;&gt;"",COUNTIFS($G$2:G391,G391,$H$2:H391,"United Kingdom")=1),1,0)</f>
        <v>0</v>
      </c>
    </row>
    <row r="392" customFormat="false" ht="15" hidden="false" customHeight="false" outlineLevel="0" collapsed="false">
      <c r="A392" s="0" t="s">
        <v>161</v>
      </c>
      <c r="B392" s="0" t="s">
        <v>41</v>
      </c>
      <c r="C392" s="0" t="s">
        <v>42</v>
      </c>
      <c r="D392" s="0" t="n">
        <v>4</v>
      </c>
      <c r="E392" s="2" t="n">
        <v>40564.3340277778</v>
      </c>
      <c r="F392" s="0" t="n">
        <v>3.28</v>
      </c>
      <c r="H392" s="3" t="s">
        <v>14</v>
      </c>
      <c r="I392" s="4" t="n">
        <f aca="false">D392*F392</f>
        <v>13.12</v>
      </c>
      <c r="J392" s="3" t="n">
        <f aca="false">IF(AND(LEFT(A392,1)&lt;&gt;"C",D392&gt;0,F392&gt;0),1,0)</f>
        <v>1</v>
      </c>
      <c r="K392" s="3" t="n">
        <f aca="false">IF(AND(H392="United Kingdom",G392&lt;&gt;"",COUNTIFS($G$2:G392,G392,$H$2:H392,"United Kingdom")=1),1,0)</f>
        <v>0</v>
      </c>
    </row>
    <row r="393" customFormat="false" ht="15" hidden="false" customHeight="false" outlineLevel="0" collapsed="false">
      <c r="A393" s="0" t="s">
        <v>162</v>
      </c>
      <c r="B393" s="0" t="s">
        <v>39</v>
      </c>
      <c r="C393" s="0" t="s">
        <v>40</v>
      </c>
      <c r="D393" s="0" t="n">
        <v>216</v>
      </c>
      <c r="E393" s="2" t="n">
        <v>40564.49375</v>
      </c>
      <c r="F393" s="0" t="n">
        <v>2.58</v>
      </c>
      <c r="G393" s="0" t="n">
        <v>14746</v>
      </c>
      <c r="H393" s="3" t="s">
        <v>14</v>
      </c>
      <c r="I393" s="4" t="n">
        <f aca="false">D393*F393</f>
        <v>557.28</v>
      </c>
      <c r="J393" s="3" t="n">
        <f aca="false">IF(AND(LEFT(A393,1)&lt;&gt;"C",D393&gt;0,F393&gt;0),1,0)</f>
        <v>1</v>
      </c>
      <c r="K393" s="3" t="n">
        <f aca="false">IF(AND(H393="United Kingdom",G393&lt;&gt;"",COUNTIFS($G$2:G393,G393,$H$2:H393,"United Kingdom")=1),1,0)</f>
        <v>0</v>
      </c>
    </row>
    <row r="394" customFormat="false" ht="15" hidden="false" customHeight="false" outlineLevel="0" collapsed="false">
      <c r="A394" s="0" t="s">
        <v>162</v>
      </c>
      <c r="B394" s="0" t="s">
        <v>60</v>
      </c>
      <c r="C394" s="0" t="s">
        <v>61</v>
      </c>
      <c r="D394" s="0" t="n">
        <v>12</v>
      </c>
      <c r="E394" s="2" t="n">
        <v>40564.49375</v>
      </c>
      <c r="F394" s="0" t="n">
        <v>0.63</v>
      </c>
      <c r="G394" s="0" t="n">
        <v>14746</v>
      </c>
      <c r="H394" s="3" t="s">
        <v>14</v>
      </c>
      <c r="I394" s="4" t="n">
        <f aca="false">D394*F394</f>
        <v>7.56</v>
      </c>
      <c r="J394" s="3" t="n">
        <f aca="false">IF(AND(LEFT(A394,1)&lt;&gt;"C",D394&gt;0,F394&gt;0),1,0)</f>
        <v>1</v>
      </c>
      <c r="K394" s="3" t="n">
        <f aca="false">IF(AND(H394="United Kingdom",G394&lt;&gt;"",COUNTIFS($G$2:G394,G394,$H$2:H394,"United Kingdom")=1),1,0)</f>
        <v>0</v>
      </c>
    </row>
    <row r="395" customFormat="false" ht="15" hidden="false" customHeight="false" outlineLevel="0" collapsed="false">
      <c r="A395" s="0" t="s">
        <v>162</v>
      </c>
      <c r="B395" s="0" t="s">
        <v>43</v>
      </c>
      <c r="C395" s="0" t="s">
        <v>44</v>
      </c>
      <c r="D395" s="0" t="n">
        <v>48</v>
      </c>
      <c r="E395" s="2" t="n">
        <v>40564.49375</v>
      </c>
      <c r="F395" s="0" t="n">
        <v>1.35</v>
      </c>
      <c r="G395" s="0" t="n">
        <v>14746</v>
      </c>
      <c r="H395" s="3" t="s">
        <v>14</v>
      </c>
      <c r="I395" s="4" t="n">
        <f aca="false">D395*F395</f>
        <v>64.8</v>
      </c>
      <c r="J395" s="3" t="n">
        <f aca="false">IF(AND(LEFT(A395,1)&lt;&gt;"C",D395&gt;0,F395&gt;0),1,0)</f>
        <v>1</v>
      </c>
      <c r="K395" s="3" t="n">
        <f aca="false">IF(AND(H395="United Kingdom",G395&lt;&gt;"",COUNTIFS($G$2:G395,G395,$H$2:H395,"United Kingdom")=1),1,0)</f>
        <v>0</v>
      </c>
    </row>
    <row r="396" customFormat="false" ht="15" hidden="false" customHeight="false" outlineLevel="0" collapsed="false">
      <c r="A396" s="0" t="s">
        <v>162</v>
      </c>
      <c r="B396" s="0" t="s">
        <v>29</v>
      </c>
      <c r="C396" s="0" t="s">
        <v>30</v>
      </c>
      <c r="D396" s="0" t="n">
        <v>24</v>
      </c>
      <c r="E396" s="2" t="n">
        <v>40564.49375</v>
      </c>
      <c r="F396" s="0" t="n">
        <v>5.79</v>
      </c>
      <c r="G396" s="0" t="n">
        <v>14746</v>
      </c>
      <c r="H396" s="3" t="s">
        <v>14</v>
      </c>
      <c r="I396" s="4" t="n">
        <f aca="false">D396*F396</f>
        <v>138.96</v>
      </c>
      <c r="J396" s="3" t="n">
        <f aca="false">IF(AND(LEFT(A396,1)&lt;&gt;"C",D396&gt;0,F396&gt;0),1,0)</f>
        <v>1</v>
      </c>
      <c r="K396" s="3" t="n">
        <f aca="false">IF(AND(H396="United Kingdom",G396&lt;&gt;"",COUNTIFS($G$2:G396,G396,$H$2:H396,"United Kingdom")=1),1,0)</f>
        <v>0</v>
      </c>
    </row>
    <row r="397" customFormat="false" ht="15" hidden="false" customHeight="false" outlineLevel="0" collapsed="false">
      <c r="A397" s="0" t="s">
        <v>162</v>
      </c>
      <c r="B397" s="0" t="s">
        <v>75</v>
      </c>
      <c r="C397" s="0" t="s">
        <v>76</v>
      </c>
      <c r="D397" s="0" t="n">
        <v>96</v>
      </c>
      <c r="E397" s="2" t="n">
        <v>40564.49375</v>
      </c>
      <c r="F397" s="0" t="n">
        <v>1.97</v>
      </c>
      <c r="G397" s="0" t="n">
        <v>14746</v>
      </c>
      <c r="H397" s="3" t="s">
        <v>14</v>
      </c>
      <c r="I397" s="4" t="n">
        <f aca="false">D397*F397</f>
        <v>189.12</v>
      </c>
      <c r="J397" s="3" t="n">
        <f aca="false">IF(AND(LEFT(A397,1)&lt;&gt;"C",D397&gt;0,F397&gt;0),1,0)</f>
        <v>1</v>
      </c>
      <c r="K397" s="3" t="n">
        <f aca="false">IF(AND(H397="United Kingdom",G397&lt;&gt;"",COUNTIFS($G$2:G397,G397,$H$2:H397,"United Kingdom")=1),1,0)</f>
        <v>0</v>
      </c>
    </row>
    <row r="398" customFormat="false" ht="15" hidden="false" customHeight="false" outlineLevel="0" collapsed="false">
      <c r="A398" s="0" t="s">
        <v>162</v>
      </c>
      <c r="B398" s="0" t="s">
        <v>25</v>
      </c>
      <c r="C398" s="0" t="s">
        <v>26</v>
      </c>
      <c r="D398" s="0" t="n">
        <v>24</v>
      </c>
      <c r="E398" s="2" t="n">
        <v>40564.49375</v>
      </c>
      <c r="F398" s="0" t="n">
        <v>2.21</v>
      </c>
      <c r="G398" s="0" t="n">
        <v>14746</v>
      </c>
      <c r="H398" s="3" t="s">
        <v>14</v>
      </c>
      <c r="I398" s="4" t="n">
        <f aca="false">D398*F398</f>
        <v>53.04</v>
      </c>
      <c r="J398" s="3" t="n">
        <f aca="false">IF(AND(LEFT(A398,1)&lt;&gt;"C",D398&gt;0,F398&gt;0),1,0)</f>
        <v>1</v>
      </c>
      <c r="K398" s="3" t="n">
        <f aca="false">IF(AND(H398="United Kingdom",G398&lt;&gt;"",COUNTIFS($G$2:G398,G398,$H$2:H398,"United Kingdom")=1),1,0)</f>
        <v>0</v>
      </c>
    </row>
    <row r="399" customFormat="false" ht="15" hidden="false" customHeight="false" outlineLevel="0" collapsed="false">
      <c r="A399" s="0" t="s">
        <v>162</v>
      </c>
      <c r="B399" s="0" t="s">
        <v>32</v>
      </c>
      <c r="C399" s="0" t="s">
        <v>33</v>
      </c>
      <c r="D399" s="0" t="n">
        <v>72</v>
      </c>
      <c r="E399" s="2" t="n">
        <v>40564.49375</v>
      </c>
      <c r="F399" s="0" t="n">
        <v>1.19</v>
      </c>
      <c r="G399" s="0" t="n">
        <v>14746</v>
      </c>
      <c r="H399" s="3" t="s">
        <v>14</v>
      </c>
      <c r="I399" s="4" t="n">
        <f aca="false">D399*F399</f>
        <v>85.68</v>
      </c>
      <c r="J399" s="3" t="n">
        <f aca="false">IF(AND(LEFT(A399,1)&lt;&gt;"C",D399&gt;0,F399&gt;0),1,0)</f>
        <v>1</v>
      </c>
      <c r="K399" s="3" t="n">
        <f aca="false">IF(AND(H399="United Kingdom",G399&lt;&gt;"",COUNTIFS($G$2:G399,G399,$H$2:H399,"United Kingdom")=1),1,0)</f>
        <v>0</v>
      </c>
    </row>
    <row r="400" customFormat="false" ht="15" hidden="false" customHeight="false" outlineLevel="0" collapsed="false">
      <c r="A400" s="0" t="s">
        <v>162</v>
      </c>
      <c r="B400" s="0" t="s">
        <v>50</v>
      </c>
      <c r="C400" s="0" t="s">
        <v>51</v>
      </c>
      <c r="D400" s="0" t="n">
        <v>216</v>
      </c>
      <c r="E400" s="2" t="n">
        <v>40564.49375</v>
      </c>
      <c r="F400" s="0" t="n">
        <v>5.41</v>
      </c>
      <c r="G400" s="0" t="n">
        <v>14746</v>
      </c>
      <c r="H400" s="3" t="s">
        <v>14</v>
      </c>
      <c r="I400" s="4" t="n">
        <f aca="false">D400*F400</f>
        <v>1168.56</v>
      </c>
      <c r="J400" s="3" t="n">
        <f aca="false">IF(AND(LEFT(A400,1)&lt;&gt;"C",D400&gt;0,F400&gt;0),1,0)</f>
        <v>1</v>
      </c>
      <c r="K400" s="3" t="n">
        <f aca="false">IF(AND(H400="United Kingdom",G400&lt;&gt;"",COUNTIFS($G$2:G400,G400,$H$2:H400,"United Kingdom")=1),1,0)</f>
        <v>0</v>
      </c>
    </row>
    <row r="401" customFormat="false" ht="15" hidden="false" customHeight="false" outlineLevel="0" collapsed="false">
      <c r="A401" s="0" t="s">
        <v>162</v>
      </c>
      <c r="B401" s="0" t="s">
        <v>45</v>
      </c>
      <c r="C401" s="0" t="s">
        <v>46</v>
      </c>
      <c r="D401" s="0" t="n">
        <v>144</v>
      </c>
      <c r="E401" s="2" t="n">
        <v>40564.49375</v>
      </c>
      <c r="F401" s="0" t="n">
        <v>4.55</v>
      </c>
      <c r="G401" s="0" t="n">
        <v>14746</v>
      </c>
      <c r="H401" s="3" t="s">
        <v>14</v>
      </c>
      <c r="I401" s="4" t="n">
        <f aca="false">D401*F401</f>
        <v>655.2</v>
      </c>
      <c r="J401" s="3" t="n">
        <f aca="false">IF(AND(LEFT(A401,1)&lt;&gt;"C",D401&gt;0,F401&gt;0),1,0)</f>
        <v>1</v>
      </c>
      <c r="K401" s="3" t="n">
        <f aca="false">IF(AND(H401="United Kingdom",G401&lt;&gt;"",COUNTIFS($G$2:G401,G401,$H$2:H401,"United Kingdom")=1),1,0)</f>
        <v>0</v>
      </c>
    </row>
    <row r="402" customFormat="false" ht="15" hidden="false" customHeight="false" outlineLevel="0" collapsed="false">
      <c r="A402" s="0" t="s">
        <v>162</v>
      </c>
      <c r="B402" s="0" t="s">
        <v>12</v>
      </c>
      <c r="C402" s="0" t="s">
        <v>13</v>
      </c>
      <c r="D402" s="0" t="n">
        <v>72</v>
      </c>
      <c r="E402" s="2" t="n">
        <v>40564.49375</v>
      </c>
      <c r="F402" s="0" t="n">
        <v>3.33</v>
      </c>
      <c r="G402" s="0" t="n">
        <v>14746</v>
      </c>
      <c r="H402" s="3" t="s">
        <v>14</v>
      </c>
      <c r="I402" s="4" t="n">
        <f aca="false">D402*F402</f>
        <v>239.76</v>
      </c>
      <c r="J402" s="3" t="n">
        <f aca="false">IF(AND(LEFT(A402,1)&lt;&gt;"C",D402&gt;0,F402&gt;0),1,0)</f>
        <v>1</v>
      </c>
      <c r="K402" s="3" t="n">
        <f aca="false">IF(AND(H402="United Kingdom",G402&lt;&gt;"",COUNTIFS($G$2:G402,G402,$H$2:H402,"United Kingdom")=1),1,0)</f>
        <v>0</v>
      </c>
    </row>
    <row r="403" customFormat="false" ht="15" hidden="false" customHeight="false" outlineLevel="0" collapsed="false">
      <c r="A403" s="0" t="s">
        <v>162</v>
      </c>
      <c r="B403" s="0" t="s">
        <v>68</v>
      </c>
      <c r="C403" s="0" t="s">
        <v>69</v>
      </c>
      <c r="D403" s="0" t="n">
        <v>18</v>
      </c>
      <c r="E403" s="2" t="n">
        <v>40564.49375</v>
      </c>
      <c r="F403" s="0" t="n">
        <v>1.26</v>
      </c>
      <c r="G403" s="0" t="n">
        <v>14746</v>
      </c>
      <c r="H403" s="3" t="s">
        <v>14</v>
      </c>
      <c r="I403" s="4" t="n">
        <f aca="false">D403*F403</f>
        <v>22.68</v>
      </c>
      <c r="J403" s="3" t="n">
        <f aca="false">IF(AND(LEFT(A403,1)&lt;&gt;"C",D403&gt;0,F403&gt;0),1,0)</f>
        <v>1</v>
      </c>
      <c r="K403" s="3" t="n">
        <f aca="false">IF(AND(H403="United Kingdom",G403&lt;&gt;"",COUNTIFS($G$2:G403,G403,$H$2:H403,"United Kingdom")=1),1,0)</f>
        <v>0</v>
      </c>
    </row>
    <row r="404" customFormat="false" ht="15" hidden="false" customHeight="false" outlineLevel="0" collapsed="false">
      <c r="A404" s="0" t="s">
        <v>162</v>
      </c>
      <c r="B404" s="0" t="s">
        <v>34</v>
      </c>
      <c r="C404" s="0" t="s">
        <v>35</v>
      </c>
      <c r="D404" s="0" t="n">
        <v>144</v>
      </c>
      <c r="E404" s="2" t="n">
        <v>40564.49375</v>
      </c>
      <c r="F404" s="0" t="n">
        <v>2.38</v>
      </c>
      <c r="G404" s="0" t="n">
        <v>14746</v>
      </c>
      <c r="H404" s="3" t="s">
        <v>14</v>
      </c>
      <c r="I404" s="4" t="n">
        <f aca="false">D404*F404</f>
        <v>342.72</v>
      </c>
      <c r="J404" s="3" t="n">
        <f aca="false">IF(AND(LEFT(A404,1)&lt;&gt;"C",D404&gt;0,F404&gt;0),1,0)</f>
        <v>1</v>
      </c>
      <c r="K404" s="3" t="n">
        <f aca="false">IF(AND(H404="United Kingdom",G404&lt;&gt;"",COUNTIFS($G$2:G404,G404,$H$2:H404,"United Kingdom")=1),1,0)</f>
        <v>0</v>
      </c>
    </row>
    <row r="405" customFormat="false" ht="15" hidden="false" customHeight="false" outlineLevel="0" collapsed="false">
      <c r="A405" s="0" t="s">
        <v>162</v>
      </c>
      <c r="B405" s="0" t="s">
        <v>77</v>
      </c>
      <c r="C405" s="0" t="s">
        <v>78</v>
      </c>
      <c r="D405" s="0" t="n">
        <v>48</v>
      </c>
      <c r="E405" s="2" t="n">
        <v>40564.49375</v>
      </c>
      <c r="F405" s="0" t="n">
        <v>3.41</v>
      </c>
      <c r="G405" s="0" t="n">
        <v>14746</v>
      </c>
      <c r="H405" s="3" t="s">
        <v>14</v>
      </c>
      <c r="I405" s="4" t="n">
        <f aca="false">D405*F405</f>
        <v>163.68</v>
      </c>
      <c r="J405" s="3" t="n">
        <f aca="false">IF(AND(LEFT(A405,1)&lt;&gt;"C",D405&gt;0,F405&gt;0),1,0)</f>
        <v>1</v>
      </c>
      <c r="K405" s="3" t="n">
        <f aca="false">IF(AND(H405="United Kingdom",G405&lt;&gt;"",COUNTIFS($G$2:G405,G405,$H$2:H405,"United Kingdom")=1),1,0)</f>
        <v>0</v>
      </c>
    </row>
    <row r="406" customFormat="false" ht="15" hidden="false" customHeight="false" outlineLevel="0" collapsed="false">
      <c r="A406" s="0" t="s">
        <v>162</v>
      </c>
      <c r="B406" s="0" t="s">
        <v>22</v>
      </c>
      <c r="C406" s="0" t="s">
        <v>23</v>
      </c>
      <c r="D406" s="0" t="n">
        <v>72</v>
      </c>
      <c r="E406" s="2" t="n">
        <v>40564.49375</v>
      </c>
      <c r="F406" s="0" t="n">
        <v>3.18</v>
      </c>
      <c r="G406" s="0" t="n">
        <v>14746</v>
      </c>
      <c r="H406" s="3" t="s">
        <v>14</v>
      </c>
      <c r="I406" s="4" t="n">
        <f aca="false">D406*F406</f>
        <v>228.96</v>
      </c>
      <c r="J406" s="3" t="n">
        <f aca="false">IF(AND(LEFT(A406,1)&lt;&gt;"C",D406&gt;0,F406&gt;0),1,0)</f>
        <v>1</v>
      </c>
      <c r="K406" s="3" t="n">
        <f aca="false">IF(AND(H406="United Kingdom",G406&lt;&gt;"",COUNTIFS($G$2:G406,G406,$H$2:H406,"United Kingdom")=1),1,0)</f>
        <v>0</v>
      </c>
    </row>
    <row r="407" customFormat="false" ht="15" hidden="false" customHeight="false" outlineLevel="0" collapsed="false">
      <c r="A407" s="0" t="s">
        <v>162</v>
      </c>
      <c r="B407" s="0" t="s">
        <v>15</v>
      </c>
      <c r="C407" s="0" t="s">
        <v>16</v>
      </c>
      <c r="D407" s="0" t="n">
        <v>108</v>
      </c>
      <c r="E407" s="2" t="n">
        <v>40564.49375</v>
      </c>
      <c r="F407" s="0" t="n">
        <v>3.18</v>
      </c>
      <c r="G407" s="0" t="n">
        <v>14746</v>
      </c>
      <c r="H407" s="3" t="s">
        <v>14</v>
      </c>
      <c r="I407" s="4" t="n">
        <f aca="false">D407*F407</f>
        <v>343.44</v>
      </c>
      <c r="J407" s="3" t="n">
        <f aca="false">IF(AND(LEFT(A407,1)&lt;&gt;"C",D407&gt;0,F407&gt;0),1,0)</f>
        <v>1</v>
      </c>
      <c r="K407" s="3" t="n">
        <f aca="false">IF(AND(H407="United Kingdom",G407&lt;&gt;"",COUNTIFS($G$2:G407,G407,$H$2:H407,"United Kingdom")=1),1,0)</f>
        <v>0</v>
      </c>
    </row>
    <row r="408" customFormat="false" ht="15" hidden="false" customHeight="false" outlineLevel="0" collapsed="false">
      <c r="A408" s="0" t="s">
        <v>162</v>
      </c>
      <c r="B408" s="0" t="s">
        <v>48</v>
      </c>
      <c r="C408" s="0" t="s">
        <v>49</v>
      </c>
      <c r="D408" s="0" t="n">
        <v>24</v>
      </c>
      <c r="E408" s="2" t="n">
        <v>40564.49375</v>
      </c>
      <c r="F408" s="0" t="n">
        <v>1.35</v>
      </c>
      <c r="G408" s="0" t="n">
        <v>14746</v>
      </c>
      <c r="H408" s="3" t="s">
        <v>14</v>
      </c>
      <c r="I408" s="4" t="n">
        <f aca="false">D408*F408</f>
        <v>32.4</v>
      </c>
      <c r="J408" s="3" t="n">
        <f aca="false">IF(AND(LEFT(A408,1)&lt;&gt;"C",D408&gt;0,F408&gt;0),1,0)</f>
        <v>1</v>
      </c>
      <c r="K408" s="3" t="n">
        <f aca="false">IF(AND(H408="United Kingdom",G408&lt;&gt;"",COUNTIFS($G$2:G408,G408,$H$2:H408,"United Kingdom")=1),1,0)</f>
        <v>0</v>
      </c>
    </row>
    <row r="409" customFormat="false" ht="15" hidden="false" customHeight="false" outlineLevel="0" collapsed="false">
      <c r="A409" s="0" t="s">
        <v>163</v>
      </c>
      <c r="B409" s="0" t="s">
        <v>75</v>
      </c>
      <c r="C409" s="0" t="s">
        <v>76</v>
      </c>
      <c r="D409" s="0" t="n">
        <v>2</v>
      </c>
      <c r="E409" s="2" t="n">
        <v>40565.6368055556</v>
      </c>
      <c r="F409" s="0" t="n">
        <v>1.97</v>
      </c>
      <c r="G409" s="0" t="n">
        <v>14377</v>
      </c>
      <c r="H409" s="3" t="s">
        <v>14</v>
      </c>
      <c r="I409" s="4" t="n">
        <f aca="false">D409*F409</f>
        <v>3.94</v>
      </c>
      <c r="J409" s="3" t="n">
        <f aca="false">IF(AND(LEFT(A409,1)&lt;&gt;"C",D409&gt;0,F409&gt;0),1,0)</f>
        <v>1</v>
      </c>
      <c r="K409" s="3" t="n">
        <f aca="false">IF(AND(H409="United Kingdom",G409&lt;&gt;"",COUNTIFS($G$2:G409,G409,$H$2:H409,"United Kingdom")=1),1,0)</f>
        <v>1</v>
      </c>
    </row>
    <row r="410" customFormat="false" ht="15" hidden="false" customHeight="false" outlineLevel="0" collapsed="false">
      <c r="A410" s="0" t="s">
        <v>163</v>
      </c>
      <c r="B410" s="0" t="s">
        <v>113</v>
      </c>
      <c r="C410" s="0" t="s">
        <v>114</v>
      </c>
      <c r="D410" s="0" t="n">
        <v>3</v>
      </c>
      <c r="E410" s="2" t="n">
        <v>40565.6368055556</v>
      </c>
      <c r="F410" s="0" t="n">
        <v>3.57</v>
      </c>
      <c r="G410" s="0" t="n">
        <v>14377</v>
      </c>
      <c r="H410" s="3" t="s">
        <v>14</v>
      </c>
      <c r="I410" s="4" t="n">
        <f aca="false">D410*F410</f>
        <v>10.71</v>
      </c>
      <c r="J410" s="3" t="n">
        <f aca="false">IF(AND(LEFT(A410,1)&lt;&gt;"C",D410&gt;0,F410&gt;0),1,0)</f>
        <v>1</v>
      </c>
      <c r="K410" s="3" t="n">
        <f aca="false">IF(AND(H410="United Kingdom",G410&lt;&gt;"",COUNTIFS($G$2:G410,G410,$H$2:H410,"United Kingdom")=1),1,0)</f>
        <v>0</v>
      </c>
    </row>
    <row r="411" customFormat="false" ht="15" hidden="false" customHeight="false" outlineLevel="0" collapsed="false">
      <c r="A411" s="0" t="s">
        <v>163</v>
      </c>
      <c r="B411" s="0" t="s">
        <v>90</v>
      </c>
      <c r="C411" s="0" t="s">
        <v>91</v>
      </c>
      <c r="D411" s="0" t="n">
        <v>1</v>
      </c>
      <c r="E411" s="2" t="n">
        <v>40565.6368055556</v>
      </c>
      <c r="F411" s="0" t="n">
        <v>3.04</v>
      </c>
      <c r="G411" s="0" t="n">
        <v>14377</v>
      </c>
      <c r="H411" s="3" t="s">
        <v>14</v>
      </c>
      <c r="I411" s="4" t="n">
        <f aca="false">D411*F411</f>
        <v>3.04</v>
      </c>
      <c r="J411" s="3" t="n">
        <f aca="false">IF(AND(LEFT(A411,1)&lt;&gt;"C",D411&gt;0,F411&gt;0),1,0)</f>
        <v>1</v>
      </c>
      <c r="K411" s="3" t="n">
        <f aca="false">IF(AND(H411="United Kingdom",G411&lt;&gt;"",COUNTIFS($G$2:G411,G411,$H$2:H411,"United Kingdom")=1),1,0)</f>
        <v>0</v>
      </c>
    </row>
    <row r="412" customFormat="false" ht="15" hidden="false" customHeight="false" outlineLevel="0" collapsed="false">
      <c r="A412" s="0" t="s">
        <v>163</v>
      </c>
      <c r="B412" s="0" t="s">
        <v>80</v>
      </c>
      <c r="C412" s="0" t="s">
        <v>81</v>
      </c>
      <c r="D412" s="0" t="n">
        <v>1</v>
      </c>
      <c r="E412" s="2" t="n">
        <v>40565.6368055556</v>
      </c>
      <c r="F412" s="0" t="n">
        <v>1.53</v>
      </c>
      <c r="G412" s="0" t="n">
        <v>14377</v>
      </c>
      <c r="H412" s="3" t="s">
        <v>14</v>
      </c>
      <c r="I412" s="4" t="n">
        <f aca="false">D412*F412</f>
        <v>1.53</v>
      </c>
      <c r="J412" s="3" t="n">
        <f aca="false">IF(AND(LEFT(A412,1)&lt;&gt;"C",D412&gt;0,F412&gt;0),1,0)</f>
        <v>1</v>
      </c>
      <c r="K412" s="3" t="n">
        <f aca="false">IF(AND(H412="United Kingdom",G412&lt;&gt;"",COUNTIFS($G$2:G412,G412,$H$2:H412,"United Kingdom")=1),1,0)</f>
        <v>0</v>
      </c>
    </row>
    <row r="413" customFormat="false" ht="15" hidden="false" customHeight="false" outlineLevel="0" collapsed="false">
      <c r="A413" s="0" t="s">
        <v>163</v>
      </c>
      <c r="B413" s="0" t="s">
        <v>25</v>
      </c>
      <c r="C413" s="0" t="s">
        <v>26</v>
      </c>
      <c r="D413" s="0" t="n">
        <v>2</v>
      </c>
      <c r="E413" s="2" t="n">
        <v>40565.6368055556</v>
      </c>
      <c r="F413" s="0" t="n">
        <v>2.21</v>
      </c>
      <c r="G413" s="0" t="n">
        <v>14377</v>
      </c>
      <c r="H413" s="3" t="s">
        <v>14</v>
      </c>
      <c r="I413" s="4" t="n">
        <f aca="false">D413*F413</f>
        <v>4.42</v>
      </c>
      <c r="J413" s="3" t="n">
        <f aca="false">IF(AND(LEFT(A413,1)&lt;&gt;"C",D413&gt;0,F413&gt;0),1,0)</f>
        <v>1</v>
      </c>
      <c r="K413" s="3" t="n">
        <f aca="false">IF(AND(H413="United Kingdom",G413&lt;&gt;"",COUNTIFS($G$2:G413,G413,$H$2:H413,"United Kingdom")=1),1,0)</f>
        <v>0</v>
      </c>
    </row>
    <row r="414" customFormat="false" ht="15" hidden="false" customHeight="false" outlineLevel="0" collapsed="false">
      <c r="A414" s="0" t="s">
        <v>163</v>
      </c>
      <c r="B414" s="0" t="s">
        <v>45</v>
      </c>
      <c r="C414" s="0" t="s">
        <v>46</v>
      </c>
      <c r="D414" s="0" t="n">
        <v>2</v>
      </c>
      <c r="E414" s="2" t="n">
        <v>40565.6368055556</v>
      </c>
      <c r="F414" s="0" t="n">
        <v>4.55</v>
      </c>
      <c r="G414" s="0" t="n">
        <v>14377</v>
      </c>
      <c r="H414" s="3" t="s">
        <v>14</v>
      </c>
      <c r="I414" s="4" t="n">
        <f aca="false">D414*F414</f>
        <v>9.1</v>
      </c>
      <c r="J414" s="3" t="n">
        <f aca="false">IF(AND(LEFT(A414,1)&lt;&gt;"C",D414&gt;0,F414&gt;0),1,0)</f>
        <v>1</v>
      </c>
      <c r="K414" s="3" t="n">
        <f aca="false">IF(AND(H414="United Kingdom",G414&lt;&gt;"",COUNTIFS($G$2:G414,G414,$H$2:H414,"United Kingdom")=1),1,0)</f>
        <v>0</v>
      </c>
    </row>
    <row r="415" customFormat="false" ht="15" hidden="false" customHeight="false" outlineLevel="0" collapsed="false">
      <c r="A415" s="0" t="s">
        <v>163</v>
      </c>
      <c r="B415" s="0" t="s">
        <v>48</v>
      </c>
      <c r="C415" s="0" t="s">
        <v>49</v>
      </c>
      <c r="D415" s="0" t="n">
        <v>12</v>
      </c>
      <c r="E415" s="2" t="n">
        <v>40565.6368055556</v>
      </c>
      <c r="F415" s="0" t="n">
        <v>1.35</v>
      </c>
      <c r="G415" s="0" t="n">
        <v>14377</v>
      </c>
      <c r="H415" s="3" t="s">
        <v>14</v>
      </c>
      <c r="I415" s="4" t="n">
        <f aca="false">D415*F415</f>
        <v>16.2</v>
      </c>
      <c r="J415" s="3" t="n">
        <f aca="false">IF(AND(LEFT(A415,1)&lt;&gt;"C",D415&gt;0,F415&gt;0),1,0)</f>
        <v>1</v>
      </c>
      <c r="K415" s="3" t="n">
        <f aca="false">IF(AND(H415="United Kingdom",G415&lt;&gt;"",COUNTIFS($G$2:G415,G415,$H$2:H415,"United Kingdom")=1),1,0)</f>
        <v>0</v>
      </c>
    </row>
    <row r="416" customFormat="false" ht="15" hidden="false" customHeight="false" outlineLevel="0" collapsed="false">
      <c r="A416" s="0" t="s">
        <v>163</v>
      </c>
      <c r="B416" s="0" t="s">
        <v>54</v>
      </c>
      <c r="C416" s="0" t="s">
        <v>55</v>
      </c>
      <c r="D416" s="0" t="n">
        <v>1</v>
      </c>
      <c r="E416" s="2" t="n">
        <v>40565.6368055556</v>
      </c>
      <c r="F416" s="0" t="n">
        <v>0.99</v>
      </c>
      <c r="G416" s="0" t="n">
        <v>14377</v>
      </c>
      <c r="H416" s="3" t="s">
        <v>14</v>
      </c>
      <c r="I416" s="4" t="n">
        <f aca="false">D416*F416</f>
        <v>0.99</v>
      </c>
      <c r="J416" s="3" t="n">
        <f aca="false">IF(AND(LEFT(A416,1)&lt;&gt;"C",D416&gt;0,F416&gt;0),1,0)</f>
        <v>1</v>
      </c>
      <c r="K416" s="3" t="n">
        <f aca="false">IF(AND(H416="United Kingdom",G416&lt;&gt;"",COUNTIFS($G$2:G416,G416,$H$2:H416,"United Kingdom")=1),1,0)</f>
        <v>0</v>
      </c>
    </row>
    <row r="417" customFormat="false" ht="15" hidden="false" customHeight="false" outlineLevel="0" collapsed="false">
      <c r="A417" s="0" t="s">
        <v>164</v>
      </c>
      <c r="B417" s="0" t="s">
        <v>58</v>
      </c>
      <c r="C417" s="0" t="s">
        <v>59</v>
      </c>
      <c r="D417" s="0" t="n">
        <v>12</v>
      </c>
      <c r="E417" s="2" t="n">
        <v>40565.7909722222</v>
      </c>
      <c r="F417" s="0" t="n">
        <v>2.16</v>
      </c>
      <c r="G417" s="0" t="n">
        <v>18249</v>
      </c>
      <c r="H417" s="3" t="s">
        <v>14</v>
      </c>
      <c r="I417" s="4" t="n">
        <f aca="false">D417*F417</f>
        <v>25.92</v>
      </c>
      <c r="J417" s="3" t="n">
        <f aca="false">IF(AND(LEFT(A417,1)&lt;&gt;"C",D417&gt;0,F417&gt;0),1,0)</f>
        <v>1</v>
      </c>
      <c r="K417" s="3" t="n">
        <f aca="false">IF(AND(H417="United Kingdom",G417&lt;&gt;"",COUNTIFS($G$2:G417,G417,$H$2:H417,"United Kingdom")=1),1,0)</f>
        <v>1</v>
      </c>
    </row>
    <row r="418" customFormat="false" ht="15" hidden="false" customHeight="false" outlineLevel="0" collapsed="false">
      <c r="A418" s="0" t="s">
        <v>164</v>
      </c>
      <c r="B418" s="0" t="s">
        <v>25</v>
      </c>
      <c r="C418" s="0" t="s">
        <v>26</v>
      </c>
      <c r="D418" s="0" t="n">
        <v>6</v>
      </c>
      <c r="E418" s="2" t="n">
        <v>40565.7909722222</v>
      </c>
      <c r="F418" s="0" t="n">
        <v>2.21</v>
      </c>
      <c r="G418" s="0" t="n">
        <v>18249</v>
      </c>
      <c r="H418" s="3" t="s">
        <v>14</v>
      </c>
      <c r="I418" s="4" t="n">
        <f aca="false">D418*F418</f>
        <v>13.26</v>
      </c>
      <c r="J418" s="3" t="n">
        <f aca="false">IF(AND(LEFT(A418,1)&lt;&gt;"C",D418&gt;0,F418&gt;0),1,0)</f>
        <v>1</v>
      </c>
      <c r="K418" s="3" t="n">
        <f aca="false">IF(AND(H418="United Kingdom",G418&lt;&gt;"",COUNTIFS($G$2:G418,G418,$H$2:H418,"United Kingdom")=1),1,0)</f>
        <v>0</v>
      </c>
    </row>
    <row r="419" customFormat="false" ht="15" hidden="false" customHeight="false" outlineLevel="0" collapsed="false">
      <c r="A419" s="0" t="s">
        <v>164</v>
      </c>
      <c r="B419" s="0" t="s">
        <v>39</v>
      </c>
      <c r="C419" s="0" t="s">
        <v>40</v>
      </c>
      <c r="D419" s="0" t="n">
        <v>3</v>
      </c>
      <c r="E419" s="2" t="n">
        <v>40565.7909722222</v>
      </c>
      <c r="F419" s="0" t="n">
        <v>2.58</v>
      </c>
      <c r="G419" s="0" t="n">
        <v>18249</v>
      </c>
      <c r="H419" s="3" t="s">
        <v>14</v>
      </c>
      <c r="I419" s="4" t="n">
        <f aca="false">D419*F419</f>
        <v>7.74</v>
      </c>
      <c r="J419" s="3" t="n">
        <f aca="false">IF(AND(LEFT(A419,1)&lt;&gt;"C",D419&gt;0,F419&gt;0),1,0)</f>
        <v>1</v>
      </c>
      <c r="K419" s="3" t="n">
        <f aca="false">IF(AND(H419="United Kingdom",G419&lt;&gt;"",COUNTIFS($G$2:G419,G419,$H$2:H419,"United Kingdom")=1),1,0)</f>
        <v>0</v>
      </c>
    </row>
    <row r="420" customFormat="false" ht="15" hidden="false" customHeight="false" outlineLevel="0" collapsed="false">
      <c r="A420" s="0" t="s">
        <v>164</v>
      </c>
      <c r="B420" s="0" t="s">
        <v>63</v>
      </c>
      <c r="C420" s="0" t="s">
        <v>64</v>
      </c>
      <c r="D420" s="0" t="n">
        <v>3</v>
      </c>
      <c r="E420" s="2" t="n">
        <v>40565.7909722222</v>
      </c>
      <c r="F420" s="0" t="n">
        <v>2.43</v>
      </c>
      <c r="G420" s="0" t="n">
        <v>18249</v>
      </c>
      <c r="H420" s="3" t="s">
        <v>14</v>
      </c>
      <c r="I420" s="4" t="n">
        <f aca="false">D420*F420</f>
        <v>7.29</v>
      </c>
      <c r="J420" s="3" t="n">
        <f aca="false">IF(AND(LEFT(A420,1)&lt;&gt;"C",D420&gt;0,F420&gt;0),1,0)</f>
        <v>1</v>
      </c>
      <c r="K420" s="3" t="n">
        <f aca="false">IF(AND(H420="United Kingdom",G420&lt;&gt;"",COUNTIFS($G$2:G420,G420,$H$2:H420,"United Kingdom")=1),1,0)</f>
        <v>0</v>
      </c>
    </row>
    <row r="421" customFormat="false" ht="15" hidden="false" customHeight="false" outlineLevel="0" collapsed="false">
      <c r="A421" s="0" t="s">
        <v>165</v>
      </c>
      <c r="B421" s="0" t="s">
        <v>45</v>
      </c>
      <c r="C421" s="0" t="s">
        <v>46</v>
      </c>
      <c r="D421" s="0" t="n">
        <v>2</v>
      </c>
      <c r="E421" s="2" t="n">
        <v>40566.36875</v>
      </c>
      <c r="F421" s="0" t="n">
        <v>4.55</v>
      </c>
      <c r="G421" s="0" t="n">
        <v>17856</v>
      </c>
      <c r="H421" s="3" t="s">
        <v>101</v>
      </c>
      <c r="I421" s="4" t="n">
        <f aca="false">D421*F421</f>
        <v>9.1</v>
      </c>
      <c r="J421" s="3" t="n">
        <f aca="false">IF(AND(LEFT(A421,1)&lt;&gt;"C",D421&gt;0,F421&gt;0),1,0)</f>
        <v>1</v>
      </c>
      <c r="K421" s="3" t="n">
        <f aca="false">IF(AND(H421="United Kingdom",G421&lt;&gt;"",COUNTIFS($G$2:G421,G421,$H$2:H421,"United Kingdom")=1),1,0)</f>
        <v>0</v>
      </c>
    </row>
    <row r="422" customFormat="false" ht="15" hidden="false" customHeight="false" outlineLevel="0" collapsed="false">
      <c r="A422" s="0" t="s">
        <v>166</v>
      </c>
      <c r="B422" s="0" t="s">
        <v>60</v>
      </c>
      <c r="C422" s="0" t="s">
        <v>61</v>
      </c>
      <c r="D422" s="0" t="n">
        <v>8</v>
      </c>
      <c r="E422" s="2" t="n">
        <v>40566.5652777778</v>
      </c>
      <c r="F422" s="0" t="n">
        <v>0.63</v>
      </c>
      <c r="G422" s="0" t="n">
        <v>17188</v>
      </c>
      <c r="H422" s="3" t="s">
        <v>14</v>
      </c>
      <c r="I422" s="4" t="n">
        <f aca="false">D422*F422</f>
        <v>5.04</v>
      </c>
      <c r="J422" s="3" t="n">
        <f aca="false">IF(AND(LEFT(A422,1)&lt;&gt;"C",D422&gt;0,F422&gt;0),1,0)</f>
        <v>1</v>
      </c>
      <c r="K422" s="3" t="n">
        <f aca="false">IF(AND(H422="United Kingdom",G422&lt;&gt;"",COUNTIFS($G$2:G422,G422,$H$2:H422,"United Kingdom")=1),1,0)</f>
        <v>1</v>
      </c>
    </row>
    <row r="423" customFormat="false" ht="15" hidden="false" customHeight="false" outlineLevel="0" collapsed="false">
      <c r="A423" s="0" t="s">
        <v>166</v>
      </c>
      <c r="B423" s="0" t="s">
        <v>15</v>
      </c>
      <c r="C423" s="0" t="s">
        <v>16</v>
      </c>
      <c r="D423" s="0" t="n">
        <v>2</v>
      </c>
      <c r="E423" s="2" t="n">
        <v>40566.5652777778</v>
      </c>
      <c r="F423" s="0" t="n">
        <v>3.18</v>
      </c>
      <c r="G423" s="0" t="n">
        <v>17188</v>
      </c>
      <c r="H423" s="3" t="s">
        <v>14</v>
      </c>
      <c r="I423" s="4" t="n">
        <f aca="false">D423*F423</f>
        <v>6.36</v>
      </c>
      <c r="J423" s="3" t="n">
        <f aca="false">IF(AND(LEFT(A423,1)&lt;&gt;"C",D423&gt;0,F423&gt;0),1,0)</f>
        <v>1</v>
      </c>
      <c r="K423" s="3" t="n">
        <f aca="false">IF(AND(H423="United Kingdom",G423&lt;&gt;"",COUNTIFS($G$2:G423,G423,$H$2:H423,"United Kingdom")=1),1,0)</f>
        <v>0</v>
      </c>
    </row>
    <row r="424" customFormat="false" ht="15" hidden="false" customHeight="false" outlineLevel="0" collapsed="false">
      <c r="A424" s="0" t="s">
        <v>166</v>
      </c>
      <c r="B424" s="0" t="s">
        <v>63</v>
      </c>
      <c r="C424" s="0" t="s">
        <v>64</v>
      </c>
      <c r="D424" s="0" t="n">
        <v>8</v>
      </c>
      <c r="E424" s="2" t="n">
        <v>40566.5652777778</v>
      </c>
      <c r="F424" s="0" t="n">
        <v>2.43</v>
      </c>
      <c r="G424" s="0" t="n">
        <v>17188</v>
      </c>
      <c r="H424" s="3" t="s">
        <v>14</v>
      </c>
      <c r="I424" s="4" t="n">
        <f aca="false">D424*F424</f>
        <v>19.44</v>
      </c>
      <c r="J424" s="3" t="n">
        <f aca="false">IF(AND(LEFT(A424,1)&lt;&gt;"C",D424&gt;0,F424&gt;0),1,0)</f>
        <v>1</v>
      </c>
      <c r="K424" s="3" t="n">
        <f aca="false">IF(AND(H424="United Kingdom",G424&lt;&gt;"",COUNTIFS($G$2:G424,G424,$H$2:H424,"United Kingdom")=1),1,0)</f>
        <v>0</v>
      </c>
    </row>
    <row r="425" customFormat="false" ht="15" hidden="false" customHeight="false" outlineLevel="0" collapsed="false">
      <c r="A425" s="0" t="s">
        <v>166</v>
      </c>
      <c r="B425" s="0" t="s">
        <v>39</v>
      </c>
      <c r="C425" s="0" t="s">
        <v>40</v>
      </c>
      <c r="D425" s="0" t="n">
        <v>1</v>
      </c>
      <c r="E425" s="2" t="n">
        <v>40566.5652777778</v>
      </c>
      <c r="F425" s="0" t="n">
        <v>2.58</v>
      </c>
      <c r="G425" s="0" t="n">
        <v>17188</v>
      </c>
      <c r="H425" s="3" t="s">
        <v>14</v>
      </c>
      <c r="I425" s="4" t="n">
        <f aca="false">D425*F425</f>
        <v>2.58</v>
      </c>
      <c r="J425" s="3" t="n">
        <f aca="false">IF(AND(LEFT(A425,1)&lt;&gt;"C",D425&gt;0,F425&gt;0),1,0)</f>
        <v>1</v>
      </c>
      <c r="K425" s="3" t="n">
        <f aca="false">IF(AND(H425="United Kingdom",G425&lt;&gt;"",COUNTIFS($G$2:G425,G425,$H$2:H425,"United Kingdom")=1),1,0)</f>
        <v>0</v>
      </c>
    </row>
    <row r="426" customFormat="false" ht="15" hidden="false" customHeight="false" outlineLevel="0" collapsed="false">
      <c r="A426" s="0" t="s">
        <v>167</v>
      </c>
      <c r="B426" s="0" t="s">
        <v>72</v>
      </c>
      <c r="C426" s="0" t="s">
        <v>73</v>
      </c>
      <c r="D426" s="0" t="n">
        <v>4</v>
      </c>
      <c r="E426" s="2" t="n">
        <v>40566.81875</v>
      </c>
      <c r="F426" s="0" t="n">
        <v>2.69</v>
      </c>
      <c r="G426" s="0" t="n">
        <v>16420</v>
      </c>
      <c r="H426" s="3" t="s">
        <v>14</v>
      </c>
      <c r="I426" s="4" t="n">
        <f aca="false">D426*F426</f>
        <v>10.76</v>
      </c>
      <c r="J426" s="3" t="n">
        <f aca="false">IF(AND(LEFT(A426,1)&lt;&gt;"C",D426&gt;0,F426&gt;0),1,0)</f>
        <v>1</v>
      </c>
      <c r="K426" s="3" t="n">
        <f aca="false">IF(AND(H426="United Kingdom",G426&lt;&gt;"",COUNTIFS($G$2:G426,G426,$H$2:H426,"United Kingdom")=1),1,0)</f>
        <v>1</v>
      </c>
    </row>
    <row r="427" customFormat="false" ht="15" hidden="false" customHeight="false" outlineLevel="0" collapsed="false">
      <c r="A427" s="0" t="s">
        <v>167</v>
      </c>
      <c r="B427" s="0" t="s">
        <v>22</v>
      </c>
      <c r="C427" s="0" t="s">
        <v>23</v>
      </c>
      <c r="D427" s="0" t="n">
        <v>2</v>
      </c>
      <c r="E427" s="2" t="n">
        <v>40566.81875</v>
      </c>
      <c r="F427" s="0" t="n">
        <v>3.18</v>
      </c>
      <c r="G427" s="0" t="n">
        <v>16420</v>
      </c>
      <c r="H427" s="3" t="s">
        <v>14</v>
      </c>
      <c r="I427" s="4" t="n">
        <f aca="false">D427*F427</f>
        <v>6.36</v>
      </c>
      <c r="J427" s="3" t="n">
        <f aca="false">IF(AND(LEFT(A427,1)&lt;&gt;"C",D427&gt;0,F427&gt;0),1,0)</f>
        <v>1</v>
      </c>
      <c r="K427" s="3" t="n">
        <f aca="false">IF(AND(H427="United Kingdom",G427&lt;&gt;"",COUNTIFS($G$2:G427,G427,$H$2:H427,"United Kingdom")=1),1,0)</f>
        <v>0</v>
      </c>
    </row>
    <row r="428" customFormat="false" ht="15" hidden="false" customHeight="false" outlineLevel="0" collapsed="false">
      <c r="A428" s="0" t="s">
        <v>167</v>
      </c>
      <c r="B428" s="0" t="s">
        <v>60</v>
      </c>
      <c r="C428" s="0" t="s">
        <v>61</v>
      </c>
      <c r="D428" s="0" t="n">
        <v>8</v>
      </c>
      <c r="E428" s="2" t="n">
        <v>40566.81875</v>
      </c>
      <c r="F428" s="0" t="n">
        <v>0.63</v>
      </c>
      <c r="G428" s="0" t="n">
        <v>16420</v>
      </c>
      <c r="H428" s="3" t="s">
        <v>14</v>
      </c>
      <c r="I428" s="4" t="n">
        <f aca="false">D428*F428</f>
        <v>5.04</v>
      </c>
      <c r="J428" s="3" t="n">
        <f aca="false">IF(AND(LEFT(A428,1)&lt;&gt;"C",D428&gt;0,F428&gt;0),1,0)</f>
        <v>1</v>
      </c>
      <c r="K428" s="3" t="n">
        <f aca="false">IF(AND(H428="United Kingdom",G428&lt;&gt;"",COUNTIFS($G$2:G428,G428,$H$2:H428,"United Kingdom")=1),1,0)</f>
        <v>0</v>
      </c>
    </row>
    <row r="429" customFormat="false" ht="15" hidden="false" customHeight="false" outlineLevel="0" collapsed="false">
      <c r="A429" s="0" t="s">
        <v>167</v>
      </c>
      <c r="B429" s="0" t="s">
        <v>45</v>
      </c>
      <c r="C429" s="0" t="s">
        <v>46</v>
      </c>
      <c r="D429" s="0" t="n">
        <v>3</v>
      </c>
      <c r="E429" s="2" t="n">
        <v>40566.81875</v>
      </c>
      <c r="F429" s="0" t="n">
        <v>4.55</v>
      </c>
      <c r="G429" s="0" t="n">
        <v>16420</v>
      </c>
      <c r="H429" s="3" t="s">
        <v>14</v>
      </c>
      <c r="I429" s="4" t="n">
        <f aca="false">D429*F429</f>
        <v>13.65</v>
      </c>
      <c r="J429" s="3" t="n">
        <f aca="false">IF(AND(LEFT(A429,1)&lt;&gt;"C",D429&gt;0,F429&gt;0),1,0)</f>
        <v>1</v>
      </c>
      <c r="K429" s="3" t="n">
        <f aca="false">IF(AND(H429="United Kingdom",G429&lt;&gt;"",COUNTIFS($G$2:G429,G429,$H$2:H429,"United Kingdom")=1),1,0)</f>
        <v>0</v>
      </c>
    </row>
    <row r="430" customFormat="false" ht="15" hidden="false" customHeight="false" outlineLevel="0" collapsed="false">
      <c r="A430" s="0" t="s">
        <v>167</v>
      </c>
      <c r="B430" s="0" t="s">
        <v>90</v>
      </c>
      <c r="C430" s="0" t="s">
        <v>91</v>
      </c>
      <c r="D430" s="0" t="n">
        <v>1</v>
      </c>
      <c r="E430" s="2" t="n">
        <v>40566.81875</v>
      </c>
      <c r="F430" s="0" t="n">
        <v>3.04</v>
      </c>
      <c r="G430" s="0" t="n">
        <v>16420</v>
      </c>
      <c r="H430" s="3" t="s">
        <v>14</v>
      </c>
      <c r="I430" s="4" t="n">
        <f aca="false">D430*F430</f>
        <v>3.04</v>
      </c>
      <c r="J430" s="3" t="n">
        <f aca="false">IF(AND(LEFT(A430,1)&lt;&gt;"C",D430&gt;0,F430&gt;0),1,0)</f>
        <v>1</v>
      </c>
      <c r="K430" s="3" t="n">
        <f aca="false">IF(AND(H430="United Kingdom",G430&lt;&gt;"",COUNTIFS($G$2:G430,G430,$H$2:H430,"United Kingdom")=1),1,0)</f>
        <v>0</v>
      </c>
    </row>
    <row r="431" customFormat="false" ht="15" hidden="false" customHeight="false" outlineLevel="0" collapsed="false">
      <c r="A431" s="0" t="s">
        <v>167</v>
      </c>
      <c r="B431" s="0" t="s">
        <v>77</v>
      </c>
      <c r="C431" s="0" t="s">
        <v>78</v>
      </c>
      <c r="D431" s="0" t="n">
        <v>2</v>
      </c>
      <c r="E431" s="2" t="n">
        <v>40566.81875</v>
      </c>
      <c r="F431" s="0" t="n">
        <v>3.41</v>
      </c>
      <c r="G431" s="0" t="n">
        <v>16420</v>
      </c>
      <c r="H431" s="3" t="s">
        <v>14</v>
      </c>
      <c r="I431" s="4" t="n">
        <f aca="false">D431*F431</f>
        <v>6.82</v>
      </c>
      <c r="J431" s="3" t="n">
        <f aca="false">IF(AND(LEFT(A431,1)&lt;&gt;"C",D431&gt;0,F431&gt;0),1,0)</f>
        <v>1</v>
      </c>
      <c r="K431" s="3" t="n">
        <f aca="false">IF(AND(H431="United Kingdom",G431&lt;&gt;"",COUNTIFS($G$2:G431,G431,$H$2:H431,"United Kingdom")=1),1,0)</f>
        <v>0</v>
      </c>
    </row>
    <row r="432" customFormat="false" ht="15" hidden="false" customHeight="false" outlineLevel="0" collapsed="false">
      <c r="A432" s="0" t="s">
        <v>167</v>
      </c>
      <c r="B432" s="0" t="s">
        <v>65</v>
      </c>
      <c r="C432" s="0" t="s">
        <v>66</v>
      </c>
      <c r="D432" s="0" t="n">
        <v>4</v>
      </c>
      <c r="E432" s="2" t="n">
        <v>40566.81875</v>
      </c>
      <c r="F432" s="0" t="n">
        <v>4.75</v>
      </c>
      <c r="G432" s="0" t="n">
        <v>16420</v>
      </c>
      <c r="H432" s="3" t="s">
        <v>14</v>
      </c>
      <c r="I432" s="4" t="n">
        <f aca="false">D432*F432</f>
        <v>19</v>
      </c>
      <c r="J432" s="3" t="n">
        <f aca="false">IF(AND(LEFT(A432,1)&lt;&gt;"C",D432&gt;0,F432&gt;0),1,0)</f>
        <v>1</v>
      </c>
      <c r="K432" s="3" t="n">
        <f aca="false">IF(AND(H432="United Kingdom",G432&lt;&gt;"",COUNTIFS($G$2:G432,G432,$H$2:H432,"United Kingdom")=1),1,0)</f>
        <v>0</v>
      </c>
    </row>
    <row r="433" customFormat="false" ht="15" hidden="false" customHeight="false" outlineLevel="0" collapsed="false">
      <c r="A433" s="0" t="s">
        <v>167</v>
      </c>
      <c r="B433" s="0" t="s">
        <v>15</v>
      </c>
      <c r="C433" s="0" t="s">
        <v>16</v>
      </c>
      <c r="D433" s="0" t="n">
        <v>1</v>
      </c>
      <c r="E433" s="2" t="n">
        <v>40566.81875</v>
      </c>
      <c r="F433" s="0" t="n">
        <v>3.18</v>
      </c>
      <c r="G433" s="0" t="n">
        <v>16420</v>
      </c>
      <c r="H433" s="3" t="s">
        <v>14</v>
      </c>
      <c r="I433" s="4" t="n">
        <f aca="false">D433*F433</f>
        <v>3.18</v>
      </c>
      <c r="J433" s="3" t="n">
        <f aca="false">IF(AND(LEFT(A433,1)&lt;&gt;"C",D433&gt;0,F433&gt;0),1,0)</f>
        <v>1</v>
      </c>
      <c r="K433" s="3" t="n">
        <f aca="false">IF(AND(H433="United Kingdom",G433&lt;&gt;"",COUNTIFS($G$2:G433,G433,$H$2:H433,"United Kingdom")=1),1,0)</f>
        <v>0</v>
      </c>
    </row>
    <row r="434" customFormat="false" ht="15" hidden="false" customHeight="false" outlineLevel="0" collapsed="false">
      <c r="A434" s="0" t="s">
        <v>167</v>
      </c>
      <c r="B434" s="0" t="s">
        <v>68</v>
      </c>
      <c r="C434" s="0" t="s">
        <v>69</v>
      </c>
      <c r="D434" s="0" t="n">
        <v>3</v>
      </c>
      <c r="E434" s="2" t="n">
        <v>40566.81875</v>
      </c>
      <c r="F434" s="0" t="n">
        <v>1.26</v>
      </c>
      <c r="G434" s="0" t="n">
        <v>16420</v>
      </c>
      <c r="H434" s="3" t="s">
        <v>14</v>
      </c>
      <c r="I434" s="4" t="n">
        <f aca="false">D434*F434</f>
        <v>3.78</v>
      </c>
      <c r="J434" s="3" t="n">
        <f aca="false">IF(AND(LEFT(A434,1)&lt;&gt;"C",D434&gt;0,F434&gt;0),1,0)</f>
        <v>1</v>
      </c>
      <c r="K434" s="3" t="n">
        <f aca="false">IF(AND(H434="United Kingdom",G434&lt;&gt;"",COUNTIFS($G$2:G434,G434,$H$2:H434,"United Kingdom")=1),1,0)</f>
        <v>0</v>
      </c>
    </row>
    <row r="435" customFormat="false" ht="15" hidden="false" customHeight="false" outlineLevel="0" collapsed="false">
      <c r="A435" s="0" t="s">
        <v>167</v>
      </c>
      <c r="B435" s="0" t="s">
        <v>63</v>
      </c>
      <c r="C435" s="0" t="s">
        <v>64</v>
      </c>
      <c r="D435" s="0" t="n">
        <v>12</v>
      </c>
      <c r="E435" s="2" t="n">
        <v>40566.81875</v>
      </c>
      <c r="F435" s="0" t="n">
        <v>2.43</v>
      </c>
      <c r="G435" s="0" t="n">
        <v>16420</v>
      </c>
      <c r="H435" s="3" t="s">
        <v>14</v>
      </c>
      <c r="I435" s="4" t="n">
        <f aca="false">D435*F435</f>
        <v>29.16</v>
      </c>
      <c r="J435" s="3" t="n">
        <f aca="false">IF(AND(LEFT(A435,1)&lt;&gt;"C",D435&gt;0,F435&gt;0),1,0)</f>
        <v>1</v>
      </c>
      <c r="K435" s="3" t="n">
        <f aca="false">IF(AND(H435="United Kingdom",G435&lt;&gt;"",COUNTIFS($G$2:G435,G435,$H$2:H435,"United Kingdom")=1),1,0)</f>
        <v>0</v>
      </c>
    </row>
    <row r="436" customFormat="false" ht="15" hidden="false" customHeight="false" outlineLevel="0" collapsed="false">
      <c r="A436" s="0" t="s">
        <v>167</v>
      </c>
      <c r="B436" s="0" t="s">
        <v>37</v>
      </c>
      <c r="C436" s="0" t="s">
        <v>38</v>
      </c>
      <c r="D436" s="0" t="n">
        <v>8</v>
      </c>
      <c r="E436" s="2" t="n">
        <v>40566.81875</v>
      </c>
      <c r="F436" s="0" t="n">
        <v>1.82</v>
      </c>
      <c r="G436" s="0" t="n">
        <v>16420</v>
      </c>
      <c r="H436" s="3" t="s">
        <v>14</v>
      </c>
      <c r="I436" s="4" t="n">
        <f aca="false">D436*F436</f>
        <v>14.56</v>
      </c>
      <c r="J436" s="3" t="n">
        <f aca="false">IF(AND(LEFT(A436,1)&lt;&gt;"C",D436&gt;0,F436&gt;0),1,0)</f>
        <v>1</v>
      </c>
      <c r="K436" s="3" t="n">
        <f aca="false">IF(AND(H436="United Kingdom",G436&lt;&gt;"",COUNTIFS($G$2:G436,G436,$H$2:H436,"United Kingdom")=1),1,0)</f>
        <v>0</v>
      </c>
    </row>
    <row r="437" customFormat="false" ht="15" hidden="false" customHeight="false" outlineLevel="0" collapsed="false">
      <c r="A437" s="0" t="s">
        <v>167</v>
      </c>
      <c r="B437" s="0" t="s">
        <v>113</v>
      </c>
      <c r="C437" s="0" t="s">
        <v>114</v>
      </c>
      <c r="D437" s="0" t="n">
        <v>6</v>
      </c>
      <c r="E437" s="2" t="n">
        <v>40566.81875</v>
      </c>
      <c r="F437" s="0" t="n">
        <v>3.57</v>
      </c>
      <c r="G437" s="0" t="n">
        <v>16420</v>
      </c>
      <c r="H437" s="3" t="s">
        <v>14</v>
      </c>
      <c r="I437" s="4" t="n">
        <f aca="false">D437*F437</f>
        <v>21.42</v>
      </c>
      <c r="J437" s="3" t="n">
        <f aca="false">IF(AND(LEFT(A437,1)&lt;&gt;"C",D437&gt;0,F437&gt;0),1,0)</f>
        <v>1</v>
      </c>
      <c r="K437" s="3" t="n">
        <f aca="false">IF(AND(H437="United Kingdom",G437&lt;&gt;"",COUNTIFS($G$2:G437,G437,$H$2:H437,"United Kingdom")=1),1,0)</f>
        <v>0</v>
      </c>
    </row>
    <row r="438" customFormat="false" ht="15" hidden="false" customHeight="false" outlineLevel="0" collapsed="false">
      <c r="A438" s="0" t="s">
        <v>168</v>
      </c>
      <c r="B438" s="0" t="s">
        <v>12</v>
      </c>
      <c r="C438" s="0" t="s">
        <v>13</v>
      </c>
      <c r="D438" s="0" t="n">
        <v>8</v>
      </c>
      <c r="E438" s="2" t="n">
        <v>40567.5333333333</v>
      </c>
      <c r="F438" s="0" t="n">
        <v>3.33</v>
      </c>
      <c r="G438" s="0" t="n">
        <v>12612</v>
      </c>
      <c r="H438" s="3" t="s">
        <v>97</v>
      </c>
      <c r="I438" s="4" t="n">
        <f aca="false">D438*F438</f>
        <v>26.64</v>
      </c>
      <c r="J438" s="3" t="n">
        <f aca="false">IF(AND(LEFT(A438,1)&lt;&gt;"C",D438&gt;0,F438&gt;0),1,0)</f>
        <v>1</v>
      </c>
      <c r="K438" s="3" t="n">
        <f aca="false">IF(AND(H438="United Kingdom",G438&lt;&gt;"",COUNTIFS($G$2:G438,G438,$H$2:H438,"United Kingdom")=1),1,0)</f>
        <v>0</v>
      </c>
    </row>
    <row r="439" customFormat="false" ht="15" hidden="false" customHeight="false" outlineLevel="0" collapsed="false">
      <c r="A439" s="0" t="s">
        <v>168</v>
      </c>
      <c r="B439" s="0" t="s">
        <v>43</v>
      </c>
      <c r="C439" s="0" t="s">
        <v>44</v>
      </c>
      <c r="D439" s="0" t="n">
        <v>24</v>
      </c>
      <c r="E439" s="2" t="n">
        <v>40567.5333333333</v>
      </c>
      <c r="F439" s="0" t="n">
        <v>1.35</v>
      </c>
      <c r="G439" s="0" t="n">
        <v>12612</v>
      </c>
      <c r="H439" s="3" t="s">
        <v>97</v>
      </c>
      <c r="I439" s="4" t="n">
        <f aca="false">D439*F439</f>
        <v>32.4</v>
      </c>
      <c r="J439" s="3" t="n">
        <f aca="false">IF(AND(LEFT(A439,1)&lt;&gt;"C",D439&gt;0,F439&gt;0),1,0)</f>
        <v>1</v>
      </c>
      <c r="K439" s="3" t="n">
        <f aca="false">IF(AND(H439="United Kingdom",G439&lt;&gt;"",COUNTIFS($G$2:G439,G439,$H$2:H439,"United Kingdom")=1),1,0)</f>
        <v>0</v>
      </c>
    </row>
    <row r="440" customFormat="false" ht="15" hidden="false" customHeight="false" outlineLevel="0" collapsed="false">
      <c r="A440" s="0" t="s">
        <v>169</v>
      </c>
      <c r="B440" s="0" t="s">
        <v>17</v>
      </c>
      <c r="C440" s="0" t="s">
        <v>18</v>
      </c>
      <c r="D440" s="0" t="n">
        <v>4</v>
      </c>
      <c r="E440" s="2" t="n">
        <v>40567.5972222222</v>
      </c>
      <c r="F440" s="0" t="n">
        <v>1.92</v>
      </c>
      <c r="G440" s="0" t="n">
        <v>17178</v>
      </c>
      <c r="H440" s="3" t="s">
        <v>14</v>
      </c>
      <c r="I440" s="4" t="n">
        <f aca="false">D440*F440</f>
        <v>7.68</v>
      </c>
      <c r="J440" s="3" t="n">
        <f aca="false">IF(AND(LEFT(A440,1)&lt;&gt;"C",D440&gt;0,F440&gt;0),1,0)</f>
        <v>1</v>
      </c>
      <c r="K440" s="3" t="n">
        <f aca="false">IF(AND(H440="United Kingdom",G440&lt;&gt;"",COUNTIFS($G$2:G440,G440,$H$2:H440,"United Kingdom")=1),1,0)</f>
        <v>1</v>
      </c>
    </row>
    <row r="441" customFormat="false" ht="15" hidden="false" customHeight="false" outlineLevel="0" collapsed="false">
      <c r="A441" s="0" t="s">
        <v>169</v>
      </c>
      <c r="B441" s="0" t="s">
        <v>68</v>
      </c>
      <c r="C441" s="0" t="s">
        <v>69</v>
      </c>
      <c r="D441" s="0" t="n">
        <v>3</v>
      </c>
      <c r="E441" s="2" t="n">
        <v>40567.5972222222</v>
      </c>
      <c r="F441" s="0" t="n">
        <v>1.26</v>
      </c>
      <c r="G441" s="0" t="n">
        <v>17178</v>
      </c>
      <c r="H441" s="3" t="s">
        <v>14</v>
      </c>
      <c r="I441" s="4" t="n">
        <f aca="false">D441*F441</f>
        <v>3.78</v>
      </c>
      <c r="J441" s="3" t="n">
        <f aca="false">IF(AND(LEFT(A441,1)&lt;&gt;"C",D441&gt;0,F441&gt;0),1,0)</f>
        <v>1</v>
      </c>
      <c r="K441" s="3" t="n">
        <f aca="false">IF(AND(H441="United Kingdom",G441&lt;&gt;"",COUNTIFS($G$2:G441,G441,$H$2:H441,"United Kingdom")=1),1,0)</f>
        <v>0</v>
      </c>
    </row>
    <row r="442" customFormat="false" ht="15" hidden="false" customHeight="false" outlineLevel="0" collapsed="false">
      <c r="A442" s="0" t="s">
        <v>170</v>
      </c>
      <c r="B442" s="0" t="s">
        <v>22</v>
      </c>
      <c r="C442" s="0" t="s">
        <v>23</v>
      </c>
      <c r="D442" s="0" t="n">
        <v>12</v>
      </c>
      <c r="E442" s="2" t="n">
        <v>40568.5986111111</v>
      </c>
      <c r="F442" s="0" t="n">
        <v>3.18</v>
      </c>
      <c r="G442" s="0" t="n">
        <v>15033</v>
      </c>
      <c r="H442" s="3" t="s">
        <v>14</v>
      </c>
      <c r="I442" s="4" t="n">
        <f aca="false">D442*F442</f>
        <v>38.16</v>
      </c>
      <c r="J442" s="3" t="n">
        <f aca="false">IF(AND(LEFT(A442,1)&lt;&gt;"C",D442&gt;0,F442&gt;0),1,0)</f>
        <v>1</v>
      </c>
      <c r="K442" s="3" t="n">
        <f aca="false">IF(AND(H442="United Kingdom",G442&lt;&gt;"",COUNTIFS($G$2:G442,G442,$H$2:H442,"United Kingdom")=1),1,0)</f>
        <v>1</v>
      </c>
    </row>
    <row r="443" customFormat="false" ht="15" hidden="false" customHeight="false" outlineLevel="0" collapsed="false">
      <c r="A443" s="0" t="s">
        <v>171</v>
      </c>
      <c r="B443" s="0" t="s">
        <v>15</v>
      </c>
      <c r="C443" s="0" t="s">
        <v>16</v>
      </c>
      <c r="D443" s="0" t="n">
        <v>140</v>
      </c>
      <c r="E443" s="2" t="n">
        <v>40568.6631944445</v>
      </c>
      <c r="F443" s="0" t="n">
        <v>3.18</v>
      </c>
      <c r="G443" s="0" t="n">
        <v>12377</v>
      </c>
      <c r="H443" s="3" t="s">
        <v>120</v>
      </c>
      <c r="I443" s="4" t="n">
        <f aca="false">D443*F443</f>
        <v>445.2</v>
      </c>
      <c r="J443" s="3" t="n">
        <f aca="false">IF(AND(LEFT(A443,1)&lt;&gt;"C",D443&gt;0,F443&gt;0),1,0)</f>
        <v>1</v>
      </c>
      <c r="K443" s="3" t="n">
        <f aca="false">IF(AND(H443="United Kingdom",G443&lt;&gt;"",COUNTIFS($G$2:G443,G443,$H$2:H443,"United Kingdom")=1),1,0)</f>
        <v>0</v>
      </c>
    </row>
    <row r="444" customFormat="false" ht="15" hidden="false" customHeight="false" outlineLevel="0" collapsed="false">
      <c r="A444" s="0" t="s">
        <v>171</v>
      </c>
      <c r="B444" s="0" t="s">
        <v>32</v>
      </c>
      <c r="C444" s="0" t="s">
        <v>33</v>
      </c>
      <c r="D444" s="0" t="n">
        <v>93</v>
      </c>
      <c r="E444" s="2" t="n">
        <v>40568.6631944445</v>
      </c>
      <c r="F444" s="0" t="n">
        <v>1.19</v>
      </c>
      <c r="G444" s="0" t="n">
        <v>12377</v>
      </c>
      <c r="H444" s="3" t="s">
        <v>120</v>
      </c>
      <c r="I444" s="4" t="n">
        <f aca="false">D444*F444</f>
        <v>110.67</v>
      </c>
      <c r="J444" s="3" t="n">
        <f aca="false">IF(AND(LEFT(A444,1)&lt;&gt;"C",D444&gt;0,F444&gt;0),1,0)</f>
        <v>1</v>
      </c>
      <c r="K444" s="3" t="n">
        <f aca="false">IF(AND(H444="United Kingdom",G444&lt;&gt;"",COUNTIFS($G$2:G444,G444,$H$2:H444,"United Kingdom")=1),1,0)</f>
        <v>0</v>
      </c>
    </row>
    <row r="445" customFormat="false" ht="15" hidden="false" customHeight="false" outlineLevel="0" collapsed="false">
      <c r="A445" s="0" t="s">
        <v>171</v>
      </c>
      <c r="B445" s="0" t="s">
        <v>34</v>
      </c>
      <c r="C445" s="0" t="s">
        <v>35</v>
      </c>
      <c r="D445" s="0" t="n">
        <v>93</v>
      </c>
      <c r="E445" s="2" t="n">
        <v>40568.6631944445</v>
      </c>
      <c r="F445" s="0" t="n">
        <v>2.38</v>
      </c>
      <c r="G445" s="0" t="n">
        <v>12377</v>
      </c>
      <c r="H445" s="3" t="s">
        <v>120</v>
      </c>
      <c r="I445" s="4" t="n">
        <f aca="false">D445*F445</f>
        <v>221.34</v>
      </c>
      <c r="J445" s="3" t="n">
        <f aca="false">IF(AND(LEFT(A445,1)&lt;&gt;"C",D445&gt;0,F445&gt;0),1,0)</f>
        <v>1</v>
      </c>
      <c r="K445" s="3" t="n">
        <f aca="false">IF(AND(H445="United Kingdom",G445&lt;&gt;"",COUNTIFS($G$2:G445,G445,$H$2:H445,"United Kingdom")=1),1,0)</f>
        <v>0</v>
      </c>
    </row>
    <row r="446" customFormat="false" ht="15" hidden="false" customHeight="false" outlineLevel="0" collapsed="false">
      <c r="A446" s="0" t="s">
        <v>171</v>
      </c>
      <c r="B446" s="0" t="s">
        <v>43</v>
      </c>
      <c r="C446" s="0" t="s">
        <v>44</v>
      </c>
      <c r="D446" s="0" t="n">
        <v>93</v>
      </c>
      <c r="E446" s="2" t="n">
        <v>40568.6631944445</v>
      </c>
      <c r="F446" s="0" t="n">
        <v>1.35</v>
      </c>
      <c r="G446" s="0" t="n">
        <v>12377</v>
      </c>
      <c r="H446" s="3" t="s">
        <v>120</v>
      </c>
      <c r="I446" s="4" t="n">
        <f aca="false">D446*F446</f>
        <v>125.55</v>
      </c>
      <c r="J446" s="3" t="n">
        <f aca="false">IF(AND(LEFT(A446,1)&lt;&gt;"C",D446&gt;0,F446&gt;0),1,0)</f>
        <v>1</v>
      </c>
      <c r="K446" s="3" t="n">
        <f aca="false">IF(AND(H446="United Kingdom",G446&lt;&gt;"",COUNTIFS($G$2:G446,G446,$H$2:H446,"United Kingdom")=1),1,0)</f>
        <v>0</v>
      </c>
    </row>
    <row r="447" customFormat="false" ht="15" hidden="false" customHeight="false" outlineLevel="0" collapsed="false">
      <c r="A447" s="0" t="s">
        <v>171</v>
      </c>
      <c r="B447" s="0" t="s">
        <v>54</v>
      </c>
      <c r="C447" s="0" t="s">
        <v>55</v>
      </c>
      <c r="D447" s="0" t="n">
        <v>93</v>
      </c>
      <c r="E447" s="2" t="n">
        <v>40568.6631944445</v>
      </c>
      <c r="F447" s="0" t="n">
        <v>0.99</v>
      </c>
      <c r="G447" s="0" t="n">
        <v>12377</v>
      </c>
      <c r="H447" s="3" t="s">
        <v>120</v>
      </c>
      <c r="I447" s="4" t="n">
        <f aca="false">D447*F447</f>
        <v>92.07</v>
      </c>
      <c r="J447" s="3" t="n">
        <f aca="false">IF(AND(LEFT(A447,1)&lt;&gt;"C",D447&gt;0,F447&gt;0),1,0)</f>
        <v>1</v>
      </c>
      <c r="K447" s="3" t="n">
        <f aca="false">IF(AND(H447="United Kingdom",G447&lt;&gt;"",COUNTIFS($G$2:G447,G447,$H$2:H447,"United Kingdom")=1),1,0)</f>
        <v>0</v>
      </c>
    </row>
    <row r="448" customFormat="false" ht="15" hidden="false" customHeight="false" outlineLevel="0" collapsed="false">
      <c r="A448" s="0" t="s">
        <v>172</v>
      </c>
      <c r="B448" s="0" t="s">
        <v>29</v>
      </c>
      <c r="C448" s="0" t="s">
        <v>30</v>
      </c>
      <c r="D448" s="0" t="n">
        <v>9</v>
      </c>
      <c r="E448" s="2" t="n">
        <v>40569.4263888889</v>
      </c>
      <c r="F448" s="0" t="n">
        <v>5.79</v>
      </c>
      <c r="G448" s="0" t="n">
        <v>15135</v>
      </c>
      <c r="H448" s="3" t="s">
        <v>57</v>
      </c>
      <c r="I448" s="4" t="n">
        <f aca="false">D448*F448</f>
        <v>52.11</v>
      </c>
      <c r="J448" s="3" t="n">
        <f aca="false">IF(AND(LEFT(A448,1)&lt;&gt;"C",D448&gt;0,F448&gt;0),1,0)</f>
        <v>1</v>
      </c>
      <c r="K448" s="3" t="n">
        <f aca="false">IF(AND(H448="United Kingdom",G448&lt;&gt;"",COUNTIFS($G$2:G448,G448,$H$2:H448,"United Kingdom")=1),1,0)</f>
        <v>0</v>
      </c>
    </row>
    <row r="449" customFormat="false" ht="15" hidden="false" customHeight="false" outlineLevel="0" collapsed="false">
      <c r="A449" s="0" t="s">
        <v>172</v>
      </c>
      <c r="B449" s="0" t="s">
        <v>63</v>
      </c>
      <c r="C449" s="0" t="s">
        <v>64</v>
      </c>
      <c r="D449" s="0" t="n">
        <v>1</v>
      </c>
      <c r="E449" s="2" t="n">
        <v>40569.4263888889</v>
      </c>
      <c r="F449" s="0" t="n">
        <v>2.43</v>
      </c>
      <c r="G449" s="0" t="n">
        <v>15135</v>
      </c>
      <c r="H449" s="3" t="s">
        <v>57</v>
      </c>
      <c r="I449" s="4" t="n">
        <f aca="false">D449*F449</f>
        <v>2.43</v>
      </c>
      <c r="J449" s="3" t="n">
        <f aca="false">IF(AND(LEFT(A449,1)&lt;&gt;"C",D449&gt;0,F449&gt;0),1,0)</f>
        <v>1</v>
      </c>
      <c r="K449" s="3" t="n">
        <f aca="false">IF(AND(H449="United Kingdom",G449&lt;&gt;"",COUNTIFS($G$2:G449,G449,$H$2:H449,"United Kingdom")=1),1,0)</f>
        <v>0</v>
      </c>
    </row>
    <row r="450" customFormat="false" ht="15" hidden="false" customHeight="false" outlineLevel="0" collapsed="false">
      <c r="A450" s="0" t="s">
        <v>173</v>
      </c>
      <c r="B450" s="0" t="s">
        <v>39</v>
      </c>
      <c r="C450" s="0" t="s">
        <v>40</v>
      </c>
      <c r="D450" s="0" t="n">
        <v>1</v>
      </c>
      <c r="E450" s="2" t="n">
        <v>40569.7527777778</v>
      </c>
      <c r="F450" s="0" t="n">
        <v>2.58</v>
      </c>
      <c r="G450" s="0" t="n">
        <v>12480</v>
      </c>
      <c r="H450" s="3" t="s">
        <v>14</v>
      </c>
      <c r="I450" s="4" t="n">
        <f aca="false">D450*F450</f>
        <v>2.58</v>
      </c>
      <c r="J450" s="3" t="n">
        <f aca="false">IF(AND(LEFT(A450,1)&lt;&gt;"C",D450&gt;0,F450&gt;0),1,0)</f>
        <v>1</v>
      </c>
      <c r="K450" s="3" t="n">
        <f aca="false">IF(AND(H450="United Kingdom",G450&lt;&gt;"",COUNTIFS($G$2:G450,G450,$H$2:H450,"United Kingdom")=1),1,0)</f>
        <v>0</v>
      </c>
    </row>
    <row r="451" customFormat="false" ht="15" hidden="false" customHeight="false" outlineLevel="0" collapsed="false">
      <c r="A451" s="0" t="s">
        <v>173</v>
      </c>
      <c r="B451" s="0" t="s">
        <v>34</v>
      </c>
      <c r="C451" s="0" t="s">
        <v>35</v>
      </c>
      <c r="D451" s="0" t="n">
        <v>2</v>
      </c>
      <c r="E451" s="2" t="n">
        <v>40569.7527777778</v>
      </c>
      <c r="F451" s="0" t="n">
        <v>2.38</v>
      </c>
      <c r="G451" s="0" t="n">
        <v>12480</v>
      </c>
      <c r="H451" s="3" t="s">
        <v>14</v>
      </c>
      <c r="I451" s="4" t="n">
        <f aca="false">D451*F451</f>
        <v>4.76</v>
      </c>
      <c r="J451" s="3" t="n">
        <f aca="false">IF(AND(LEFT(A451,1)&lt;&gt;"C",D451&gt;0,F451&gt;0),1,0)</f>
        <v>1</v>
      </c>
      <c r="K451" s="3" t="n">
        <f aca="false">IF(AND(H451="United Kingdom",G451&lt;&gt;"",COUNTIFS($G$2:G451,G451,$H$2:H451,"United Kingdom")=1),1,0)</f>
        <v>0</v>
      </c>
    </row>
    <row r="452" customFormat="false" ht="15" hidden="false" customHeight="false" outlineLevel="0" collapsed="false">
      <c r="A452" s="0" t="s">
        <v>173</v>
      </c>
      <c r="B452" s="0" t="s">
        <v>43</v>
      </c>
      <c r="C452" s="0" t="s">
        <v>44</v>
      </c>
      <c r="D452" s="0" t="n">
        <v>6</v>
      </c>
      <c r="E452" s="2" t="n">
        <v>40569.7527777778</v>
      </c>
      <c r="F452" s="0" t="n">
        <v>1.35</v>
      </c>
      <c r="G452" s="0" t="n">
        <v>12480</v>
      </c>
      <c r="H452" s="3" t="s">
        <v>14</v>
      </c>
      <c r="I452" s="4" t="n">
        <f aca="false">D452*F452</f>
        <v>8.1</v>
      </c>
      <c r="J452" s="3" t="n">
        <f aca="false">IF(AND(LEFT(A452,1)&lt;&gt;"C",D452&gt;0,F452&gt;0),1,0)</f>
        <v>1</v>
      </c>
      <c r="K452" s="3" t="n">
        <f aca="false">IF(AND(H452="United Kingdom",G452&lt;&gt;"",COUNTIFS($G$2:G452,G452,$H$2:H452,"United Kingdom")=1),1,0)</f>
        <v>0</v>
      </c>
    </row>
    <row r="453" customFormat="false" ht="15" hidden="false" customHeight="false" outlineLevel="0" collapsed="false">
      <c r="A453" s="0" t="s">
        <v>173</v>
      </c>
      <c r="B453" s="0" t="s">
        <v>63</v>
      </c>
      <c r="C453" s="0" t="s">
        <v>64</v>
      </c>
      <c r="D453" s="0" t="n">
        <v>4</v>
      </c>
      <c r="E453" s="2" t="n">
        <v>40569.7527777778</v>
      </c>
      <c r="F453" s="0" t="n">
        <v>2.43</v>
      </c>
      <c r="G453" s="0" t="n">
        <v>12480</v>
      </c>
      <c r="H453" s="3" t="s">
        <v>14</v>
      </c>
      <c r="I453" s="4" t="n">
        <f aca="false">D453*F453</f>
        <v>9.72</v>
      </c>
      <c r="J453" s="3" t="n">
        <f aca="false">IF(AND(LEFT(A453,1)&lt;&gt;"C",D453&gt;0,F453&gt;0),1,0)</f>
        <v>1</v>
      </c>
      <c r="K453" s="3" t="n">
        <f aca="false">IF(AND(H453="United Kingdom",G453&lt;&gt;"",COUNTIFS($G$2:G453,G453,$H$2:H453,"United Kingdom")=1),1,0)</f>
        <v>0</v>
      </c>
    </row>
    <row r="454" customFormat="false" ht="15" hidden="false" customHeight="false" outlineLevel="0" collapsed="false">
      <c r="A454" s="0" t="s">
        <v>174</v>
      </c>
      <c r="B454" s="0" t="s">
        <v>15</v>
      </c>
      <c r="C454" s="0" t="s">
        <v>16</v>
      </c>
      <c r="D454" s="0" t="n">
        <v>3</v>
      </c>
      <c r="E454" s="2" t="n">
        <v>40570.4041666667</v>
      </c>
      <c r="F454" s="0" t="n">
        <v>3.18</v>
      </c>
      <c r="G454" s="0" t="n">
        <v>12810</v>
      </c>
      <c r="H454" s="3" t="s">
        <v>14</v>
      </c>
      <c r="I454" s="4" t="n">
        <f aca="false">D454*F454</f>
        <v>9.54</v>
      </c>
      <c r="J454" s="3" t="n">
        <f aca="false">IF(AND(LEFT(A454,1)&lt;&gt;"C",D454&gt;0,F454&gt;0),1,0)</f>
        <v>1</v>
      </c>
      <c r="K454" s="3" t="n">
        <f aca="false">IF(AND(H454="United Kingdom",G454&lt;&gt;"",COUNTIFS($G$2:G454,G454,$H$2:H454,"United Kingdom")=1),1,0)</f>
        <v>1</v>
      </c>
    </row>
    <row r="455" customFormat="false" ht="15" hidden="false" customHeight="false" outlineLevel="0" collapsed="false">
      <c r="A455" s="0" t="s">
        <v>174</v>
      </c>
      <c r="B455" s="0" t="s">
        <v>41</v>
      </c>
      <c r="C455" s="0" t="s">
        <v>42</v>
      </c>
      <c r="D455" s="0" t="n">
        <v>24</v>
      </c>
      <c r="E455" s="2" t="n">
        <v>40570.4041666667</v>
      </c>
      <c r="F455" s="0" t="n">
        <v>3.28</v>
      </c>
      <c r="G455" s="0" t="n">
        <v>12810</v>
      </c>
      <c r="H455" s="3" t="s">
        <v>14</v>
      </c>
      <c r="I455" s="4" t="n">
        <f aca="false">D455*F455</f>
        <v>78.72</v>
      </c>
      <c r="J455" s="3" t="n">
        <f aca="false">IF(AND(LEFT(A455,1)&lt;&gt;"C",D455&gt;0,F455&gt;0),1,0)</f>
        <v>1</v>
      </c>
      <c r="K455" s="3" t="n">
        <f aca="false">IF(AND(H455="United Kingdom",G455&lt;&gt;"",COUNTIFS($G$2:G455,G455,$H$2:H455,"United Kingdom")=1),1,0)</f>
        <v>0</v>
      </c>
    </row>
    <row r="456" customFormat="false" ht="15" hidden="false" customHeight="false" outlineLevel="0" collapsed="false">
      <c r="A456" s="0" t="s">
        <v>174</v>
      </c>
      <c r="B456" s="0" t="s">
        <v>29</v>
      </c>
      <c r="C456" s="0" t="s">
        <v>30</v>
      </c>
      <c r="D456" s="0" t="n">
        <v>24</v>
      </c>
      <c r="E456" s="2" t="n">
        <v>40570.4041666667</v>
      </c>
      <c r="F456" s="0" t="n">
        <v>5.79</v>
      </c>
      <c r="G456" s="0" t="n">
        <v>12810</v>
      </c>
      <c r="H456" s="3" t="s">
        <v>14</v>
      </c>
      <c r="I456" s="4" t="n">
        <f aca="false">D456*F456</f>
        <v>138.96</v>
      </c>
      <c r="J456" s="3" t="n">
        <f aca="false">IF(AND(LEFT(A456,1)&lt;&gt;"C",D456&gt;0,F456&gt;0),1,0)</f>
        <v>1</v>
      </c>
      <c r="K456" s="3" t="n">
        <f aca="false">IF(AND(H456="United Kingdom",G456&lt;&gt;"",COUNTIFS($G$2:G456,G456,$H$2:H456,"United Kingdom")=1),1,0)</f>
        <v>0</v>
      </c>
    </row>
    <row r="457" customFormat="false" ht="15" hidden="false" customHeight="false" outlineLevel="0" collapsed="false">
      <c r="A457" s="0" t="s">
        <v>175</v>
      </c>
      <c r="B457" s="0" t="s">
        <v>32</v>
      </c>
      <c r="C457" s="0" t="s">
        <v>33</v>
      </c>
      <c r="D457" s="0" t="n">
        <v>12</v>
      </c>
      <c r="E457" s="2" t="n">
        <v>40570.7416666667</v>
      </c>
      <c r="F457" s="0" t="n">
        <v>1.19</v>
      </c>
      <c r="G457" s="0" t="n">
        <v>13089</v>
      </c>
      <c r="H457" s="3" t="s">
        <v>14</v>
      </c>
      <c r="I457" s="4" t="n">
        <f aca="false">D457*F457</f>
        <v>14.28</v>
      </c>
      <c r="J457" s="3" t="n">
        <f aca="false">IF(AND(LEFT(A457,1)&lt;&gt;"C",D457&gt;0,F457&gt;0),1,0)</f>
        <v>1</v>
      </c>
      <c r="K457" s="3" t="n">
        <f aca="false">IF(AND(H457="United Kingdom",G457&lt;&gt;"",COUNTIFS($G$2:G457,G457,$H$2:H457,"United Kingdom")=1),1,0)</f>
        <v>0</v>
      </c>
    </row>
    <row r="458" customFormat="false" ht="15" hidden="false" customHeight="false" outlineLevel="0" collapsed="false">
      <c r="A458" s="0" t="s">
        <v>175</v>
      </c>
      <c r="B458" s="0" t="s">
        <v>39</v>
      </c>
      <c r="C458" s="0" t="s">
        <v>40</v>
      </c>
      <c r="D458" s="0" t="n">
        <v>1</v>
      </c>
      <c r="E458" s="2" t="n">
        <v>40570.7416666667</v>
      </c>
      <c r="F458" s="0" t="n">
        <v>2.58</v>
      </c>
      <c r="G458" s="0" t="n">
        <v>13089</v>
      </c>
      <c r="H458" s="3" t="s">
        <v>14</v>
      </c>
      <c r="I458" s="4" t="n">
        <f aca="false">D458*F458</f>
        <v>2.58</v>
      </c>
      <c r="J458" s="3" t="n">
        <f aca="false">IF(AND(LEFT(A458,1)&lt;&gt;"C",D458&gt;0,F458&gt;0),1,0)</f>
        <v>1</v>
      </c>
      <c r="K458" s="3" t="n">
        <f aca="false">IF(AND(H458="United Kingdom",G458&lt;&gt;"",COUNTIFS($G$2:G458,G458,$H$2:H458,"United Kingdom")=1),1,0)</f>
        <v>0</v>
      </c>
    </row>
    <row r="459" customFormat="false" ht="15" hidden="false" customHeight="false" outlineLevel="0" collapsed="false">
      <c r="A459" s="0" t="s">
        <v>175</v>
      </c>
      <c r="B459" s="0" t="s">
        <v>41</v>
      </c>
      <c r="C459" s="0" t="s">
        <v>42</v>
      </c>
      <c r="D459" s="0" t="n">
        <v>4</v>
      </c>
      <c r="E459" s="2" t="n">
        <v>40570.7416666667</v>
      </c>
      <c r="F459" s="0" t="n">
        <v>3.28</v>
      </c>
      <c r="G459" s="0" t="n">
        <v>13089</v>
      </c>
      <c r="H459" s="3" t="s">
        <v>14</v>
      </c>
      <c r="I459" s="4" t="n">
        <f aca="false">D459*F459</f>
        <v>13.12</v>
      </c>
      <c r="J459" s="3" t="n">
        <f aca="false">IF(AND(LEFT(A459,1)&lt;&gt;"C",D459&gt;0,F459&gt;0),1,0)</f>
        <v>1</v>
      </c>
      <c r="K459" s="3" t="n">
        <f aca="false">IF(AND(H459="United Kingdom",G459&lt;&gt;"",COUNTIFS($G$2:G459,G459,$H$2:H459,"United Kingdom")=1),1,0)</f>
        <v>0</v>
      </c>
    </row>
    <row r="460" customFormat="false" ht="15" hidden="false" customHeight="false" outlineLevel="0" collapsed="false">
      <c r="A460" s="0" t="s">
        <v>175</v>
      </c>
      <c r="B460" s="0" t="s">
        <v>113</v>
      </c>
      <c r="C460" s="0" t="s">
        <v>114</v>
      </c>
      <c r="D460" s="0" t="n">
        <v>1</v>
      </c>
      <c r="E460" s="2" t="n">
        <v>40570.7416666667</v>
      </c>
      <c r="F460" s="0" t="n">
        <v>3.57</v>
      </c>
      <c r="G460" s="0" t="n">
        <v>13089</v>
      </c>
      <c r="H460" s="3" t="s">
        <v>14</v>
      </c>
      <c r="I460" s="4" t="n">
        <f aca="false">D460*F460</f>
        <v>3.57</v>
      </c>
      <c r="J460" s="3" t="n">
        <f aca="false">IF(AND(LEFT(A460,1)&lt;&gt;"C",D460&gt;0,F460&gt;0),1,0)</f>
        <v>1</v>
      </c>
      <c r="K460" s="3" t="n">
        <f aca="false">IF(AND(H460="United Kingdom",G460&lt;&gt;"",COUNTIFS($G$2:G460,G460,$H$2:H460,"United Kingdom")=1),1,0)</f>
        <v>0</v>
      </c>
    </row>
    <row r="461" customFormat="false" ht="15" hidden="false" customHeight="false" outlineLevel="0" collapsed="false">
      <c r="A461" s="0" t="s">
        <v>175</v>
      </c>
      <c r="B461" s="0" t="s">
        <v>63</v>
      </c>
      <c r="C461" s="0" t="s">
        <v>64</v>
      </c>
      <c r="D461" s="0" t="n">
        <v>2</v>
      </c>
      <c r="E461" s="2" t="n">
        <v>40570.7416666667</v>
      </c>
      <c r="F461" s="0" t="n">
        <v>2.43</v>
      </c>
      <c r="G461" s="0" t="n">
        <v>13089</v>
      </c>
      <c r="H461" s="3" t="s">
        <v>14</v>
      </c>
      <c r="I461" s="4" t="n">
        <f aca="false">D461*F461</f>
        <v>4.86</v>
      </c>
      <c r="J461" s="3" t="n">
        <f aca="false">IF(AND(LEFT(A461,1)&lt;&gt;"C",D461&gt;0,F461&gt;0),1,0)</f>
        <v>1</v>
      </c>
      <c r="K461" s="3" t="n">
        <f aca="false">IF(AND(H461="United Kingdom",G461&lt;&gt;"",COUNTIFS($G$2:G461,G461,$H$2:H461,"United Kingdom")=1),1,0)</f>
        <v>0</v>
      </c>
    </row>
    <row r="462" customFormat="false" ht="15" hidden="false" customHeight="false" outlineLevel="0" collapsed="false">
      <c r="A462" s="0" t="s">
        <v>176</v>
      </c>
      <c r="B462" s="0" t="s">
        <v>17</v>
      </c>
      <c r="C462" s="0" t="s">
        <v>18</v>
      </c>
      <c r="D462" s="0" t="n">
        <v>168</v>
      </c>
      <c r="E462" s="2" t="n">
        <v>40570.7423611111</v>
      </c>
      <c r="F462" s="0" t="n">
        <v>1.92</v>
      </c>
      <c r="G462" s="0" t="n">
        <v>13381</v>
      </c>
      <c r="H462" s="3" t="s">
        <v>177</v>
      </c>
      <c r="I462" s="4" t="n">
        <f aca="false">D462*F462</f>
        <v>322.56</v>
      </c>
      <c r="J462" s="3" t="n">
        <f aca="false">IF(AND(LEFT(A462,1)&lt;&gt;"C",D462&gt;0,F462&gt;0),1,0)</f>
        <v>1</v>
      </c>
      <c r="K462" s="3" t="n">
        <f aca="false">IF(AND(H462="United Kingdom",G462&lt;&gt;"",COUNTIFS($G$2:G462,G462,$H$2:H462,"United Kingdom")=1),1,0)</f>
        <v>0</v>
      </c>
    </row>
    <row r="463" customFormat="false" ht="15" hidden="false" customHeight="false" outlineLevel="0" collapsed="false">
      <c r="A463" s="0" t="s">
        <v>176</v>
      </c>
      <c r="B463" s="0" t="s">
        <v>32</v>
      </c>
      <c r="C463" s="0" t="s">
        <v>33</v>
      </c>
      <c r="D463" s="0" t="n">
        <v>336</v>
      </c>
      <c r="E463" s="2" t="n">
        <v>40570.7423611111</v>
      </c>
      <c r="F463" s="0" t="n">
        <v>1.19</v>
      </c>
      <c r="G463" s="0" t="n">
        <v>13381</v>
      </c>
      <c r="H463" s="3" t="s">
        <v>177</v>
      </c>
      <c r="I463" s="4" t="n">
        <f aca="false">D463*F463</f>
        <v>399.84</v>
      </c>
      <c r="J463" s="3" t="n">
        <f aca="false">IF(AND(LEFT(A463,1)&lt;&gt;"C",D463&gt;0,F463&gt;0),1,0)</f>
        <v>1</v>
      </c>
      <c r="K463" s="3" t="n">
        <f aca="false">IF(AND(H463="United Kingdom",G463&lt;&gt;"",COUNTIFS($G$2:G463,G463,$H$2:H463,"United Kingdom")=1),1,0)</f>
        <v>0</v>
      </c>
    </row>
    <row r="464" customFormat="false" ht="15" hidden="false" customHeight="false" outlineLevel="0" collapsed="false">
      <c r="A464" s="0" t="s">
        <v>176</v>
      </c>
      <c r="B464" s="0" t="s">
        <v>25</v>
      </c>
      <c r="C464" s="0" t="s">
        <v>26</v>
      </c>
      <c r="D464" s="0" t="n">
        <v>168</v>
      </c>
      <c r="E464" s="2" t="n">
        <v>40570.7423611111</v>
      </c>
      <c r="F464" s="0" t="n">
        <v>2.21</v>
      </c>
      <c r="G464" s="0" t="n">
        <v>13381</v>
      </c>
      <c r="H464" s="3" t="s">
        <v>177</v>
      </c>
      <c r="I464" s="4" t="n">
        <f aca="false">D464*F464</f>
        <v>371.28</v>
      </c>
      <c r="J464" s="3" t="n">
        <f aca="false">IF(AND(LEFT(A464,1)&lt;&gt;"C",D464&gt;0,F464&gt;0),1,0)</f>
        <v>1</v>
      </c>
      <c r="K464" s="3" t="n">
        <f aca="false">IF(AND(H464="United Kingdom",G464&lt;&gt;"",COUNTIFS($G$2:G464,G464,$H$2:H464,"United Kingdom")=1),1,0)</f>
        <v>0</v>
      </c>
    </row>
    <row r="465" customFormat="false" ht="15" hidden="false" customHeight="false" outlineLevel="0" collapsed="false">
      <c r="A465" s="0" t="s">
        <v>176</v>
      </c>
      <c r="B465" s="0" t="s">
        <v>113</v>
      </c>
      <c r="C465" s="0" t="s">
        <v>114</v>
      </c>
      <c r="D465" s="0" t="n">
        <v>84</v>
      </c>
      <c r="E465" s="2" t="n">
        <v>40570.7423611111</v>
      </c>
      <c r="F465" s="0" t="n">
        <v>3.57</v>
      </c>
      <c r="G465" s="0" t="n">
        <v>13381</v>
      </c>
      <c r="H465" s="3" t="s">
        <v>177</v>
      </c>
      <c r="I465" s="4" t="n">
        <f aca="false">D465*F465</f>
        <v>299.88</v>
      </c>
      <c r="J465" s="3" t="n">
        <f aca="false">IF(AND(LEFT(A465,1)&lt;&gt;"C",D465&gt;0,F465&gt;0),1,0)</f>
        <v>1</v>
      </c>
      <c r="K465" s="3" t="n">
        <f aca="false">IF(AND(H465="United Kingdom",G465&lt;&gt;"",COUNTIFS($G$2:G465,G465,$H$2:H465,"United Kingdom")=1),1,0)</f>
        <v>0</v>
      </c>
    </row>
    <row r="466" customFormat="false" ht="15" hidden="false" customHeight="false" outlineLevel="0" collapsed="false">
      <c r="A466" s="0" t="s">
        <v>176</v>
      </c>
      <c r="B466" s="0" t="s">
        <v>63</v>
      </c>
      <c r="C466" s="0" t="s">
        <v>64</v>
      </c>
      <c r="D466" s="0" t="n">
        <v>42</v>
      </c>
      <c r="E466" s="2" t="n">
        <v>40570.7423611111</v>
      </c>
      <c r="F466" s="0" t="n">
        <v>2.43</v>
      </c>
      <c r="G466" s="0" t="n">
        <v>13381</v>
      </c>
      <c r="H466" s="3" t="s">
        <v>177</v>
      </c>
      <c r="I466" s="4" t="n">
        <f aca="false">D466*F466</f>
        <v>102.06</v>
      </c>
      <c r="J466" s="3" t="n">
        <f aca="false">IF(AND(LEFT(A466,1)&lt;&gt;"C",D466&gt;0,F466&gt;0),1,0)</f>
        <v>1</v>
      </c>
      <c r="K466" s="3" t="n">
        <f aca="false">IF(AND(H466="United Kingdom",G466&lt;&gt;"",COUNTIFS($G$2:G466,G466,$H$2:H466,"United Kingdom")=1),1,0)</f>
        <v>0</v>
      </c>
    </row>
    <row r="467" customFormat="false" ht="15" hidden="false" customHeight="false" outlineLevel="0" collapsed="false">
      <c r="A467" s="0" t="s">
        <v>176</v>
      </c>
      <c r="B467" s="0" t="s">
        <v>12</v>
      </c>
      <c r="C467" s="0" t="s">
        <v>13</v>
      </c>
      <c r="D467" s="0" t="n">
        <v>126</v>
      </c>
      <c r="E467" s="2" t="n">
        <v>40570.7423611111</v>
      </c>
      <c r="F467" s="0" t="n">
        <v>3.33</v>
      </c>
      <c r="G467" s="0" t="n">
        <v>13381</v>
      </c>
      <c r="H467" s="3" t="s">
        <v>177</v>
      </c>
      <c r="I467" s="4" t="n">
        <f aca="false">D467*F467</f>
        <v>419.58</v>
      </c>
      <c r="J467" s="3" t="n">
        <f aca="false">IF(AND(LEFT(A467,1)&lt;&gt;"C",D467&gt;0,F467&gt;0),1,0)</f>
        <v>1</v>
      </c>
      <c r="K467" s="3" t="n">
        <f aca="false">IF(AND(H467="United Kingdom",G467&lt;&gt;"",COUNTIFS($G$2:G467,G467,$H$2:H467,"United Kingdom")=1),1,0)</f>
        <v>0</v>
      </c>
    </row>
    <row r="468" customFormat="false" ht="15" hidden="false" customHeight="false" outlineLevel="0" collapsed="false">
      <c r="A468" s="0" t="s">
        <v>176</v>
      </c>
      <c r="B468" s="0" t="s">
        <v>77</v>
      </c>
      <c r="C468" s="0" t="s">
        <v>78</v>
      </c>
      <c r="D468" s="0" t="n">
        <v>126</v>
      </c>
      <c r="E468" s="2" t="n">
        <v>40570.7423611111</v>
      </c>
      <c r="F468" s="0" t="n">
        <v>3.41</v>
      </c>
      <c r="G468" s="0" t="n">
        <v>13381</v>
      </c>
      <c r="H468" s="3" t="s">
        <v>177</v>
      </c>
      <c r="I468" s="4" t="n">
        <f aca="false">D468*F468</f>
        <v>429.66</v>
      </c>
      <c r="J468" s="3" t="n">
        <f aca="false">IF(AND(LEFT(A468,1)&lt;&gt;"C",D468&gt;0,F468&gt;0),1,0)</f>
        <v>1</v>
      </c>
      <c r="K468" s="3" t="n">
        <f aca="false">IF(AND(H468="United Kingdom",G468&lt;&gt;"",COUNTIFS($G$2:G468,G468,$H$2:H468,"United Kingdom")=1),1,0)</f>
        <v>0</v>
      </c>
    </row>
    <row r="469" customFormat="false" ht="15" hidden="false" customHeight="false" outlineLevel="0" collapsed="false">
      <c r="A469" s="0" t="s">
        <v>176</v>
      </c>
      <c r="B469" s="0" t="s">
        <v>72</v>
      </c>
      <c r="C469" s="0" t="s">
        <v>73</v>
      </c>
      <c r="D469" s="0" t="n">
        <v>42</v>
      </c>
      <c r="E469" s="2" t="n">
        <v>40570.7423611111</v>
      </c>
      <c r="F469" s="0" t="n">
        <v>2.69</v>
      </c>
      <c r="G469" s="0" t="n">
        <v>13381</v>
      </c>
      <c r="H469" s="3" t="s">
        <v>177</v>
      </c>
      <c r="I469" s="4" t="n">
        <f aca="false">D469*F469</f>
        <v>112.98</v>
      </c>
      <c r="J469" s="3" t="n">
        <f aca="false">IF(AND(LEFT(A469,1)&lt;&gt;"C",D469&gt;0,F469&gt;0),1,0)</f>
        <v>1</v>
      </c>
      <c r="K469" s="3" t="n">
        <f aca="false">IF(AND(H469="United Kingdom",G469&lt;&gt;"",COUNTIFS($G$2:G469,G469,$H$2:H469,"United Kingdom")=1),1,0)</f>
        <v>0</v>
      </c>
    </row>
    <row r="470" customFormat="false" ht="15" hidden="false" customHeight="false" outlineLevel="0" collapsed="false">
      <c r="A470" s="0" t="s">
        <v>176</v>
      </c>
      <c r="B470" s="0" t="s">
        <v>65</v>
      </c>
      <c r="C470" s="0" t="s">
        <v>66</v>
      </c>
      <c r="D470" s="0" t="n">
        <v>672</v>
      </c>
      <c r="E470" s="2" t="n">
        <v>40570.7423611111</v>
      </c>
      <c r="F470" s="0" t="n">
        <v>4.75</v>
      </c>
      <c r="G470" s="0" t="n">
        <v>13381</v>
      </c>
      <c r="H470" s="3" t="s">
        <v>177</v>
      </c>
      <c r="I470" s="4" t="n">
        <f aca="false">D470*F470</f>
        <v>3192</v>
      </c>
      <c r="J470" s="3" t="n">
        <f aca="false">IF(AND(LEFT(A470,1)&lt;&gt;"C",D470&gt;0,F470&gt;0),1,0)</f>
        <v>1</v>
      </c>
      <c r="K470" s="3" t="n">
        <f aca="false">IF(AND(H470="United Kingdom",G470&lt;&gt;"",COUNTIFS($G$2:G470,G470,$H$2:H470,"United Kingdom")=1),1,0)</f>
        <v>0</v>
      </c>
    </row>
    <row r="471" customFormat="false" ht="15" hidden="false" customHeight="false" outlineLevel="0" collapsed="false">
      <c r="A471" s="0" t="s">
        <v>176</v>
      </c>
      <c r="B471" s="0" t="s">
        <v>60</v>
      </c>
      <c r="C471" s="0" t="s">
        <v>61</v>
      </c>
      <c r="D471" s="0" t="n">
        <v>63</v>
      </c>
      <c r="E471" s="2" t="n">
        <v>40570.7423611111</v>
      </c>
      <c r="F471" s="0" t="n">
        <v>0.63</v>
      </c>
      <c r="G471" s="0" t="n">
        <v>13381</v>
      </c>
      <c r="H471" s="3" t="s">
        <v>177</v>
      </c>
      <c r="I471" s="4" t="n">
        <f aca="false">D471*F471</f>
        <v>39.69</v>
      </c>
      <c r="J471" s="3" t="n">
        <f aca="false">IF(AND(LEFT(A471,1)&lt;&gt;"C",D471&gt;0,F471&gt;0),1,0)</f>
        <v>1</v>
      </c>
      <c r="K471" s="3" t="n">
        <f aca="false">IF(AND(H471="United Kingdom",G471&lt;&gt;"",COUNTIFS($G$2:G471,G471,$H$2:H471,"United Kingdom")=1),1,0)</f>
        <v>0</v>
      </c>
    </row>
    <row r="472" customFormat="false" ht="15" hidden="false" customHeight="false" outlineLevel="0" collapsed="false">
      <c r="A472" s="0" t="s">
        <v>176</v>
      </c>
      <c r="B472" s="0" t="s">
        <v>41</v>
      </c>
      <c r="C472" s="0" t="s">
        <v>42</v>
      </c>
      <c r="D472" s="0" t="n">
        <v>252</v>
      </c>
      <c r="E472" s="2" t="n">
        <v>40570.7423611111</v>
      </c>
      <c r="F472" s="0" t="n">
        <v>3.28</v>
      </c>
      <c r="G472" s="0" t="n">
        <v>13381</v>
      </c>
      <c r="H472" s="3" t="s">
        <v>177</v>
      </c>
      <c r="I472" s="4" t="n">
        <f aca="false">D472*F472</f>
        <v>826.56</v>
      </c>
      <c r="J472" s="3" t="n">
        <f aca="false">IF(AND(LEFT(A472,1)&lt;&gt;"C",D472&gt;0,F472&gt;0),1,0)</f>
        <v>1</v>
      </c>
      <c r="K472" s="3" t="n">
        <f aca="false">IF(AND(H472="United Kingdom",G472&lt;&gt;"",COUNTIFS($G$2:G472,G472,$H$2:H472,"United Kingdom")=1),1,0)</f>
        <v>0</v>
      </c>
    </row>
    <row r="473" customFormat="false" ht="15" hidden="false" customHeight="false" outlineLevel="0" collapsed="false">
      <c r="A473" s="0" t="s">
        <v>176</v>
      </c>
      <c r="B473" s="0" t="s">
        <v>54</v>
      </c>
      <c r="C473" s="0" t="s">
        <v>55</v>
      </c>
      <c r="D473" s="0" t="n">
        <v>504</v>
      </c>
      <c r="E473" s="2" t="n">
        <v>40570.7423611111</v>
      </c>
      <c r="F473" s="0" t="n">
        <v>0.99</v>
      </c>
      <c r="G473" s="0" t="n">
        <v>13381</v>
      </c>
      <c r="H473" s="3" t="s">
        <v>177</v>
      </c>
      <c r="I473" s="4" t="n">
        <f aca="false">D473*F473</f>
        <v>498.96</v>
      </c>
      <c r="J473" s="3" t="n">
        <f aca="false">IF(AND(LEFT(A473,1)&lt;&gt;"C",D473&gt;0,F473&gt;0),1,0)</f>
        <v>1</v>
      </c>
      <c r="K473" s="3" t="n">
        <f aca="false">IF(AND(H473="United Kingdom",G473&lt;&gt;"",COUNTIFS($G$2:G473,G473,$H$2:H473,"United Kingdom")=1),1,0)</f>
        <v>0</v>
      </c>
    </row>
    <row r="474" customFormat="false" ht="15" hidden="false" customHeight="false" outlineLevel="0" collapsed="false">
      <c r="A474" s="0" t="s">
        <v>178</v>
      </c>
      <c r="B474" s="0" t="s">
        <v>50</v>
      </c>
      <c r="C474" s="0" t="s">
        <v>51</v>
      </c>
      <c r="D474" s="0" t="n">
        <v>3</v>
      </c>
      <c r="E474" s="2" t="n">
        <v>40570.8270833333</v>
      </c>
      <c r="F474" s="0" t="n">
        <v>5.41</v>
      </c>
      <c r="G474" s="0" t="n">
        <v>13100</v>
      </c>
      <c r="H474" s="3" t="s">
        <v>14</v>
      </c>
      <c r="I474" s="4" t="n">
        <f aca="false">D474*F474</f>
        <v>16.23</v>
      </c>
      <c r="J474" s="3" t="n">
        <f aca="false">IF(AND(LEFT(A474,1)&lt;&gt;"C",D474&gt;0,F474&gt;0),1,0)</f>
        <v>1</v>
      </c>
      <c r="K474" s="3" t="n">
        <f aca="false">IF(AND(H474="United Kingdom",G474&lt;&gt;"",COUNTIFS($G$2:G474,G474,$H$2:H474,"United Kingdom")=1),1,0)</f>
        <v>1</v>
      </c>
    </row>
    <row r="475" customFormat="false" ht="15" hidden="false" customHeight="false" outlineLevel="0" collapsed="false">
      <c r="A475" s="0" t="s">
        <v>178</v>
      </c>
      <c r="B475" s="0" t="s">
        <v>12</v>
      </c>
      <c r="C475" s="0" t="s">
        <v>13</v>
      </c>
      <c r="D475" s="0" t="n">
        <v>12</v>
      </c>
      <c r="E475" s="2" t="n">
        <v>40570.8270833333</v>
      </c>
      <c r="F475" s="0" t="n">
        <v>3.33</v>
      </c>
      <c r="G475" s="0" t="n">
        <v>13100</v>
      </c>
      <c r="H475" s="3" t="s">
        <v>14</v>
      </c>
      <c r="I475" s="4" t="n">
        <f aca="false">D475*F475</f>
        <v>39.96</v>
      </c>
      <c r="J475" s="3" t="n">
        <f aca="false">IF(AND(LEFT(A475,1)&lt;&gt;"C",D475&gt;0,F475&gt;0),1,0)</f>
        <v>1</v>
      </c>
      <c r="K475" s="3" t="n">
        <f aca="false">IF(AND(H475="United Kingdom",G475&lt;&gt;"",COUNTIFS($G$2:G475,G475,$H$2:H475,"United Kingdom")=1),1,0)</f>
        <v>0</v>
      </c>
    </row>
    <row r="476" customFormat="false" ht="15" hidden="false" customHeight="false" outlineLevel="0" collapsed="false">
      <c r="A476" s="0" t="s">
        <v>178</v>
      </c>
      <c r="B476" s="0" t="s">
        <v>37</v>
      </c>
      <c r="C476" s="0" t="s">
        <v>38</v>
      </c>
      <c r="D476" s="0" t="n">
        <v>8</v>
      </c>
      <c r="E476" s="2" t="n">
        <v>40570.8270833333</v>
      </c>
      <c r="F476" s="0" t="n">
        <v>1.82</v>
      </c>
      <c r="G476" s="0" t="n">
        <v>13100</v>
      </c>
      <c r="H476" s="3" t="s">
        <v>14</v>
      </c>
      <c r="I476" s="4" t="n">
        <f aca="false">D476*F476</f>
        <v>14.56</v>
      </c>
      <c r="J476" s="3" t="n">
        <f aca="false">IF(AND(LEFT(A476,1)&lt;&gt;"C",D476&gt;0,F476&gt;0),1,0)</f>
        <v>1</v>
      </c>
      <c r="K476" s="3" t="n">
        <f aca="false">IF(AND(H476="United Kingdom",G476&lt;&gt;"",COUNTIFS($G$2:G476,G476,$H$2:H476,"United Kingdom")=1),1,0)</f>
        <v>0</v>
      </c>
    </row>
    <row r="477" customFormat="false" ht="15" hidden="false" customHeight="false" outlineLevel="0" collapsed="false">
      <c r="A477" s="0" t="s">
        <v>178</v>
      </c>
      <c r="B477" s="0" t="s">
        <v>54</v>
      </c>
      <c r="C477" s="0" t="s">
        <v>55</v>
      </c>
      <c r="D477" s="0" t="n">
        <v>8</v>
      </c>
      <c r="E477" s="2" t="n">
        <v>40570.8270833333</v>
      </c>
      <c r="F477" s="0" t="n">
        <v>0.99</v>
      </c>
      <c r="G477" s="0" t="n">
        <v>13100</v>
      </c>
      <c r="H477" s="3" t="s">
        <v>14</v>
      </c>
      <c r="I477" s="4" t="n">
        <f aca="false">D477*F477</f>
        <v>7.92</v>
      </c>
      <c r="J477" s="3" t="n">
        <f aca="false">IF(AND(LEFT(A477,1)&lt;&gt;"C",D477&gt;0,F477&gt;0),1,0)</f>
        <v>1</v>
      </c>
      <c r="K477" s="3" t="n">
        <f aca="false">IF(AND(H477="United Kingdom",G477&lt;&gt;"",COUNTIFS($G$2:G477,G477,$H$2:H477,"United Kingdom")=1),1,0)</f>
        <v>0</v>
      </c>
    </row>
    <row r="478" customFormat="false" ht="15" hidden="false" customHeight="false" outlineLevel="0" collapsed="false">
      <c r="A478" s="0" t="s">
        <v>178</v>
      </c>
      <c r="B478" s="0" t="s">
        <v>34</v>
      </c>
      <c r="C478" s="0" t="s">
        <v>35</v>
      </c>
      <c r="D478" s="0" t="n">
        <v>4</v>
      </c>
      <c r="E478" s="2" t="n">
        <v>40570.8270833333</v>
      </c>
      <c r="F478" s="0" t="n">
        <v>2.38</v>
      </c>
      <c r="G478" s="0" t="n">
        <v>13100</v>
      </c>
      <c r="H478" s="3" t="s">
        <v>14</v>
      </c>
      <c r="I478" s="4" t="n">
        <f aca="false">D478*F478</f>
        <v>9.52</v>
      </c>
      <c r="J478" s="3" t="n">
        <f aca="false">IF(AND(LEFT(A478,1)&lt;&gt;"C",D478&gt;0,F478&gt;0),1,0)</f>
        <v>1</v>
      </c>
      <c r="K478" s="3" t="n">
        <f aca="false">IF(AND(H478="United Kingdom",G478&lt;&gt;"",COUNTIFS($G$2:G478,G478,$H$2:H478,"United Kingdom")=1),1,0)</f>
        <v>0</v>
      </c>
    </row>
    <row r="479" customFormat="false" ht="15" hidden="false" customHeight="false" outlineLevel="0" collapsed="false">
      <c r="A479" s="0" t="s">
        <v>178</v>
      </c>
      <c r="B479" s="0" t="s">
        <v>29</v>
      </c>
      <c r="C479" s="0" t="s">
        <v>30</v>
      </c>
      <c r="D479" s="0" t="n">
        <v>4</v>
      </c>
      <c r="E479" s="2" t="n">
        <v>40570.8270833333</v>
      </c>
      <c r="F479" s="0" t="n">
        <v>5.79</v>
      </c>
      <c r="G479" s="0" t="n">
        <v>13100</v>
      </c>
      <c r="H479" s="3" t="s">
        <v>14</v>
      </c>
      <c r="I479" s="4" t="n">
        <f aca="false">D479*F479</f>
        <v>23.16</v>
      </c>
      <c r="J479" s="3" t="n">
        <f aca="false">IF(AND(LEFT(A479,1)&lt;&gt;"C",D479&gt;0,F479&gt;0),1,0)</f>
        <v>1</v>
      </c>
      <c r="K479" s="3" t="n">
        <f aca="false">IF(AND(H479="United Kingdom",G479&lt;&gt;"",COUNTIFS($G$2:G479,G479,$H$2:H479,"United Kingdom")=1),1,0)</f>
        <v>0</v>
      </c>
    </row>
    <row r="480" customFormat="false" ht="15" hidden="false" customHeight="false" outlineLevel="0" collapsed="false">
      <c r="A480" s="0" t="s">
        <v>178</v>
      </c>
      <c r="B480" s="0" t="s">
        <v>58</v>
      </c>
      <c r="C480" s="0" t="s">
        <v>59</v>
      </c>
      <c r="D480" s="0" t="n">
        <v>2</v>
      </c>
      <c r="E480" s="2" t="n">
        <v>40570.8270833333</v>
      </c>
      <c r="F480" s="0" t="n">
        <v>2.16</v>
      </c>
      <c r="G480" s="0" t="n">
        <v>13100</v>
      </c>
      <c r="H480" s="3" t="s">
        <v>14</v>
      </c>
      <c r="I480" s="4" t="n">
        <f aca="false">D480*F480</f>
        <v>4.32</v>
      </c>
      <c r="J480" s="3" t="n">
        <f aca="false">IF(AND(LEFT(A480,1)&lt;&gt;"C",D480&gt;0,F480&gt;0),1,0)</f>
        <v>1</v>
      </c>
      <c r="K480" s="3" t="n">
        <f aca="false">IF(AND(H480="United Kingdom",G480&lt;&gt;"",COUNTIFS($G$2:G480,G480,$H$2:H480,"United Kingdom")=1),1,0)</f>
        <v>0</v>
      </c>
    </row>
    <row r="481" customFormat="false" ht="15" hidden="false" customHeight="false" outlineLevel="0" collapsed="false">
      <c r="A481" s="0" t="s">
        <v>178</v>
      </c>
      <c r="B481" s="0" t="s">
        <v>32</v>
      </c>
      <c r="C481" s="0" t="s">
        <v>33</v>
      </c>
      <c r="D481" s="0" t="n">
        <v>4</v>
      </c>
      <c r="E481" s="2" t="n">
        <v>40570.8270833333</v>
      </c>
      <c r="F481" s="0" t="n">
        <v>1.19</v>
      </c>
      <c r="G481" s="0" t="n">
        <v>13100</v>
      </c>
      <c r="H481" s="3" t="s">
        <v>14</v>
      </c>
      <c r="I481" s="4" t="n">
        <f aca="false">D481*F481</f>
        <v>4.76</v>
      </c>
      <c r="J481" s="3" t="n">
        <f aca="false">IF(AND(LEFT(A481,1)&lt;&gt;"C",D481&gt;0,F481&gt;0),1,0)</f>
        <v>1</v>
      </c>
      <c r="K481" s="3" t="n">
        <f aca="false">IF(AND(H481="United Kingdom",G481&lt;&gt;"",COUNTIFS($G$2:G481,G481,$H$2:H481,"United Kingdom")=1),1,0)</f>
        <v>0</v>
      </c>
    </row>
    <row r="482" customFormat="false" ht="15" hidden="false" customHeight="false" outlineLevel="0" collapsed="false">
      <c r="A482" s="0" t="s">
        <v>178</v>
      </c>
      <c r="B482" s="0" t="s">
        <v>17</v>
      </c>
      <c r="C482" s="0" t="s">
        <v>18</v>
      </c>
      <c r="D482" s="0" t="n">
        <v>4</v>
      </c>
      <c r="E482" s="2" t="n">
        <v>40570.8270833333</v>
      </c>
      <c r="F482" s="0" t="n">
        <v>1.92</v>
      </c>
      <c r="G482" s="0" t="n">
        <v>13100</v>
      </c>
      <c r="H482" s="3" t="s">
        <v>14</v>
      </c>
      <c r="I482" s="4" t="n">
        <f aca="false">D482*F482</f>
        <v>7.68</v>
      </c>
      <c r="J482" s="3" t="n">
        <f aca="false">IF(AND(LEFT(A482,1)&lt;&gt;"C",D482&gt;0,F482&gt;0),1,0)</f>
        <v>1</v>
      </c>
      <c r="K482" s="3" t="n">
        <f aca="false">IF(AND(H482="United Kingdom",G482&lt;&gt;"",COUNTIFS($G$2:G482,G482,$H$2:H482,"United Kingdom")=1),1,0)</f>
        <v>0</v>
      </c>
    </row>
    <row r="483" customFormat="false" ht="15" hidden="false" customHeight="false" outlineLevel="0" collapsed="false">
      <c r="A483" s="0" t="s">
        <v>178</v>
      </c>
      <c r="B483" s="0" t="s">
        <v>22</v>
      </c>
      <c r="C483" s="0" t="s">
        <v>23</v>
      </c>
      <c r="D483" s="0" t="n">
        <v>2</v>
      </c>
      <c r="E483" s="2" t="n">
        <v>40570.8270833333</v>
      </c>
      <c r="F483" s="0" t="n">
        <v>3.18</v>
      </c>
      <c r="G483" s="0" t="n">
        <v>13100</v>
      </c>
      <c r="H483" s="3" t="s">
        <v>14</v>
      </c>
      <c r="I483" s="4" t="n">
        <f aca="false">D483*F483</f>
        <v>6.36</v>
      </c>
      <c r="J483" s="3" t="n">
        <f aca="false">IF(AND(LEFT(A483,1)&lt;&gt;"C",D483&gt;0,F483&gt;0),1,0)</f>
        <v>1</v>
      </c>
      <c r="K483" s="3" t="n">
        <f aca="false">IF(AND(H483="United Kingdom",G483&lt;&gt;"",COUNTIFS($G$2:G483,G483,$H$2:H483,"United Kingdom")=1),1,0)</f>
        <v>0</v>
      </c>
    </row>
    <row r="484" customFormat="false" ht="15" hidden="false" customHeight="false" outlineLevel="0" collapsed="false">
      <c r="A484" s="0" t="s">
        <v>178</v>
      </c>
      <c r="B484" s="0" t="s">
        <v>68</v>
      </c>
      <c r="C484" s="0" t="s">
        <v>69</v>
      </c>
      <c r="D484" s="0" t="n">
        <v>3</v>
      </c>
      <c r="E484" s="2" t="n">
        <v>40570.8270833333</v>
      </c>
      <c r="F484" s="0" t="n">
        <v>1.26</v>
      </c>
      <c r="G484" s="0" t="n">
        <v>13100</v>
      </c>
      <c r="H484" s="3" t="s">
        <v>14</v>
      </c>
      <c r="I484" s="4" t="n">
        <f aca="false">D484*F484</f>
        <v>3.78</v>
      </c>
      <c r="J484" s="3" t="n">
        <f aca="false">IF(AND(LEFT(A484,1)&lt;&gt;"C",D484&gt;0,F484&gt;0),1,0)</f>
        <v>1</v>
      </c>
      <c r="K484" s="3" t="n">
        <f aca="false">IF(AND(H484="United Kingdom",G484&lt;&gt;"",COUNTIFS($G$2:G484,G484,$H$2:H484,"United Kingdom")=1),1,0)</f>
        <v>0</v>
      </c>
    </row>
    <row r="485" customFormat="false" ht="15" hidden="false" customHeight="false" outlineLevel="0" collapsed="false">
      <c r="A485" s="0" t="s">
        <v>178</v>
      </c>
      <c r="B485" s="0" t="s">
        <v>65</v>
      </c>
      <c r="C485" s="0" t="s">
        <v>66</v>
      </c>
      <c r="D485" s="0" t="n">
        <v>6</v>
      </c>
      <c r="E485" s="2" t="n">
        <v>40570.8270833333</v>
      </c>
      <c r="F485" s="0" t="n">
        <v>4.75</v>
      </c>
      <c r="G485" s="0" t="n">
        <v>13100</v>
      </c>
      <c r="H485" s="3" t="s">
        <v>14</v>
      </c>
      <c r="I485" s="4" t="n">
        <f aca="false">D485*F485</f>
        <v>28.5</v>
      </c>
      <c r="J485" s="3" t="n">
        <f aca="false">IF(AND(LEFT(A485,1)&lt;&gt;"C",D485&gt;0,F485&gt;0),1,0)</f>
        <v>1</v>
      </c>
      <c r="K485" s="3" t="n">
        <f aca="false">IF(AND(H485="United Kingdom",G485&lt;&gt;"",COUNTIFS($G$2:G485,G485,$H$2:H485,"United Kingdom")=1),1,0)</f>
        <v>0</v>
      </c>
    </row>
    <row r="486" customFormat="false" ht="15" hidden="false" customHeight="false" outlineLevel="0" collapsed="false">
      <c r="A486" s="0" t="s">
        <v>178</v>
      </c>
      <c r="B486" s="0" t="s">
        <v>113</v>
      </c>
      <c r="C486" s="0" t="s">
        <v>114</v>
      </c>
      <c r="D486" s="0" t="n">
        <v>2</v>
      </c>
      <c r="E486" s="2" t="n">
        <v>40570.8270833333</v>
      </c>
      <c r="F486" s="0" t="n">
        <v>3.57</v>
      </c>
      <c r="G486" s="0" t="n">
        <v>13100</v>
      </c>
      <c r="H486" s="3" t="s">
        <v>14</v>
      </c>
      <c r="I486" s="4" t="n">
        <f aca="false">D486*F486</f>
        <v>7.14</v>
      </c>
      <c r="J486" s="3" t="n">
        <f aca="false">IF(AND(LEFT(A486,1)&lt;&gt;"C",D486&gt;0,F486&gt;0),1,0)</f>
        <v>1</v>
      </c>
      <c r="K486" s="3" t="n">
        <f aca="false">IF(AND(H486="United Kingdom",G486&lt;&gt;"",COUNTIFS($G$2:G486,G486,$H$2:H486,"United Kingdom")=1),1,0)</f>
        <v>0</v>
      </c>
    </row>
    <row r="487" customFormat="false" ht="15" hidden="false" customHeight="false" outlineLevel="0" collapsed="false">
      <c r="A487" s="0" t="s">
        <v>178</v>
      </c>
      <c r="B487" s="0" t="s">
        <v>80</v>
      </c>
      <c r="C487" s="0" t="s">
        <v>81</v>
      </c>
      <c r="D487" s="0" t="n">
        <v>16</v>
      </c>
      <c r="E487" s="2" t="n">
        <v>40570.8270833333</v>
      </c>
      <c r="F487" s="0" t="n">
        <v>1.53</v>
      </c>
      <c r="G487" s="0" t="n">
        <v>13100</v>
      </c>
      <c r="H487" s="3" t="s">
        <v>14</v>
      </c>
      <c r="I487" s="4" t="n">
        <f aca="false">D487*F487</f>
        <v>24.48</v>
      </c>
      <c r="J487" s="3" t="n">
        <f aca="false">IF(AND(LEFT(A487,1)&lt;&gt;"C",D487&gt;0,F487&gt;0),1,0)</f>
        <v>1</v>
      </c>
      <c r="K487" s="3" t="n">
        <f aca="false">IF(AND(H487="United Kingdom",G487&lt;&gt;"",COUNTIFS($G$2:G487,G487,$H$2:H487,"United Kingdom")=1),1,0)</f>
        <v>0</v>
      </c>
    </row>
    <row r="488" customFormat="false" ht="15" hidden="false" customHeight="false" outlineLevel="0" collapsed="false">
      <c r="A488" s="0" t="s">
        <v>178</v>
      </c>
      <c r="B488" s="0" t="s">
        <v>75</v>
      </c>
      <c r="C488" s="0" t="s">
        <v>76</v>
      </c>
      <c r="D488" s="0" t="n">
        <v>16</v>
      </c>
      <c r="E488" s="2" t="n">
        <v>40570.8270833333</v>
      </c>
      <c r="F488" s="0" t="n">
        <v>1.97</v>
      </c>
      <c r="G488" s="0" t="n">
        <v>13100</v>
      </c>
      <c r="H488" s="3" t="s">
        <v>14</v>
      </c>
      <c r="I488" s="4" t="n">
        <f aca="false">D488*F488</f>
        <v>31.52</v>
      </c>
      <c r="J488" s="3" t="n">
        <f aca="false">IF(AND(LEFT(A488,1)&lt;&gt;"C",D488&gt;0,F488&gt;0),1,0)</f>
        <v>1</v>
      </c>
      <c r="K488" s="3" t="n">
        <f aca="false">IF(AND(H488="United Kingdom",G488&lt;&gt;"",COUNTIFS($G$2:G488,G488,$H$2:H488,"United Kingdom")=1),1,0)</f>
        <v>0</v>
      </c>
    </row>
    <row r="489" customFormat="false" ht="15" hidden="false" customHeight="false" outlineLevel="0" collapsed="false">
      <c r="A489" s="0" t="s">
        <v>178</v>
      </c>
      <c r="B489" s="0" t="s">
        <v>72</v>
      </c>
      <c r="C489" s="0" t="s">
        <v>73</v>
      </c>
      <c r="D489" s="0" t="n">
        <v>2</v>
      </c>
      <c r="E489" s="2" t="n">
        <v>40570.8270833333</v>
      </c>
      <c r="F489" s="0" t="n">
        <v>2.69</v>
      </c>
      <c r="G489" s="0" t="n">
        <v>13100</v>
      </c>
      <c r="H489" s="3" t="s">
        <v>14</v>
      </c>
      <c r="I489" s="4" t="n">
        <f aca="false">D489*F489</f>
        <v>5.38</v>
      </c>
      <c r="J489" s="3" t="n">
        <f aca="false">IF(AND(LEFT(A489,1)&lt;&gt;"C",D489&gt;0,F489&gt;0),1,0)</f>
        <v>1</v>
      </c>
      <c r="K489" s="3" t="n">
        <f aca="false">IF(AND(H489="United Kingdom",G489&lt;&gt;"",COUNTIFS($G$2:G489,G489,$H$2:H489,"United Kingdom")=1),1,0)</f>
        <v>0</v>
      </c>
    </row>
    <row r="490" customFormat="false" ht="15" hidden="false" customHeight="false" outlineLevel="0" collapsed="false">
      <c r="A490" s="0" t="s">
        <v>178</v>
      </c>
      <c r="B490" s="0" t="s">
        <v>63</v>
      </c>
      <c r="C490" s="0" t="s">
        <v>64</v>
      </c>
      <c r="D490" s="0" t="n">
        <v>4</v>
      </c>
      <c r="E490" s="2" t="n">
        <v>40570.8270833333</v>
      </c>
      <c r="F490" s="0" t="n">
        <v>2.43</v>
      </c>
      <c r="G490" s="0" t="n">
        <v>13100</v>
      </c>
      <c r="H490" s="3" t="s">
        <v>14</v>
      </c>
      <c r="I490" s="4" t="n">
        <f aca="false">D490*F490</f>
        <v>9.72</v>
      </c>
      <c r="J490" s="3" t="n">
        <f aca="false">IF(AND(LEFT(A490,1)&lt;&gt;"C",D490&gt;0,F490&gt;0),1,0)</f>
        <v>1</v>
      </c>
      <c r="K490" s="3" t="n">
        <f aca="false">IF(AND(H490="United Kingdom",G490&lt;&gt;"",COUNTIFS($G$2:G490,G490,$H$2:H490,"United Kingdom")=1),1,0)</f>
        <v>0</v>
      </c>
    </row>
    <row r="491" customFormat="false" ht="15" hidden="false" customHeight="false" outlineLevel="0" collapsed="false">
      <c r="A491" s="0" t="s">
        <v>179</v>
      </c>
      <c r="B491" s="0" t="s">
        <v>34</v>
      </c>
      <c r="C491" s="0" t="s">
        <v>35</v>
      </c>
      <c r="D491" s="0" t="n">
        <v>6</v>
      </c>
      <c r="E491" s="2" t="n">
        <v>40572.51875</v>
      </c>
      <c r="F491" s="0" t="n">
        <v>2.38</v>
      </c>
      <c r="G491" s="0" t="n">
        <v>14758</v>
      </c>
      <c r="H491" s="3" t="s">
        <v>14</v>
      </c>
      <c r="I491" s="4" t="n">
        <f aca="false">D491*F491</f>
        <v>14.28</v>
      </c>
      <c r="J491" s="3" t="n">
        <f aca="false">IF(AND(LEFT(A491,1)&lt;&gt;"C",D491&gt;0,F491&gt;0),1,0)</f>
        <v>1</v>
      </c>
      <c r="K491" s="3" t="n">
        <f aca="false">IF(AND(H491="United Kingdom",G491&lt;&gt;"",COUNTIFS($G$2:G491,G491,$H$2:H491,"United Kingdom")=1),1,0)</f>
        <v>1</v>
      </c>
    </row>
    <row r="492" customFormat="false" ht="15" hidden="false" customHeight="false" outlineLevel="0" collapsed="false">
      <c r="A492" s="0" t="s">
        <v>179</v>
      </c>
      <c r="B492" s="0" t="s">
        <v>17</v>
      </c>
      <c r="C492" s="0" t="s">
        <v>18</v>
      </c>
      <c r="D492" s="0" t="n">
        <v>24</v>
      </c>
      <c r="E492" s="2" t="n">
        <v>40572.51875</v>
      </c>
      <c r="F492" s="0" t="n">
        <v>1.92</v>
      </c>
      <c r="G492" s="0" t="n">
        <v>14758</v>
      </c>
      <c r="H492" s="3" t="s">
        <v>14</v>
      </c>
      <c r="I492" s="4" t="n">
        <f aca="false">D492*F492</f>
        <v>46.08</v>
      </c>
      <c r="J492" s="3" t="n">
        <f aca="false">IF(AND(LEFT(A492,1)&lt;&gt;"C",D492&gt;0,F492&gt;0),1,0)</f>
        <v>1</v>
      </c>
      <c r="K492" s="3" t="n">
        <f aca="false">IF(AND(H492="United Kingdom",G492&lt;&gt;"",COUNTIFS($G$2:G492,G492,$H$2:H492,"United Kingdom")=1),1,0)</f>
        <v>0</v>
      </c>
    </row>
    <row r="493" customFormat="false" ht="15" hidden="false" customHeight="false" outlineLevel="0" collapsed="false">
      <c r="A493" s="0" t="s">
        <v>179</v>
      </c>
      <c r="B493" s="0" t="s">
        <v>12</v>
      </c>
      <c r="C493" s="0" t="s">
        <v>13</v>
      </c>
      <c r="D493" s="0" t="n">
        <v>96</v>
      </c>
      <c r="E493" s="2" t="n">
        <v>40572.51875</v>
      </c>
      <c r="F493" s="0" t="n">
        <v>3.33</v>
      </c>
      <c r="G493" s="0" t="n">
        <v>14758</v>
      </c>
      <c r="H493" s="3" t="s">
        <v>14</v>
      </c>
      <c r="I493" s="4" t="n">
        <f aca="false">D493*F493</f>
        <v>319.68</v>
      </c>
      <c r="J493" s="3" t="n">
        <f aca="false">IF(AND(LEFT(A493,1)&lt;&gt;"C",D493&gt;0,F493&gt;0),1,0)</f>
        <v>1</v>
      </c>
      <c r="K493" s="3" t="n">
        <f aca="false">IF(AND(H493="United Kingdom",G493&lt;&gt;"",COUNTIFS($G$2:G493,G493,$H$2:H493,"United Kingdom")=1),1,0)</f>
        <v>0</v>
      </c>
    </row>
    <row r="494" customFormat="false" ht="15" hidden="false" customHeight="false" outlineLevel="0" collapsed="false">
      <c r="A494" s="0" t="s">
        <v>179</v>
      </c>
      <c r="B494" s="0" t="s">
        <v>60</v>
      </c>
      <c r="C494" s="0" t="s">
        <v>61</v>
      </c>
      <c r="D494" s="0" t="n">
        <v>48</v>
      </c>
      <c r="E494" s="2" t="n">
        <v>40572.51875</v>
      </c>
      <c r="F494" s="0" t="n">
        <v>0.63</v>
      </c>
      <c r="G494" s="0" t="n">
        <v>14758</v>
      </c>
      <c r="H494" s="3" t="s">
        <v>14</v>
      </c>
      <c r="I494" s="4" t="n">
        <f aca="false">D494*F494</f>
        <v>30.24</v>
      </c>
      <c r="J494" s="3" t="n">
        <f aca="false">IF(AND(LEFT(A494,1)&lt;&gt;"C",D494&gt;0,F494&gt;0),1,0)</f>
        <v>1</v>
      </c>
      <c r="K494" s="3" t="n">
        <f aca="false">IF(AND(H494="United Kingdom",G494&lt;&gt;"",COUNTIFS($G$2:G494,G494,$H$2:H494,"United Kingdom")=1),1,0)</f>
        <v>0</v>
      </c>
    </row>
    <row r="495" customFormat="false" ht="15" hidden="false" customHeight="false" outlineLevel="0" collapsed="false">
      <c r="A495" s="0" t="s">
        <v>179</v>
      </c>
      <c r="B495" s="0" t="s">
        <v>37</v>
      </c>
      <c r="C495" s="0" t="s">
        <v>38</v>
      </c>
      <c r="D495" s="0" t="n">
        <v>864</v>
      </c>
      <c r="E495" s="2" t="n">
        <v>40572.51875</v>
      </c>
      <c r="F495" s="0" t="n">
        <v>1.82</v>
      </c>
      <c r="G495" s="0" t="n">
        <v>14758</v>
      </c>
      <c r="H495" s="3" t="s">
        <v>14</v>
      </c>
      <c r="I495" s="4" t="n">
        <f aca="false">D495*F495</f>
        <v>1572.48</v>
      </c>
      <c r="J495" s="3" t="n">
        <f aca="false">IF(AND(LEFT(A495,1)&lt;&gt;"C",D495&gt;0,F495&gt;0),1,0)</f>
        <v>1</v>
      </c>
      <c r="K495" s="3" t="n">
        <f aca="false">IF(AND(H495="United Kingdom",G495&lt;&gt;"",COUNTIFS($G$2:G495,G495,$H$2:H495,"United Kingdom")=1),1,0)</f>
        <v>0</v>
      </c>
    </row>
    <row r="496" customFormat="false" ht="15" hidden="false" customHeight="false" outlineLevel="0" collapsed="false">
      <c r="A496" s="0" t="s">
        <v>180</v>
      </c>
      <c r="B496" s="0" t="s">
        <v>65</v>
      </c>
      <c r="C496" s="0" t="s">
        <v>66</v>
      </c>
      <c r="D496" s="0" t="n">
        <v>216</v>
      </c>
      <c r="E496" s="2" t="n">
        <v>40572.5673611111</v>
      </c>
      <c r="F496" s="0" t="n">
        <v>4.75</v>
      </c>
      <c r="G496" s="0" t="n">
        <v>16058</v>
      </c>
      <c r="H496" s="3" t="s">
        <v>14</v>
      </c>
      <c r="I496" s="4" t="n">
        <f aca="false">D496*F496</f>
        <v>1026</v>
      </c>
      <c r="J496" s="3" t="n">
        <f aca="false">IF(AND(LEFT(A496,1)&lt;&gt;"C",D496&gt;0,F496&gt;0),1,0)</f>
        <v>1</v>
      </c>
      <c r="K496" s="3" t="n">
        <f aca="false">IF(AND(H496="United Kingdom",G496&lt;&gt;"",COUNTIFS($G$2:G496,G496,$H$2:H496,"United Kingdom")=1),1,0)</f>
        <v>1</v>
      </c>
    </row>
    <row r="497" customFormat="false" ht="15" hidden="false" customHeight="false" outlineLevel="0" collapsed="false">
      <c r="A497" s="0" t="s">
        <v>180</v>
      </c>
      <c r="B497" s="0" t="s">
        <v>12</v>
      </c>
      <c r="C497" s="0" t="s">
        <v>13</v>
      </c>
      <c r="D497" s="0" t="n">
        <v>72</v>
      </c>
      <c r="E497" s="2" t="n">
        <v>40572.5673611111</v>
      </c>
      <c r="F497" s="0" t="n">
        <v>3.33</v>
      </c>
      <c r="G497" s="0" t="n">
        <v>16058</v>
      </c>
      <c r="H497" s="3" t="s">
        <v>14</v>
      </c>
      <c r="I497" s="4" t="n">
        <f aca="false">D497*F497</f>
        <v>239.76</v>
      </c>
      <c r="J497" s="3" t="n">
        <f aca="false">IF(AND(LEFT(A497,1)&lt;&gt;"C",D497&gt;0,F497&gt;0),1,0)</f>
        <v>1</v>
      </c>
      <c r="K497" s="3" t="n">
        <f aca="false">IF(AND(H497="United Kingdom",G497&lt;&gt;"",COUNTIFS($G$2:G497,G497,$H$2:H497,"United Kingdom")=1),1,0)</f>
        <v>0</v>
      </c>
    </row>
    <row r="498" customFormat="false" ht="15" hidden="false" customHeight="false" outlineLevel="0" collapsed="false">
      <c r="A498" s="0" t="s">
        <v>180</v>
      </c>
      <c r="B498" s="0" t="s">
        <v>54</v>
      </c>
      <c r="C498" s="0" t="s">
        <v>55</v>
      </c>
      <c r="D498" s="0" t="n">
        <v>48</v>
      </c>
      <c r="E498" s="2" t="n">
        <v>40572.5673611111</v>
      </c>
      <c r="F498" s="0" t="n">
        <v>0.99</v>
      </c>
      <c r="G498" s="0" t="n">
        <v>16058</v>
      </c>
      <c r="H498" s="3" t="s">
        <v>14</v>
      </c>
      <c r="I498" s="4" t="n">
        <f aca="false">D498*F498</f>
        <v>47.52</v>
      </c>
      <c r="J498" s="3" t="n">
        <f aca="false">IF(AND(LEFT(A498,1)&lt;&gt;"C",D498&gt;0,F498&gt;0),1,0)</f>
        <v>1</v>
      </c>
      <c r="K498" s="3" t="n">
        <f aca="false">IF(AND(H498="United Kingdom",G498&lt;&gt;"",COUNTIFS($G$2:G498,G498,$H$2:H498,"United Kingdom")=1),1,0)</f>
        <v>0</v>
      </c>
    </row>
    <row r="499" customFormat="false" ht="15" hidden="false" customHeight="false" outlineLevel="0" collapsed="false">
      <c r="A499" s="0" t="s">
        <v>180</v>
      </c>
      <c r="B499" s="0" t="s">
        <v>17</v>
      </c>
      <c r="C499" s="0" t="s">
        <v>18</v>
      </c>
      <c r="D499" s="0" t="n">
        <v>12</v>
      </c>
      <c r="E499" s="2" t="n">
        <v>40572.5673611111</v>
      </c>
      <c r="F499" s="0" t="n">
        <v>1.92</v>
      </c>
      <c r="G499" s="0" t="n">
        <v>16058</v>
      </c>
      <c r="H499" s="3" t="s">
        <v>14</v>
      </c>
      <c r="I499" s="4" t="n">
        <f aca="false">D499*F499</f>
        <v>23.04</v>
      </c>
      <c r="J499" s="3" t="n">
        <f aca="false">IF(AND(LEFT(A499,1)&lt;&gt;"C",D499&gt;0,F499&gt;0),1,0)</f>
        <v>1</v>
      </c>
      <c r="K499" s="3" t="n">
        <f aca="false">IF(AND(H499="United Kingdom",G499&lt;&gt;"",COUNTIFS($G$2:G499,G499,$H$2:H499,"United Kingdom")=1),1,0)</f>
        <v>0</v>
      </c>
    </row>
    <row r="500" customFormat="false" ht="15" hidden="false" customHeight="false" outlineLevel="0" collapsed="false">
      <c r="A500" s="0" t="s">
        <v>181</v>
      </c>
      <c r="B500" s="0" t="s">
        <v>37</v>
      </c>
      <c r="C500" s="0" t="s">
        <v>38</v>
      </c>
      <c r="D500" s="0" t="n">
        <v>1</v>
      </c>
      <c r="E500" s="2" t="n">
        <v>40572.7034722222</v>
      </c>
      <c r="F500" s="0" t="n">
        <v>1.82</v>
      </c>
      <c r="G500" s="0" t="n">
        <v>14727</v>
      </c>
      <c r="H500" s="3" t="s">
        <v>14</v>
      </c>
      <c r="I500" s="4" t="n">
        <f aca="false">D500*F500</f>
        <v>1.82</v>
      </c>
      <c r="J500" s="3" t="n">
        <f aca="false">IF(AND(LEFT(A500,1)&lt;&gt;"C",D500&gt;0,F500&gt;0),1,0)</f>
        <v>1</v>
      </c>
      <c r="K500" s="3" t="n">
        <f aca="false">IF(AND(H500="United Kingdom",G500&lt;&gt;"",COUNTIFS($G$2:G500,G500,$H$2:H500,"United Kingdom")=1),1,0)</f>
        <v>1</v>
      </c>
    </row>
    <row r="501" customFormat="false" ht="15" hidden="false" customHeight="false" outlineLevel="0" collapsed="false">
      <c r="A501" s="0" t="s">
        <v>181</v>
      </c>
      <c r="B501" s="0" t="s">
        <v>17</v>
      </c>
      <c r="C501" s="0" t="s">
        <v>18</v>
      </c>
      <c r="D501" s="0" t="n">
        <v>12</v>
      </c>
      <c r="E501" s="2" t="n">
        <v>40572.7034722222</v>
      </c>
      <c r="F501" s="0" t="n">
        <v>1.92</v>
      </c>
      <c r="G501" s="0" t="n">
        <v>14727</v>
      </c>
      <c r="H501" s="3" t="s">
        <v>14</v>
      </c>
      <c r="I501" s="4" t="n">
        <f aca="false">D501*F501</f>
        <v>23.04</v>
      </c>
      <c r="J501" s="3" t="n">
        <f aca="false">IF(AND(LEFT(A501,1)&lt;&gt;"C",D501&gt;0,F501&gt;0),1,0)</f>
        <v>1</v>
      </c>
      <c r="K501" s="3" t="n">
        <f aca="false">IF(AND(H501="United Kingdom",G501&lt;&gt;"",COUNTIFS($G$2:G501,G501,$H$2:H501,"United Kingdom")=1),1,0)</f>
        <v>0</v>
      </c>
    </row>
    <row r="502" customFormat="false" ht="15" hidden="false" customHeight="false" outlineLevel="0" collapsed="false">
      <c r="A502" s="0" t="s">
        <v>181</v>
      </c>
      <c r="B502" s="0" t="s">
        <v>12</v>
      </c>
      <c r="C502" s="0" t="s">
        <v>13</v>
      </c>
      <c r="D502" s="0" t="n">
        <v>12</v>
      </c>
      <c r="E502" s="2" t="n">
        <v>40572.7034722222</v>
      </c>
      <c r="F502" s="0" t="n">
        <v>3.33</v>
      </c>
      <c r="G502" s="0" t="n">
        <v>14727</v>
      </c>
      <c r="H502" s="3" t="s">
        <v>14</v>
      </c>
      <c r="I502" s="4" t="n">
        <f aca="false">D502*F502</f>
        <v>39.96</v>
      </c>
      <c r="J502" s="3" t="n">
        <f aca="false">IF(AND(LEFT(A502,1)&lt;&gt;"C",D502&gt;0,F502&gt;0),1,0)</f>
        <v>1</v>
      </c>
      <c r="K502" s="3" t="n">
        <f aca="false">IF(AND(H502="United Kingdom",G502&lt;&gt;"",COUNTIFS($G$2:G502,G502,$H$2:H502,"United Kingdom")=1),1,0)</f>
        <v>0</v>
      </c>
    </row>
    <row r="503" customFormat="false" ht="15" hidden="false" customHeight="false" outlineLevel="0" collapsed="false">
      <c r="A503" s="0" t="s">
        <v>181</v>
      </c>
      <c r="B503" s="0" t="s">
        <v>58</v>
      </c>
      <c r="C503" s="0" t="s">
        <v>59</v>
      </c>
      <c r="D503" s="0" t="n">
        <v>4</v>
      </c>
      <c r="E503" s="2" t="n">
        <v>40572.7034722222</v>
      </c>
      <c r="F503" s="0" t="n">
        <v>2.16</v>
      </c>
      <c r="G503" s="0" t="n">
        <v>14727</v>
      </c>
      <c r="H503" s="3" t="s">
        <v>14</v>
      </c>
      <c r="I503" s="4" t="n">
        <f aca="false">D503*F503</f>
        <v>8.64</v>
      </c>
      <c r="J503" s="3" t="n">
        <f aca="false">IF(AND(LEFT(A503,1)&lt;&gt;"C",D503&gt;0,F503&gt;0),1,0)</f>
        <v>1</v>
      </c>
      <c r="K503" s="3" t="n">
        <f aca="false">IF(AND(H503="United Kingdom",G503&lt;&gt;"",COUNTIFS($G$2:G503,G503,$H$2:H503,"United Kingdom")=1),1,0)</f>
        <v>0</v>
      </c>
    </row>
    <row r="504" customFormat="false" ht="15" hidden="false" customHeight="false" outlineLevel="0" collapsed="false">
      <c r="A504" s="0" t="s">
        <v>181</v>
      </c>
      <c r="B504" s="0" t="s">
        <v>65</v>
      </c>
      <c r="C504" s="0" t="s">
        <v>66</v>
      </c>
      <c r="D504" s="0" t="n">
        <v>8</v>
      </c>
      <c r="E504" s="2" t="n">
        <v>40572.7034722222</v>
      </c>
      <c r="F504" s="0" t="n">
        <v>4.75</v>
      </c>
      <c r="G504" s="0" t="n">
        <v>14727</v>
      </c>
      <c r="H504" s="3" t="s">
        <v>14</v>
      </c>
      <c r="I504" s="4" t="n">
        <f aca="false">D504*F504</f>
        <v>38</v>
      </c>
      <c r="J504" s="3" t="n">
        <f aca="false">IF(AND(LEFT(A504,1)&lt;&gt;"C",D504&gt;0,F504&gt;0),1,0)</f>
        <v>1</v>
      </c>
      <c r="K504" s="3" t="n">
        <f aca="false">IF(AND(H504="United Kingdom",G504&lt;&gt;"",COUNTIFS($G$2:G504,G504,$H$2:H504,"United Kingdom")=1),1,0)</f>
        <v>0</v>
      </c>
    </row>
    <row r="505" customFormat="false" ht="15" hidden="false" customHeight="false" outlineLevel="0" collapsed="false">
      <c r="A505" s="0" t="s">
        <v>181</v>
      </c>
      <c r="B505" s="0" t="s">
        <v>52</v>
      </c>
      <c r="C505" s="0" t="s">
        <v>53</v>
      </c>
      <c r="D505" s="0" t="n">
        <v>1</v>
      </c>
      <c r="E505" s="2" t="n">
        <v>40572.7034722222</v>
      </c>
      <c r="F505" s="0" t="n">
        <v>4.16</v>
      </c>
      <c r="G505" s="0" t="n">
        <v>14727</v>
      </c>
      <c r="H505" s="3" t="s">
        <v>14</v>
      </c>
      <c r="I505" s="4" t="n">
        <f aca="false">D505*F505</f>
        <v>4.16</v>
      </c>
      <c r="J505" s="3" t="n">
        <f aca="false">IF(AND(LEFT(A505,1)&lt;&gt;"C",D505&gt;0,F505&gt;0),1,0)</f>
        <v>1</v>
      </c>
      <c r="K505" s="3" t="n">
        <f aca="false">IF(AND(H505="United Kingdom",G505&lt;&gt;"",COUNTIFS($G$2:G505,G505,$H$2:H505,"United Kingdom")=1),1,0)</f>
        <v>0</v>
      </c>
    </row>
    <row r="506" customFormat="false" ht="15" hidden="false" customHeight="false" outlineLevel="0" collapsed="false">
      <c r="A506" s="0" t="s">
        <v>181</v>
      </c>
      <c r="B506" s="0" t="s">
        <v>32</v>
      </c>
      <c r="C506" s="0" t="s">
        <v>33</v>
      </c>
      <c r="D506" s="0" t="n">
        <v>12</v>
      </c>
      <c r="E506" s="2" t="n">
        <v>40572.7034722222</v>
      </c>
      <c r="F506" s="0" t="n">
        <v>1.19</v>
      </c>
      <c r="G506" s="0" t="n">
        <v>14727</v>
      </c>
      <c r="H506" s="3" t="s">
        <v>14</v>
      </c>
      <c r="I506" s="4" t="n">
        <f aca="false">D506*F506</f>
        <v>14.28</v>
      </c>
      <c r="J506" s="3" t="n">
        <f aca="false">IF(AND(LEFT(A506,1)&lt;&gt;"C",D506&gt;0,F506&gt;0),1,0)</f>
        <v>1</v>
      </c>
      <c r="K506" s="3" t="n">
        <f aca="false">IF(AND(H506="United Kingdom",G506&lt;&gt;"",COUNTIFS($G$2:G506,G506,$H$2:H506,"United Kingdom")=1),1,0)</f>
        <v>0</v>
      </c>
    </row>
    <row r="507" customFormat="false" ht="15" hidden="false" customHeight="false" outlineLevel="0" collapsed="false">
      <c r="A507" s="0" t="s">
        <v>182</v>
      </c>
      <c r="B507" s="0" t="s">
        <v>60</v>
      </c>
      <c r="C507" s="0" t="s">
        <v>61</v>
      </c>
      <c r="D507" s="0" t="n">
        <v>76</v>
      </c>
      <c r="E507" s="2" t="n">
        <v>40573.7527777778</v>
      </c>
      <c r="F507" s="0" t="n">
        <v>0.63</v>
      </c>
      <c r="G507" s="0" t="n">
        <v>14222</v>
      </c>
      <c r="H507" s="3" t="s">
        <v>57</v>
      </c>
      <c r="I507" s="4" t="n">
        <f aca="false">D507*F507</f>
        <v>47.88</v>
      </c>
      <c r="J507" s="3" t="n">
        <f aca="false">IF(AND(LEFT(A507,1)&lt;&gt;"C",D507&gt;0,F507&gt;0),1,0)</f>
        <v>1</v>
      </c>
      <c r="K507" s="3" t="n">
        <f aca="false">IF(AND(H507="United Kingdom",G507&lt;&gt;"",COUNTIFS($G$2:G507,G507,$H$2:H507,"United Kingdom")=1),1,0)</f>
        <v>0</v>
      </c>
    </row>
    <row r="508" customFormat="false" ht="15" hidden="false" customHeight="false" outlineLevel="0" collapsed="false">
      <c r="A508" s="0" t="s">
        <v>182</v>
      </c>
      <c r="B508" s="0" t="s">
        <v>77</v>
      </c>
      <c r="C508" s="0" t="s">
        <v>78</v>
      </c>
      <c r="D508" s="0" t="n">
        <v>691</v>
      </c>
      <c r="E508" s="2" t="n">
        <v>40573.7527777778</v>
      </c>
      <c r="F508" s="0" t="n">
        <v>3.41</v>
      </c>
      <c r="G508" s="0" t="n">
        <v>14222</v>
      </c>
      <c r="H508" s="3" t="s">
        <v>57</v>
      </c>
      <c r="I508" s="4" t="n">
        <f aca="false">D508*F508</f>
        <v>2356.31</v>
      </c>
      <c r="J508" s="3" t="n">
        <f aca="false">IF(AND(LEFT(A508,1)&lt;&gt;"C",D508&gt;0,F508&gt;0),1,0)</f>
        <v>1</v>
      </c>
      <c r="K508" s="3" t="n">
        <f aca="false">IF(AND(H508="United Kingdom",G508&lt;&gt;"",COUNTIFS($G$2:G508,G508,$H$2:H508,"United Kingdom")=1),1,0)</f>
        <v>0</v>
      </c>
    </row>
    <row r="509" customFormat="false" ht="15" hidden="false" customHeight="false" outlineLevel="0" collapsed="false">
      <c r="A509" s="0" t="s">
        <v>182</v>
      </c>
      <c r="B509" s="0" t="s">
        <v>43</v>
      </c>
      <c r="C509" s="0" t="s">
        <v>44</v>
      </c>
      <c r="D509" s="0" t="n">
        <v>57</v>
      </c>
      <c r="E509" s="2" t="n">
        <v>40573.7527777778</v>
      </c>
      <c r="F509" s="0" t="n">
        <v>1.35</v>
      </c>
      <c r="G509" s="0" t="n">
        <v>14222</v>
      </c>
      <c r="H509" s="3" t="s">
        <v>57</v>
      </c>
      <c r="I509" s="4" t="n">
        <f aca="false">D509*F509</f>
        <v>76.95</v>
      </c>
      <c r="J509" s="3" t="n">
        <f aca="false">IF(AND(LEFT(A509,1)&lt;&gt;"C",D509&gt;0,F509&gt;0),1,0)</f>
        <v>1</v>
      </c>
      <c r="K509" s="3" t="n">
        <f aca="false">IF(AND(H509="United Kingdom",G509&lt;&gt;"",COUNTIFS($G$2:G509,G509,$H$2:H509,"United Kingdom")=1),1,0)</f>
        <v>0</v>
      </c>
    </row>
    <row r="510" customFormat="false" ht="15" hidden="false" customHeight="false" outlineLevel="0" collapsed="false">
      <c r="A510" s="0" t="s">
        <v>182</v>
      </c>
      <c r="B510" s="0" t="s">
        <v>22</v>
      </c>
      <c r="C510" s="0" t="s">
        <v>23</v>
      </c>
      <c r="D510" s="0" t="n">
        <v>614</v>
      </c>
      <c r="E510" s="2" t="n">
        <v>40573.7527777778</v>
      </c>
      <c r="F510" s="0" t="n">
        <v>3.18</v>
      </c>
      <c r="G510" s="0" t="n">
        <v>14222</v>
      </c>
      <c r="H510" s="3" t="s">
        <v>57</v>
      </c>
      <c r="I510" s="4" t="n">
        <f aca="false">D510*F510</f>
        <v>1952.52</v>
      </c>
      <c r="J510" s="3" t="n">
        <f aca="false">IF(AND(LEFT(A510,1)&lt;&gt;"C",D510&gt;0,F510&gt;0),1,0)</f>
        <v>1</v>
      </c>
      <c r="K510" s="3" t="n">
        <f aca="false">IF(AND(H510="United Kingdom",G510&lt;&gt;"",COUNTIFS($G$2:G510,G510,$H$2:H510,"United Kingdom")=1),1,0)</f>
        <v>0</v>
      </c>
    </row>
    <row r="511" customFormat="false" ht="15" hidden="false" customHeight="false" outlineLevel="0" collapsed="false">
      <c r="A511" s="0" t="s">
        <v>182</v>
      </c>
      <c r="B511" s="0" t="s">
        <v>41</v>
      </c>
      <c r="C511" s="0" t="s">
        <v>42</v>
      </c>
      <c r="D511" s="0" t="n">
        <v>28</v>
      </c>
      <c r="E511" s="2" t="n">
        <v>40573.7527777778</v>
      </c>
      <c r="F511" s="0" t="n">
        <v>3.28</v>
      </c>
      <c r="G511" s="0" t="n">
        <v>14222</v>
      </c>
      <c r="H511" s="3" t="s">
        <v>57</v>
      </c>
      <c r="I511" s="4" t="n">
        <f aca="false">D511*F511</f>
        <v>91.84</v>
      </c>
      <c r="J511" s="3" t="n">
        <f aca="false">IF(AND(LEFT(A511,1)&lt;&gt;"C",D511&gt;0,F511&gt;0),1,0)</f>
        <v>1</v>
      </c>
      <c r="K511" s="3" t="n">
        <f aca="false">IF(AND(H511="United Kingdom",G511&lt;&gt;"",COUNTIFS($G$2:G511,G511,$H$2:H511,"United Kingdom")=1),1,0)</f>
        <v>0</v>
      </c>
    </row>
    <row r="512" customFormat="false" ht="15" hidden="false" customHeight="false" outlineLevel="0" collapsed="false">
      <c r="A512" s="0" t="s">
        <v>182</v>
      </c>
      <c r="B512" s="0" t="s">
        <v>17</v>
      </c>
      <c r="C512" s="0" t="s">
        <v>18</v>
      </c>
      <c r="D512" s="0" t="n">
        <v>115</v>
      </c>
      <c r="E512" s="2" t="n">
        <v>40573.7527777778</v>
      </c>
      <c r="F512" s="0" t="n">
        <v>1.92</v>
      </c>
      <c r="G512" s="0" t="n">
        <v>14222</v>
      </c>
      <c r="H512" s="3" t="s">
        <v>57</v>
      </c>
      <c r="I512" s="4" t="n">
        <f aca="false">D512*F512</f>
        <v>220.8</v>
      </c>
      <c r="J512" s="3" t="n">
        <f aca="false">IF(AND(LEFT(A512,1)&lt;&gt;"C",D512&gt;0,F512&gt;0),1,0)</f>
        <v>1</v>
      </c>
      <c r="K512" s="3" t="n">
        <f aca="false">IF(AND(H512="United Kingdom",G512&lt;&gt;"",COUNTIFS($G$2:G512,G512,$H$2:H512,"United Kingdom")=1),1,0)</f>
        <v>0</v>
      </c>
    </row>
    <row r="513" customFormat="false" ht="15" hidden="false" customHeight="false" outlineLevel="0" collapsed="false">
      <c r="A513" s="0" t="s">
        <v>182</v>
      </c>
      <c r="B513" s="0" t="s">
        <v>45</v>
      </c>
      <c r="C513" s="0" t="s">
        <v>46</v>
      </c>
      <c r="D513" s="0" t="n">
        <v>19</v>
      </c>
      <c r="E513" s="2" t="n">
        <v>40573.7527777778</v>
      </c>
      <c r="F513" s="0" t="n">
        <v>4.55</v>
      </c>
      <c r="G513" s="0" t="n">
        <v>14222</v>
      </c>
      <c r="H513" s="3" t="s">
        <v>57</v>
      </c>
      <c r="I513" s="4" t="n">
        <f aca="false">D513*F513</f>
        <v>86.45</v>
      </c>
      <c r="J513" s="3" t="n">
        <f aca="false">IF(AND(LEFT(A513,1)&lt;&gt;"C",D513&gt;0,F513&gt;0),1,0)</f>
        <v>1</v>
      </c>
      <c r="K513" s="3" t="n">
        <f aca="false">IF(AND(H513="United Kingdom",G513&lt;&gt;"",COUNTIFS($G$2:G513,G513,$H$2:H513,"United Kingdom")=1),1,0)</f>
        <v>0</v>
      </c>
    </row>
    <row r="514" customFormat="false" ht="15" hidden="false" customHeight="false" outlineLevel="0" collapsed="false">
      <c r="A514" s="0" t="s">
        <v>182</v>
      </c>
      <c r="B514" s="0" t="s">
        <v>63</v>
      </c>
      <c r="C514" s="0" t="s">
        <v>64</v>
      </c>
      <c r="D514" s="0" t="n">
        <v>115</v>
      </c>
      <c r="E514" s="2" t="n">
        <v>40573.7527777778</v>
      </c>
      <c r="F514" s="0" t="n">
        <v>2.43</v>
      </c>
      <c r="G514" s="0" t="n">
        <v>14222</v>
      </c>
      <c r="H514" s="3" t="s">
        <v>57</v>
      </c>
      <c r="I514" s="4" t="n">
        <f aca="false">D514*F514</f>
        <v>279.45</v>
      </c>
      <c r="J514" s="3" t="n">
        <f aca="false">IF(AND(LEFT(A514,1)&lt;&gt;"C",D514&gt;0,F514&gt;0),1,0)</f>
        <v>1</v>
      </c>
      <c r="K514" s="3" t="n">
        <f aca="false">IF(AND(H514="United Kingdom",G514&lt;&gt;"",COUNTIFS($G$2:G514,G514,$H$2:H514,"United Kingdom")=1),1,0)</f>
        <v>0</v>
      </c>
    </row>
    <row r="515" customFormat="false" ht="15" hidden="false" customHeight="false" outlineLevel="0" collapsed="false">
      <c r="A515" s="0" t="s">
        <v>182</v>
      </c>
      <c r="B515" s="0" t="s">
        <v>39</v>
      </c>
      <c r="C515" s="0" t="s">
        <v>40</v>
      </c>
      <c r="D515" s="0" t="n">
        <v>9</v>
      </c>
      <c r="E515" s="2" t="n">
        <v>40573.7527777778</v>
      </c>
      <c r="F515" s="0" t="n">
        <v>2.58</v>
      </c>
      <c r="G515" s="0" t="n">
        <v>14222</v>
      </c>
      <c r="H515" s="3" t="s">
        <v>57</v>
      </c>
      <c r="I515" s="4" t="n">
        <f aca="false">D515*F515</f>
        <v>23.22</v>
      </c>
      <c r="J515" s="3" t="n">
        <f aca="false">IF(AND(LEFT(A515,1)&lt;&gt;"C",D515&gt;0,F515&gt;0),1,0)</f>
        <v>1</v>
      </c>
      <c r="K515" s="3" t="n">
        <f aca="false">IF(AND(H515="United Kingdom",G515&lt;&gt;"",COUNTIFS($G$2:G515,G515,$H$2:H515,"United Kingdom")=1),1,0)</f>
        <v>0</v>
      </c>
    </row>
    <row r="516" customFormat="false" ht="15" hidden="false" customHeight="false" outlineLevel="0" collapsed="false">
      <c r="A516" s="0" t="s">
        <v>182</v>
      </c>
      <c r="B516" s="0" t="s">
        <v>113</v>
      </c>
      <c r="C516" s="0" t="s">
        <v>114</v>
      </c>
      <c r="D516" s="0" t="n">
        <v>9</v>
      </c>
      <c r="E516" s="2" t="n">
        <v>40573.7527777778</v>
      </c>
      <c r="F516" s="0" t="n">
        <v>3.57</v>
      </c>
      <c r="G516" s="0" t="n">
        <v>14222</v>
      </c>
      <c r="H516" s="3" t="s">
        <v>57</v>
      </c>
      <c r="I516" s="4" t="n">
        <f aca="false">D516*F516</f>
        <v>32.13</v>
      </c>
      <c r="J516" s="3" t="n">
        <f aca="false">IF(AND(LEFT(A516,1)&lt;&gt;"C",D516&gt;0,F516&gt;0),1,0)</f>
        <v>1</v>
      </c>
      <c r="K516" s="3" t="n">
        <f aca="false">IF(AND(H516="United Kingdom",G516&lt;&gt;"",COUNTIFS($G$2:G516,G516,$H$2:H516,"United Kingdom")=1),1,0)</f>
        <v>0</v>
      </c>
    </row>
    <row r="517" customFormat="false" ht="15" hidden="false" customHeight="false" outlineLevel="0" collapsed="false">
      <c r="A517" s="0" t="s">
        <v>182</v>
      </c>
      <c r="B517" s="0" t="s">
        <v>48</v>
      </c>
      <c r="C517" s="0" t="s">
        <v>49</v>
      </c>
      <c r="D517" s="0" t="n">
        <v>19</v>
      </c>
      <c r="E517" s="2" t="n">
        <v>40573.7527777778</v>
      </c>
      <c r="F517" s="0" t="n">
        <v>1.35</v>
      </c>
      <c r="G517" s="0" t="n">
        <v>14222</v>
      </c>
      <c r="H517" s="3" t="s">
        <v>57</v>
      </c>
      <c r="I517" s="4" t="n">
        <f aca="false">D517*F517</f>
        <v>25.65</v>
      </c>
      <c r="J517" s="3" t="n">
        <f aca="false">IF(AND(LEFT(A517,1)&lt;&gt;"C",D517&gt;0,F517&gt;0),1,0)</f>
        <v>1</v>
      </c>
      <c r="K517" s="3" t="n">
        <f aca="false">IF(AND(H517="United Kingdom",G517&lt;&gt;"",COUNTIFS($G$2:G517,G517,$H$2:H517,"United Kingdom")=1),1,0)</f>
        <v>0</v>
      </c>
    </row>
    <row r="518" customFormat="false" ht="15" hidden="false" customHeight="false" outlineLevel="0" collapsed="false">
      <c r="A518" s="0" t="s">
        <v>182</v>
      </c>
      <c r="B518" s="0" t="s">
        <v>65</v>
      </c>
      <c r="C518" s="0" t="s">
        <v>66</v>
      </c>
      <c r="D518" s="0" t="n">
        <v>115</v>
      </c>
      <c r="E518" s="2" t="n">
        <v>40573.7527777778</v>
      </c>
      <c r="F518" s="0" t="n">
        <v>4.75</v>
      </c>
      <c r="G518" s="0" t="n">
        <v>14222</v>
      </c>
      <c r="H518" s="3" t="s">
        <v>57</v>
      </c>
      <c r="I518" s="4" t="n">
        <f aca="false">D518*F518</f>
        <v>546.25</v>
      </c>
      <c r="J518" s="3" t="n">
        <f aca="false">IF(AND(LEFT(A518,1)&lt;&gt;"C",D518&gt;0,F518&gt;0),1,0)</f>
        <v>1</v>
      </c>
      <c r="K518" s="3" t="n">
        <f aca="false">IF(AND(H518="United Kingdom",G518&lt;&gt;"",COUNTIFS($G$2:G518,G518,$H$2:H518,"United Kingdom")=1),1,0)</f>
        <v>0</v>
      </c>
    </row>
    <row r="519" customFormat="false" ht="15" hidden="false" customHeight="false" outlineLevel="0" collapsed="false">
      <c r="A519" s="0" t="s">
        <v>182</v>
      </c>
      <c r="B519" s="0" t="s">
        <v>34</v>
      </c>
      <c r="C519" s="0" t="s">
        <v>35</v>
      </c>
      <c r="D519" s="0" t="n">
        <v>57</v>
      </c>
      <c r="E519" s="2" t="n">
        <v>40573.7527777778</v>
      </c>
      <c r="F519" s="0" t="n">
        <v>2.38</v>
      </c>
      <c r="G519" s="0" t="n">
        <v>14222</v>
      </c>
      <c r="H519" s="3" t="s">
        <v>57</v>
      </c>
      <c r="I519" s="4" t="n">
        <f aca="false">D519*F519</f>
        <v>135.66</v>
      </c>
      <c r="J519" s="3" t="n">
        <f aca="false">IF(AND(LEFT(A519,1)&lt;&gt;"C",D519&gt;0,F519&gt;0),1,0)</f>
        <v>1</v>
      </c>
      <c r="K519" s="3" t="n">
        <f aca="false">IF(AND(H519="United Kingdom",G519&lt;&gt;"",COUNTIFS($G$2:G519,G519,$H$2:H519,"United Kingdom")=1),1,0)</f>
        <v>0</v>
      </c>
    </row>
    <row r="520" customFormat="false" ht="15" hidden="false" customHeight="false" outlineLevel="0" collapsed="false">
      <c r="A520" s="0" t="s">
        <v>182</v>
      </c>
      <c r="B520" s="0" t="s">
        <v>72</v>
      </c>
      <c r="C520" s="0" t="s">
        <v>73</v>
      </c>
      <c r="D520" s="0" t="n">
        <v>460</v>
      </c>
      <c r="E520" s="2" t="n">
        <v>40573.7527777778</v>
      </c>
      <c r="F520" s="0" t="n">
        <v>2.69</v>
      </c>
      <c r="G520" s="0" t="n">
        <v>14222</v>
      </c>
      <c r="H520" s="3" t="s">
        <v>57</v>
      </c>
      <c r="I520" s="4" t="n">
        <f aca="false">D520*F520</f>
        <v>1237.4</v>
      </c>
      <c r="J520" s="3" t="n">
        <f aca="false">IF(AND(LEFT(A520,1)&lt;&gt;"C",D520&gt;0,F520&gt;0),1,0)</f>
        <v>1</v>
      </c>
      <c r="K520" s="3" t="n">
        <f aca="false">IF(AND(H520="United Kingdom",G520&lt;&gt;"",COUNTIFS($G$2:G520,G520,$H$2:H520,"United Kingdom")=1),1,0)</f>
        <v>0</v>
      </c>
    </row>
    <row r="521" customFormat="false" ht="15" hidden="false" customHeight="false" outlineLevel="0" collapsed="false">
      <c r="A521" s="0" t="s">
        <v>182</v>
      </c>
      <c r="B521" s="0" t="s">
        <v>50</v>
      </c>
      <c r="C521" s="0" t="s">
        <v>51</v>
      </c>
      <c r="D521" s="0" t="n">
        <v>230</v>
      </c>
      <c r="E521" s="2" t="n">
        <v>40573.7527777778</v>
      </c>
      <c r="F521" s="0" t="n">
        <v>5.41</v>
      </c>
      <c r="G521" s="0" t="n">
        <v>14222</v>
      </c>
      <c r="H521" s="3" t="s">
        <v>57</v>
      </c>
      <c r="I521" s="4" t="n">
        <f aca="false">D521*F521</f>
        <v>1244.3</v>
      </c>
      <c r="J521" s="3" t="n">
        <f aca="false">IF(AND(LEFT(A521,1)&lt;&gt;"C",D521&gt;0,F521&gt;0),1,0)</f>
        <v>1</v>
      </c>
      <c r="K521" s="3" t="n">
        <f aca="false">IF(AND(H521="United Kingdom",G521&lt;&gt;"",COUNTIFS($G$2:G521,G521,$H$2:H521,"United Kingdom")=1),1,0)</f>
        <v>0</v>
      </c>
    </row>
    <row r="522" customFormat="false" ht="15" hidden="false" customHeight="false" outlineLevel="0" collapsed="false">
      <c r="A522" s="0" t="s">
        <v>183</v>
      </c>
      <c r="B522" s="0" t="s">
        <v>113</v>
      </c>
      <c r="C522" s="0" t="s">
        <v>114</v>
      </c>
      <c r="D522" s="0" t="n">
        <v>3</v>
      </c>
      <c r="E522" s="2" t="n">
        <v>40574.4097222222</v>
      </c>
      <c r="F522" s="0" t="n">
        <v>3.57</v>
      </c>
      <c r="G522" s="0" t="n">
        <v>15028</v>
      </c>
      <c r="H522" s="3" t="s">
        <v>14</v>
      </c>
      <c r="I522" s="4" t="n">
        <f aca="false">D522*F522</f>
        <v>10.71</v>
      </c>
      <c r="J522" s="3" t="n">
        <f aca="false">IF(AND(LEFT(A522,1)&lt;&gt;"C",D522&gt;0,F522&gt;0),1,0)</f>
        <v>1</v>
      </c>
      <c r="K522" s="3" t="n">
        <f aca="false">IF(AND(H522="United Kingdom",G522&lt;&gt;"",COUNTIFS($G$2:G522,G522,$H$2:H522,"United Kingdom")=1),1,0)</f>
        <v>1</v>
      </c>
    </row>
    <row r="523" customFormat="false" ht="15" hidden="false" customHeight="false" outlineLevel="0" collapsed="false">
      <c r="A523" s="0" t="s">
        <v>183</v>
      </c>
      <c r="B523" s="0" t="s">
        <v>52</v>
      </c>
      <c r="C523" s="0" t="s">
        <v>53</v>
      </c>
      <c r="D523" s="0" t="n">
        <v>3</v>
      </c>
      <c r="E523" s="2" t="n">
        <v>40574.4097222222</v>
      </c>
      <c r="F523" s="0" t="n">
        <v>4.16</v>
      </c>
      <c r="G523" s="0" t="n">
        <v>15028</v>
      </c>
      <c r="H523" s="3" t="s">
        <v>14</v>
      </c>
      <c r="I523" s="4" t="n">
        <f aca="false">D523*F523</f>
        <v>12.48</v>
      </c>
      <c r="J523" s="3" t="n">
        <f aca="false">IF(AND(LEFT(A523,1)&lt;&gt;"C",D523&gt;0,F523&gt;0),1,0)</f>
        <v>1</v>
      </c>
      <c r="K523" s="3" t="n">
        <f aca="false">IF(AND(H523="United Kingdom",G523&lt;&gt;"",COUNTIFS($G$2:G523,G523,$H$2:H523,"United Kingdom")=1),1,0)</f>
        <v>0</v>
      </c>
    </row>
    <row r="524" customFormat="false" ht="15" hidden="false" customHeight="false" outlineLevel="0" collapsed="false">
      <c r="A524" s="0" t="s">
        <v>183</v>
      </c>
      <c r="B524" s="0" t="s">
        <v>90</v>
      </c>
      <c r="C524" s="0" t="s">
        <v>91</v>
      </c>
      <c r="D524" s="0" t="n">
        <v>6</v>
      </c>
      <c r="E524" s="2" t="n">
        <v>40574.4097222222</v>
      </c>
      <c r="F524" s="0" t="n">
        <v>3.04</v>
      </c>
      <c r="G524" s="0" t="n">
        <v>15028</v>
      </c>
      <c r="H524" s="3" t="s">
        <v>14</v>
      </c>
      <c r="I524" s="4" t="n">
        <f aca="false">D524*F524</f>
        <v>18.24</v>
      </c>
      <c r="J524" s="3" t="n">
        <f aca="false">IF(AND(LEFT(A524,1)&lt;&gt;"C",D524&gt;0,F524&gt;0),1,0)</f>
        <v>1</v>
      </c>
      <c r="K524" s="3" t="n">
        <f aca="false">IF(AND(H524="United Kingdom",G524&lt;&gt;"",COUNTIFS($G$2:G524,G524,$H$2:H524,"United Kingdom")=1),1,0)</f>
        <v>0</v>
      </c>
    </row>
    <row r="525" customFormat="false" ht="15" hidden="false" customHeight="false" outlineLevel="0" collapsed="false">
      <c r="A525" s="0" t="s">
        <v>183</v>
      </c>
      <c r="B525" s="0" t="s">
        <v>75</v>
      </c>
      <c r="C525" s="0" t="s">
        <v>76</v>
      </c>
      <c r="D525" s="0" t="n">
        <v>3</v>
      </c>
      <c r="E525" s="2" t="n">
        <v>40574.4097222222</v>
      </c>
      <c r="F525" s="0" t="n">
        <v>1.97</v>
      </c>
      <c r="G525" s="0" t="n">
        <v>15028</v>
      </c>
      <c r="H525" s="3" t="s">
        <v>14</v>
      </c>
      <c r="I525" s="4" t="n">
        <f aca="false">D525*F525</f>
        <v>5.91</v>
      </c>
      <c r="J525" s="3" t="n">
        <f aca="false">IF(AND(LEFT(A525,1)&lt;&gt;"C",D525&gt;0,F525&gt;0),1,0)</f>
        <v>1</v>
      </c>
      <c r="K525" s="3" t="n">
        <f aca="false">IF(AND(H525="United Kingdom",G525&lt;&gt;"",COUNTIFS($G$2:G525,G525,$H$2:H525,"United Kingdom")=1),1,0)</f>
        <v>0</v>
      </c>
    </row>
    <row r="526" customFormat="false" ht="15" hidden="false" customHeight="false" outlineLevel="0" collapsed="false">
      <c r="A526" s="0" t="s">
        <v>183</v>
      </c>
      <c r="B526" s="0" t="s">
        <v>12</v>
      </c>
      <c r="C526" s="0" t="s">
        <v>13</v>
      </c>
      <c r="D526" s="0" t="n">
        <v>24</v>
      </c>
      <c r="E526" s="2" t="n">
        <v>40574.4097222222</v>
      </c>
      <c r="F526" s="0" t="n">
        <v>3.33</v>
      </c>
      <c r="G526" s="0" t="n">
        <v>15028</v>
      </c>
      <c r="H526" s="3" t="s">
        <v>14</v>
      </c>
      <c r="I526" s="4" t="n">
        <f aca="false">D526*F526</f>
        <v>79.92</v>
      </c>
      <c r="J526" s="3" t="n">
        <f aca="false">IF(AND(LEFT(A526,1)&lt;&gt;"C",D526&gt;0,F526&gt;0),1,0)</f>
        <v>1</v>
      </c>
      <c r="K526" s="3" t="n">
        <f aca="false">IF(AND(H526="United Kingdom",G526&lt;&gt;"",COUNTIFS($G$2:G526,G526,$H$2:H526,"United Kingdom")=1),1,0)</f>
        <v>0</v>
      </c>
    </row>
    <row r="527" customFormat="false" ht="15" hidden="false" customHeight="false" outlineLevel="0" collapsed="false">
      <c r="A527" s="0" t="s">
        <v>183</v>
      </c>
      <c r="B527" s="0" t="s">
        <v>20</v>
      </c>
      <c r="C527" s="0" t="s">
        <v>21</v>
      </c>
      <c r="D527" s="0" t="n">
        <v>3</v>
      </c>
      <c r="E527" s="2" t="n">
        <v>40574.4097222222</v>
      </c>
      <c r="F527" s="0" t="n">
        <v>4.24</v>
      </c>
      <c r="G527" s="0" t="n">
        <v>15028</v>
      </c>
      <c r="H527" s="3" t="s">
        <v>14</v>
      </c>
      <c r="I527" s="4" t="n">
        <f aca="false">D527*F527</f>
        <v>12.72</v>
      </c>
      <c r="J527" s="3" t="n">
        <f aca="false">IF(AND(LEFT(A527,1)&lt;&gt;"C",D527&gt;0,F527&gt;0),1,0)</f>
        <v>1</v>
      </c>
      <c r="K527" s="3" t="n">
        <f aca="false">IF(AND(H527="United Kingdom",G527&lt;&gt;"",COUNTIFS($G$2:G527,G527,$H$2:H527,"United Kingdom")=1),1,0)</f>
        <v>0</v>
      </c>
    </row>
    <row r="528" customFormat="false" ht="15" hidden="false" customHeight="false" outlineLevel="0" collapsed="false">
      <c r="A528" s="0" t="s">
        <v>184</v>
      </c>
      <c r="B528" s="0" t="s">
        <v>12</v>
      </c>
      <c r="C528" s="0" t="s">
        <v>13</v>
      </c>
      <c r="D528" s="0" t="n">
        <v>1</v>
      </c>
      <c r="E528" s="2" t="n">
        <v>40574.7472222222</v>
      </c>
      <c r="F528" s="0" t="n">
        <v>3.33</v>
      </c>
      <c r="G528" s="0" t="n">
        <v>15671</v>
      </c>
      <c r="H528" s="3" t="s">
        <v>14</v>
      </c>
      <c r="I528" s="4" t="n">
        <f aca="false">D528*F528</f>
        <v>3.33</v>
      </c>
      <c r="J528" s="3" t="n">
        <f aca="false">IF(AND(LEFT(A528,1)&lt;&gt;"C",D528&gt;0,F528&gt;0),1,0)</f>
        <v>1</v>
      </c>
      <c r="K528" s="3" t="n">
        <f aca="false">IF(AND(H528="United Kingdom",G528&lt;&gt;"",COUNTIFS($G$2:G528,G528,$H$2:H528,"United Kingdom")=1),1,0)</f>
        <v>1</v>
      </c>
    </row>
    <row r="529" customFormat="false" ht="15" hidden="false" customHeight="false" outlineLevel="0" collapsed="false">
      <c r="A529" s="0" t="s">
        <v>184</v>
      </c>
      <c r="B529" s="0" t="s">
        <v>17</v>
      </c>
      <c r="C529" s="0" t="s">
        <v>18</v>
      </c>
      <c r="D529" s="0" t="n">
        <v>1</v>
      </c>
      <c r="E529" s="2" t="n">
        <v>40574.7472222222</v>
      </c>
      <c r="F529" s="0" t="n">
        <v>1.92</v>
      </c>
      <c r="G529" s="0" t="n">
        <v>15671</v>
      </c>
      <c r="H529" s="3" t="s">
        <v>14</v>
      </c>
      <c r="I529" s="4" t="n">
        <f aca="false">D529*F529</f>
        <v>1.92</v>
      </c>
      <c r="J529" s="3" t="n">
        <f aca="false">IF(AND(LEFT(A529,1)&lt;&gt;"C",D529&gt;0,F529&gt;0),1,0)</f>
        <v>1</v>
      </c>
      <c r="K529" s="3" t="n">
        <f aca="false">IF(AND(H529="United Kingdom",G529&lt;&gt;"",COUNTIFS($G$2:G529,G529,$H$2:H529,"United Kingdom")=1),1,0)</f>
        <v>0</v>
      </c>
    </row>
    <row r="530" customFormat="false" ht="15" hidden="false" customHeight="false" outlineLevel="0" collapsed="false">
      <c r="A530" s="0" t="s">
        <v>185</v>
      </c>
      <c r="B530" s="0" t="s">
        <v>50</v>
      </c>
      <c r="C530" s="0" t="s">
        <v>51</v>
      </c>
      <c r="D530" s="0" t="n">
        <v>72</v>
      </c>
      <c r="E530" s="2" t="n">
        <v>40576.5034722222</v>
      </c>
      <c r="F530" s="0" t="n">
        <v>5.41</v>
      </c>
      <c r="G530" s="0" t="n">
        <v>16661</v>
      </c>
      <c r="H530" s="3" t="s">
        <v>14</v>
      </c>
      <c r="I530" s="4" t="n">
        <f aca="false">D530*F530</f>
        <v>389.52</v>
      </c>
      <c r="J530" s="3" t="n">
        <f aca="false">IF(AND(LEFT(A530,1)&lt;&gt;"C",D530&gt;0,F530&gt;0),1,0)</f>
        <v>1</v>
      </c>
      <c r="K530" s="3" t="n">
        <f aca="false">IF(AND(H530="United Kingdom",G530&lt;&gt;"",COUNTIFS($G$2:G530,G530,$H$2:H530,"United Kingdom")=1),1,0)</f>
        <v>0</v>
      </c>
    </row>
    <row r="531" customFormat="false" ht="15" hidden="false" customHeight="false" outlineLevel="0" collapsed="false">
      <c r="A531" s="0" t="s">
        <v>185</v>
      </c>
      <c r="B531" s="0" t="s">
        <v>52</v>
      </c>
      <c r="C531" s="0" t="s">
        <v>53</v>
      </c>
      <c r="D531" s="0" t="n">
        <v>72</v>
      </c>
      <c r="E531" s="2" t="n">
        <v>40576.5034722222</v>
      </c>
      <c r="F531" s="0" t="n">
        <v>4.16</v>
      </c>
      <c r="G531" s="0" t="n">
        <v>16661</v>
      </c>
      <c r="H531" s="3" t="s">
        <v>14</v>
      </c>
      <c r="I531" s="4" t="n">
        <f aca="false">D531*F531</f>
        <v>299.52</v>
      </c>
      <c r="J531" s="3" t="n">
        <f aca="false">IF(AND(LEFT(A531,1)&lt;&gt;"C",D531&gt;0,F531&gt;0),1,0)</f>
        <v>1</v>
      </c>
      <c r="K531" s="3" t="n">
        <f aca="false">IF(AND(H531="United Kingdom",G531&lt;&gt;"",COUNTIFS($G$2:G531,G531,$H$2:H531,"United Kingdom")=1),1,0)</f>
        <v>0</v>
      </c>
    </row>
    <row r="532" customFormat="false" ht="15" hidden="false" customHeight="false" outlineLevel="0" collapsed="false">
      <c r="A532" s="0" t="s">
        <v>185</v>
      </c>
      <c r="B532" s="0" t="s">
        <v>75</v>
      </c>
      <c r="C532" s="0" t="s">
        <v>76</v>
      </c>
      <c r="D532" s="0" t="n">
        <v>192</v>
      </c>
      <c r="E532" s="2" t="n">
        <v>40576.5034722222</v>
      </c>
      <c r="F532" s="0" t="n">
        <v>1.97</v>
      </c>
      <c r="G532" s="0" t="n">
        <v>16661</v>
      </c>
      <c r="H532" s="3" t="s">
        <v>14</v>
      </c>
      <c r="I532" s="4" t="n">
        <f aca="false">D532*F532</f>
        <v>378.24</v>
      </c>
      <c r="J532" s="3" t="n">
        <f aca="false">IF(AND(LEFT(A532,1)&lt;&gt;"C",D532&gt;0,F532&gt;0),1,0)</f>
        <v>1</v>
      </c>
      <c r="K532" s="3" t="n">
        <f aca="false">IF(AND(H532="United Kingdom",G532&lt;&gt;"",COUNTIFS($G$2:G532,G532,$H$2:H532,"United Kingdom")=1),1,0)</f>
        <v>0</v>
      </c>
    </row>
    <row r="533" customFormat="false" ht="15" hidden="false" customHeight="false" outlineLevel="0" collapsed="false">
      <c r="A533" s="0" t="s">
        <v>186</v>
      </c>
      <c r="B533" s="0" t="s">
        <v>22</v>
      </c>
      <c r="C533" s="0" t="s">
        <v>23</v>
      </c>
      <c r="D533" s="0" t="n">
        <v>8</v>
      </c>
      <c r="E533" s="2" t="n">
        <v>40576.6736111111</v>
      </c>
      <c r="F533" s="0" t="n">
        <v>3.18</v>
      </c>
      <c r="G533" s="0" t="n">
        <v>15713</v>
      </c>
      <c r="H533" s="3" t="s">
        <v>14</v>
      </c>
      <c r="I533" s="4" t="n">
        <f aca="false">D533*F533</f>
        <v>25.44</v>
      </c>
      <c r="J533" s="3" t="n">
        <f aca="false">IF(AND(LEFT(A533,1)&lt;&gt;"C",D533&gt;0,F533&gt;0),1,0)</f>
        <v>1</v>
      </c>
      <c r="K533" s="3" t="n">
        <f aca="false">IF(AND(H533="United Kingdom",G533&lt;&gt;"",COUNTIFS($G$2:G533,G533,$H$2:H533,"United Kingdom")=1),1,0)</f>
        <v>1</v>
      </c>
    </row>
    <row r="534" customFormat="false" ht="15" hidden="false" customHeight="false" outlineLevel="0" collapsed="false">
      <c r="A534" s="0" t="s">
        <v>187</v>
      </c>
      <c r="B534" s="0" t="s">
        <v>68</v>
      </c>
      <c r="C534" s="0" t="s">
        <v>69</v>
      </c>
      <c r="D534" s="0" t="n">
        <v>6</v>
      </c>
      <c r="E534" s="2" t="n">
        <v>40576.7930555556</v>
      </c>
      <c r="F534" s="0" t="n">
        <v>1.26</v>
      </c>
      <c r="G534" s="0" t="n">
        <v>17811</v>
      </c>
      <c r="H534" s="3" t="s">
        <v>14</v>
      </c>
      <c r="I534" s="4" t="n">
        <f aca="false">D534*F534</f>
        <v>7.56</v>
      </c>
      <c r="J534" s="3" t="n">
        <f aca="false">IF(AND(LEFT(A534,1)&lt;&gt;"C",D534&gt;0,F534&gt;0),1,0)</f>
        <v>1</v>
      </c>
      <c r="K534" s="3" t="n">
        <f aca="false">IF(AND(H534="United Kingdom",G534&lt;&gt;"",COUNTIFS($G$2:G534,G534,$H$2:H534,"United Kingdom")=1),1,0)</f>
        <v>1</v>
      </c>
    </row>
    <row r="535" customFormat="false" ht="15" hidden="false" customHeight="false" outlineLevel="0" collapsed="false">
      <c r="A535" s="0" t="s">
        <v>187</v>
      </c>
      <c r="B535" s="0" t="s">
        <v>50</v>
      </c>
      <c r="C535" s="0" t="s">
        <v>51</v>
      </c>
      <c r="D535" s="0" t="n">
        <v>1</v>
      </c>
      <c r="E535" s="2" t="n">
        <v>40576.7930555556</v>
      </c>
      <c r="F535" s="0" t="n">
        <v>5.41</v>
      </c>
      <c r="G535" s="0" t="n">
        <v>17811</v>
      </c>
      <c r="H535" s="3" t="s">
        <v>14</v>
      </c>
      <c r="I535" s="4" t="n">
        <f aca="false">D535*F535</f>
        <v>5.41</v>
      </c>
      <c r="J535" s="3" t="n">
        <f aca="false">IF(AND(LEFT(A535,1)&lt;&gt;"C",D535&gt;0,F535&gt;0),1,0)</f>
        <v>1</v>
      </c>
      <c r="K535" s="3" t="n">
        <f aca="false">IF(AND(H535="United Kingdom",G535&lt;&gt;"",COUNTIFS($G$2:G535,G535,$H$2:H535,"United Kingdom")=1),1,0)</f>
        <v>0</v>
      </c>
    </row>
    <row r="536" customFormat="false" ht="15" hidden="false" customHeight="false" outlineLevel="0" collapsed="false">
      <c r="A536" s="0" t="s">
        <v>187</v>
      </c>
      <c r="B536" s="0" t="s">
        <v>29</v>
      </c>
      <c r="C536" s="0" t="s">
        <v>30</v>
      </c>
      <c r="D536" s="0" t="n">
        <v>1</v>
      </c>
      <c r="E536" s="2" t="n">
        <v>40576.7930555556</v>
      </c>
      <c r="F536" s="0" t="n">
        <v>5.79</v>
      </c>
      <c r="G536" s="0" t="n">
        <v>17811</v>
      </c>
      <c r="H536" s="3" t="s">
        <v>14</v>
      </c>
      <c r="I536" s="4" t="n">
        <f aca="false">D536*F536</f>
        <v>5.79</v>
      </c>
      <c r="J536" s="3" t="n">
        <f aca="false">IF(AND(LEFT(A536,1)&lt;&gt;"C",D536&gt;0,F536&gt;0),1,0)</f>
        <v>1</v>
      </c>
      <c r="K536" s="3" t="n">
        <f aca="false">IF(AND(H536="United Kingdom",G536&lt;&gt;"",COUNTIFS($G$2:G536,G536,$H$2:H536,"United Kingdom")=1),1,0)</f>
        <v>0</v>
      </c>
    </row>
    <row r="537" customFormat="false" ht="15" hidden="false" customHeight="false" outlineLevel="0" collapsed="false">
      <c r="A537" s="0" t="s">
        <v>188</v>
      </c>
      <c r="B537" s="0" t="s">
        <v>58</v>
      </c>
      <c r="C537" s="0" t="s">
        <v>59</v>
      </c>
      <c r="D537" s="0" t="n">
        <v>2</v>
      </c>
      <c r="E537" s="2" t="n">
        <v>40577.3583333333</v>
      </c>
      <c r="F537" s="0" t="n">
        <v>2.16</v>
      </c>
      <c r="G537" s="0" t="n">
        <v>16258</v>
      </c>
      <c r="H537" s="3" t="s">
        <v>14</v>
      </c>
      <c r="I537" s="4" t="n">
        <f aca="false">D537*F537</f>
        <v>4.32</v>
      </c>
      <c r="J537" s="3" t="n">
        <f aca="false">IF(AND(LEFT(A537,1)&lt;&gt;"C",D537&gt;0,F537&gt;0),1,0)</f>
        <v>1</v>
      </c>
      <c r="K537" s="3" t="n">
        <f aca="false">IF(AND(H537="United Kingdom",G537&lt;&gt;"",COUNTIFS($G$2:G537,G537,$H$2:H537,"United Kingdom")=1),1,0)</f>
        <v>0</v>
      </c>
    </row>
    <row r="538" customFormat="false" ht="15" hidden="false" customHeight="false" outlineLevel="0" collapsed="false">
      <c r="A538" s="0" t="s">
        <v>188</v>
      </c>
      <c r="B538" s="0" t="s">
        <v>15</v>
      </c>
      <c r="C538" s="0" t="s">
        <v>16</v>
      </c>
      <c r="D538" s="0" t="n">
        <v>4</v>
      </c>
      <c r="E538" s="2" t="n">
        <v>40577.3583333333</v>
      </c>
      <c r="F538" s="0" t="n">
        <v>3.18</v>
      </c>
      <c r="G538" s="0" t="n">
        <v>16258</v>
      </c>
      <c r="H538" s="3" t="s">
        <v>14</v>
      </c>
      <c r="I538" s="4" t="n">
        <f aca="false">D538*F538</f>
        <v>12.72</v>
      </c>
      <c r="J538" s="3" t="n">
        <f aca="false">IF(AND(LEFT(A538,1)&lt;&gt;"C",D538&gt;0,F538&gt;0),1,0)</f>
        <v>1</v>
      </c>
      <c r="K538" s="3" t="n">
        <f aca="false">IF(AND(H538="United Kingdom",G538&lt;&gt;"",COUNTIFS($G$2:G538,G538,$H$2:H538,"United Kingdom")=1),1,0)</f>
        <v>0</v>
      </c>
    </row>
    <row r="539" customFormat="false" ht="15" hidden="false" customHeight="false" outlineLevel="0" collapsed="false">
      <c r="A539" s="0" t="s">
        <v>188</v>
      </c>
      <c r="B539" s="0" t="s">
        <v>50</v>
      </c>
      <c r="C539" s="0" t="s">
        <v>51</v>
      </c>
      <c r="D539" s="0" t="n">
        <v>2</v>
      </c>
      <c r="E539" s="2" t="n">
        <v>40577.3583333333</v>
      </c>
      <c r="F539" s="0" t="n">
        <v>5.41</v>
      </c>
      <c r="G539" s="0" t="n">
        <v>16258</v>
      </c>
      <c r="H539" s="3" t="s">
        <v>14</v>
      </c>
      <c r="I539" s="4" t="n">
        <f aca="false">D539*F539</f>
        <v>10.82</v>
      </c>
      <c r="J539" s="3" t="n">
        <f aca="false">IF(AND(LEFT(A539,1)&lt;&gt;"C",D539&gt;0,F539&gt;0),1,0)</f>
        <v>1</v>
      </c>
      <c r="K539" s="3" t="n">
        <f aca="false">IF(AND(H539="United Kingdom",G539&lt;&gt;"",COUNTIFS($G$2:G539,G539,$H$2:H539,"United Kingdom")=1),1,0)</f>
        <v>0</v>
      </c>
    </row>
    <row r="540" customFormat="false" ht="15" hidden="false" customHeight="false" outlineLevel="0" collapsed="false">
      <c r="A540" s="0" t="s">
        <v>189</v>
      </c>
      <c r="B540" s="0" t="s">
        <v>77</v>
      </c>
      <c r="C540" s="0" t="s">
        <v>78</v>
      </c>
      <c r="D540" s="0" t="n">
        <v>2</v>
      </c>
      <c r="E540" s="2" t="n">
        <v>40577.6125</v>
      </c>
      <c r="F540" s="0" t="n">
        <v>3.41</v>
      </c>
      <c r="G540" s="0" t="n">
        <v>15108</v>
      </c>
      <c r="H540" s="3" t="s">
        <v>14</v>
      </c>
      <c r="I540" s="4" t="n">
        <f aca="false">D540*F540</f>
        <v>6.82</v>
      </c>
      <c r="J540" s="3" t="n">
        <f aca="false">IF(AND(LEFT(A540,1)&lt;&gt;"C",D540&gt;0,F540&gt;0),1,0)</f>
        <v>1</v>
      </c>
      <c r="K540" s="3" t="n">
        <f aca="false">IF(AND(H540="United Kingdom",G540&lt;&gt;"",COUNTIFS($G$2:G540,G540,$H$2:H540,"United Kingdom")=1),1,0)</f>
        <v>1</v>
      </c>
    </row>
    <row r="541" customFormat="false" ht="15" hidden="false" customHeight="false" outlineLevel="0" collapsed="false">
      <c r="A541" s="0" t="s">
        <v>189</v>
      </c>
      <c r="B541" s="0" t="s">
        <v>113</v>
      </c>
      <c r="C541" s="0" t="s">
        <v>114</v>
      </c>
      <c r="D541" s="0" t="n">
        <v>1</v>
      </c>
      <c r="E541" s="2" t="n">
        <v>40577.6125</v>
      </c>
      <c r="F541" s="0" t="n">
        <v>3.57</v>
      </c>
      <c r="G541" s="0" t="n">
        <v>15108</v>
      </c>
      <c r="H541" s="3" t="s">
        <v>14</v>
      </c>
      <c r="I541" s="4" t="n">
        <f aca="false">D541*F541</f>
        <v>3.57</v>
      </c>
      <c r="J541" s="3" t="n">
        <f aca="false">IF(AND(LEFT(A541,1)&lt;&gt;"C",D541&gt;0,F541&gt;0),1,0)</f>
        <v>1</v>
      </c>
      <c r="K541" s="3" t="n">
        <f aca="false">IF(AND(H541="United Kingdom",G541&lt;&gt;"",COUNTIFS($G$2:G541,G541,$H$2:H541,"United Kingdom")=1),1,0)</f>
        <v>0</v>
      </c>
    </row>
    <row r="542" customFormat="false" ht="15" hidden="false" customHeight="false" outlineLevel="0" collapsed="false">
      <c r="A542" s="0" t="s">
        <v>190</v>
      </c>
      <c r="B542" s="0" t="s">
        <v>45</v>
      </c>
      <c r="C542" s="0" t="s">
        <v>46</v>
      </c>
      <c r="D542" s="0" t="n">
        <v>1</v>
      </c>
      <c r="E542" s="2" t="n">
        <v>40577.7986111111</v>
      </c>
      <c r="F542" s="0" t="n">
        <v>4.55</v>
      </c>
      <c r="G542" s="0" t="n">
        <v>16828</v>
      </c>
      <c r="H542" s="3" t="s">
        <v>14</v>
      </c>
      <c r="I542" s="4" t="n">
        <f aca="false">D542*F542</f>
        <v>4.55</v>
      </c>
      <c r="J542" s="3" t="n">
        <f aca="false">IF(AND(LEFT(A542,1)&lt;&gt;"C",D542&gt;0,F542&gt;0),1,0)</f>
        <v>1</v>
      </c>
      <c r="K542" s="3" t="n">
        <f aca="false">IF(AND(H542="United Kingdom",G542&lt;&gt;"",COUNTIFS($G$2:G542,G542,$H$2:H542,"United Kingdom")=1),1,0)</f>
        <v>1</v>
      </c>
    </row>
    <row r="543" customFormat="false" ht="15" hidden="false" customHeight="false" outlineLevel="0" collapsed="false">
      <c r="A543" s="0" t="s">
        <v>190</v>
      </c>
      <c r="B543" s="0" t="s">
        <v>43</v>
      </c>
      <c r="C543" s="0" t="s">
        <v>44</v>
      </c>
      <c r="D543" s="0" t="n">
        <v>3</v>
      </c>
      <c r="E543" s="2" t="n">
        <v>40577.7986111111</v>
      </c>
      <c r="F543" s="0" t="n">
        <v>1.35</v>
      </c>
      <c r="G543" s="0" t="n">
        <v>16828</v>
      </c>
      <c r="H543" s="3" t="s">
        <v>14</v>
      </c>
      <c r="I543" s="4" t="n">
        <f aca="false">D543*F543</f>
        <v>4.05</v>
      </c>
      <c r="J543" s="3" t="n">
        <f aca="false">IF(AND(LEFT(A543,1)&lt;&gt;"C",D543&gt;0,F543&gt;0),1,0)</f>
        <v>1</v>
      </c>
      <c r="K543" s="3" t="n">
        <f aca="false">IF(AND(H543="United Kingdom",G543&lt;&gt;"",COUNTIFS($G$2:G543,G543,$H$2:H543,"United Kingdom")=1),1,0)</f>
        <v>0</v>
      </c>
    </row>
    <row r="544" customFormat="false" ht="15" hidden="false" customHeight="false" outlineLevel="0" collapsed="false">
      <c r="A544" s="0" t="s">
        <v>190</v>
      </c>
      <c r="B544" s="0" t="s">
        <v>32</v>
      </c>
      <c r="C544" s="0" t="s">
        <v>33</v>
      </c>
      <c r="D544" s="0" t="n">
        <v>12</v>
      </c>
      <c r="E544" s="2" t="n">
        <v>40577.7986111111</v>
      </c>
      <c r="F544" s="0" t="n">
        <v>1.19</v>
      </c>
      <c r="G544" s="0" t="n">
        <v>16828</v>
      </c>
      <c r="H544" s="3" t="s">
        <v>14</v>
      </c>
      <c r="I544" s="4" t="n">
        <f aca="false">D544*F544</f>
        <v>14.28</v>
      </c>
      <c r="J544" s="3" t="n">
        <f aca="false">IF(AND(LEFT(A544,1)&lt;&gt;"C",D544&gt;0,F544&gt;0),1,0)</f>
        <v>1</v>
      </c>
      <c r="K544" s="3" t="n">
        <f aca="false">IF(AND(H544="United Kingdom",G544&lt;&gt;"",COUNTIFS($G$2:G544,G544,$H$2:H544,"United Kingdom")=1),1,0)</f>
        <v>0</v>
      </c>
    </row>
    <row r="545" customFormat="false" ht="15" hidden="false" customHeight="false" outlineLevel="0" collapsed="false">
      <c r="A545" s="0" t="s">
        <v>191</v>
      </c>
      <c r="B545" s="0" t="s">
        <v>75</v>
      </c>
      <c r="C545" s="0" t="s">
        <v>76</v>
      </c>
      <c r="D545" s="0" t="n">
        <v>12</v>
      </c>
      <c r="E545" s="2" t="n">
        <v>40578.5041666667</v>
      </c>
      <c r="F545" s="0" t="n">
        <v>1.97</v>
      </c>
      <c r="G545" s="0" t="n">
        <v>15312</v>
      </c>
      <c r="H545" s="3" t="s">
        <v>124</v>
      </c>
      <c r="I545" s="4" t="n">
        <f aca="false">D545*F545</f>
        <v>23.64</v>
      </c>
      <c r="J545" s="3" t="n">
        <f aca="false">IF(AND(LEFT(A545,1)&lt;&gt;"C",D545&gt;0,F545&gt;0),1,0)</f>
        <v>1</v>
      </c>
      <c r="K545" s="3" t="n">
        <f aca="false">IF(AND(H545="United Kingdom",G545&lt;&gt;"",COUNTIFS($G$2:G545,G545,$H$2:H545,"United Kingdom")=1),1,0)</f>
        <v>0</v>
      </c>
    </row>
    <row r="546" customFormat="false" ht="15" hidden="false" customHeight="false" outlineLevel="0" collapsed="false">
      <c r="A546" s="0" t="s">
        <v>191</v>
      </c>
      <c r="B546" s="0" t="s">
        <v>43</v>
      </c>
      <c r="C546" s="0" t="s">
        <v>44</v>
      </c>
      <c r="D546" s="0" t="n">
        <v>9</v>
      </c>
      <c r="E546" s="2" t="n">
        <v>40578.5041666667</v>
      </c>
      <c r="F546" s="0" t="n">
        <v>1.35</v>
      </c>
      <c r="G546" s="0" t="n">
        <v>15312</v>
      </c>
      <c r="H546" s="3" t="s">
        <v>124</v>
      </c>
      <c r="I546" s="4" t="n">
        <f aca="false">D546*F546</f>
        <v>12.15</v>
      </c>
      <c r="J546" s="3" t="n">
        <f aca="false">IF(AND(LEFT(A546,1)&lt;&gt;"C",D546&gt;0,F546&gt;0),1,0)</f>
        <v>1</v>
      </c>
      <c r="K546" s="3" t="n">
        <f aca="false">IF(AND(H546="United Kingdom",G546&lt;&gt;"",COUNTIFS($G$2:G546,G546,$H$2:H546,"United Kingdom")=1),1,0)</f>
        <v>0</v>
      </c>
    </row>
    <row r="547" customFormat="false" ht="15" hidden="false" customHeight="false" outlineLevel="0" collapsed="false">
      <c r="A547" s="0" t="s">
        <v>191</v>
      </c>
      <c r="B547" s="0" t="s">
        <v>20</v>
      </c>
      <c r="C547" s="0" t="s">
        <v>21</v>
      </c>
      <c r="D547" s="0" t="n">
        <v>6</v>
      </c>
      <c r="E547" s="2" t="n">
        <v>40578.5041666667</v>
      </c>
      <c r="F547" s="0" t="n">
        <v>4.24</v>
      </c>
      <c r="G547" s="0" t="n">
        <v>15312</v>
      </c>
      <c r="H547" s="3" t="s">
        <v>124</v>
      </c>
      <c r="I547" s="4" t="n">
        <f aca="false">D547*F547</f>
        <v>25.44</v>
      </c>
      <c r="J547" s="3" t="n">
        <f aca="false">IF(AND(LEFT(A547,1)&lt;&gt;"C",D547&gt;0,F547&gt;0),1,0)</f>
        <v>1</v>
      </c>
      <c r="K547" s="3" t="n">
        <f aca="false">IF(AND(H547="United Kingdom",G547&lt;&gt;"",COUNTIFS($G$2:G547,G547,$H$2:H547,"United Kingdom")=1),1,0)</f>
        <v>0</v>
      </c>
    </row>
    <row r="548" customFormat="false" ht="15" hidden="false" customHeight="false" outlineLevel="0" collapsed="false">
      <c r="A548" s="0" t="s">
        <v>191</v>
      </c>
      <c r="B548" s="0" t="s">
        <v>72</v>
      </c>
      <c r="C548" s="0" t="s">
        <v>73</v>
      </c>
      <c r="D548" s="0" t="n">
        <v>24</v>
      </c>
      <c r="E548" s="2" t="n">
        <v>40578.5041666667</v>
      </c>
      <c r="F548" s="0" t="n">
        <v>2.69</v>
      </c>
      <c r="G548" s="0" t="n">
        <v>15312</v>
      </c>
      <c r="H548" s="3" t="s">
        <v>124</v>
      </c>
      <c r="I548" s="4" t="n">
        <f aca="false">D548*F548</f>
        <v>64.56</v>
      </c>
      <c r="J548" s="3" t="n">
        <f aca="false">IF(AND(LEFT(A548,1)&lt;&gt;"C",D548&gt;0,F548&gt;0),1,0)</f>
        <v>1</v>
      </c>
      <c r="K548" s="3" t="n">
        <f aca="false">IF(AND(H548="United Kingdom",G548&lt;&gt;"",COUNTIFS($G$2:G548,G548,$H$2:H548,"United Kingdom")=1),1,0)</f>
        <v>0</v>
      </c>
    </row>
    <row r="549" customFormat="false" ht="15" hidden="false" customHeight="false" outlineLevel="0" collapsed="false">
      <c r="A549" s="0" t="s">
        <v>191</v>
      </c>
      <c r="B549" s="0" t="s">
        <v>25</v>
      </c>
      <c r="C549" s="0" t="s">
        <v>26</v>
      </c>
      <c r="D549" s="0" t="n">
        <v>6</v>
      </c>
      <c r="E549" s="2" t="n">
        <v>40578.5041666667</v>
      </c>
      <c r="F549" s="0" t="n">
        <v>2.21</v>
      </c>
      <c r="G549" s="0" t="n">
        <v>15312</v>
      </c>
      <c r="H549" s="3" t="s">
        <v>124</v>
      </c>
      <c r="I549" s="4" t="n">
        <f aca="false">D549*F549</f>
        <v>13.26</v>
      </c>
      <c r="J549" s="3" t="n">
        <f aca="false">IF(AND(LEFT(A549,1)&lt;&gt;"C",D549&gt;0,F549&gt;0),1,0)</f>
        <v>1</v>
      </c>
      <c r="K549" s="3" t="n">
        <f aca="false">IF(AND(H549="United Kingdom",G549&lt;&gt;"",COUNTIFS($G$2:G549,G549,$H$2:H549,"United Kingdom")=1),1,0)</f>
        <v>0</v>
      </c>
    </row>
    <row r="550" customFormat="false" ht="15" hidden="false" customHeight="false" outlineLevel="0" collapsed="false">
      <c r="A550" s="0" t="s">
        <v>191</v>
      </c>
      <c r="B550" s="0" t="s">
        <v>41</v>
      </c>
      <c r="C550" s="0" t="s">
        <v>42</v>
      </c>
      <c r="D550" s="0" t="n">
        <v>24</v>
      </c>
      <c r="E550" s="2" t="n">
        <v>40578.5041666667</v>
      </c>
      <c r="F550" s="0" t="n">
        <v>3.28</v>
      </c>
      <c r="G550" s="0" t="n">
        <v>15312</v>
      </c>
      <c r="H550" s="3" t="s">
        <v>124</v>
      </c>
      <c r="I550" s="4" t="n">
        <f aca="false">D550*F550</f>
        <v>78.72</v>
      </c>
      <c r="J550" s="3" t="n">
        <f aca="false">IF(AND(LEFT(A550,1)&lt;&gt;"C",D550&gt;0,F550&gt;0),1,0)</f>
        <v>1</v>
      </c>
      <c r="K550" s="3" t="n">
        <f aca="false">IF(AND(H550="United Kingdom",G550&lt;&gt;"",COUNTIFS($G$2:G550,G550,$H$2:H550,"United Kingdom")=1),1,0)</f>
        <v>0</v>
      </c>
    </row>
    <row r="551" customFormat="false" ht="15" hidden="false" customHeight="false" outlineLevel="0" collapsed="false">
      <c r="A551" s="0" t="s">
        <v>191</v>
      </c>
      <c r="B551" s="0" t="s">
        <v>22</v>
      </c>
      <c r="C551" s="0" t="s">
        <v>23</v>
      </c>
      <c r="D551" s="0" t="n">
        <v>12</v>
      </c>
      <c r="E551" s="2" t="n">
        <v>40578.5041666667</v>
      </c>
      <c r="F551" s="0" t="n">
        <v>3.18</v>
      </c>
      <c r="G551" s="0" t="n">
        <v>15312</v>
      </c>
      <c r="H551" s="3" t="s">
        <v>124</v>
      </c>
      <c r="I551" s="4" t="n">
        <f aca="false">D551*F551</f>
        <v>38.16</v>
      </c>
      <c r="J551" s="3" t="n">
        <f aca="false">IF(AND(LEFT(A551,1)&lt;&gt;"C",D551&gt;0,F551&gt;0),1,0)</f>
        <v>1</v>
      </c>
      <c r="K551" s="3" t="n">
        <f aca="false">IF(AND(H551="United Kingdom",G551&lt;&gt;"",COUNTIFS($G$2:G551,G551,$H$2:H551,"United Kingdom")=1),1,0)</f>
        <v>0</v>
      </c>
    </row>
    <row r="552" customFormat="false" ht="15" hidden="false" customHeight="false" outlineLevel="0" collapsed="false">
      <c r="A552" s="0" t="s">
        <v>191</v>
      </c>
      <c r="B552" s="0" t="s">
        <v>32</v>
      </c>
      <c r="C552" s="0" t="s">
        <v>33</v>
      </c>
      <c r="D552" s="0" t="n">
        <v>3</v>
      </c>
      <c r="E552" s="2" t="n">
        <v>40578.5041666667</v>
      </c>
      <c r="F552" s="0" t="n">
        <v>1.19</v>
      </c>
      <c r="G552" s="0" t="n">
        <v>15312</v>
      </c>
      <c r="H552" s="3" t="s">
        <v>124</v>
      </c>
      <c r="I552" s="4" t="n">
        <f aca="false">D552*F552</f>
        <v>3.57</v>
      </c>
      <c r="J552" s="3" t="n">
        <f aca="false">IF(AND(LEFT(A552,1)&lt;&gt;"C",D552&gt;0,F552&gt;0),1,0)</f>
        <v>1</v>
      </c>
      <c r="K552" s="3" t="n">
        <f aca="false">IF(AND(H552="United Kingdom",G552&lt;&gt;"",COUNTIFS($G$2:G552,G552,$H$2:H552,"United Kingdom")=1),1,0)</f>
        <v>0</v>
      </c>
    </row>
    <row r="553" customFormat="false" ht="15" hidden="false" customHeight="false" outlineLevel="0" collapsed="false">
      <c r="A553" s="0" t="s">
        <v>191</v>
      </c>
      <c r="B553" s="0" t="s">
        <v>65</v>
      </c>
      <c r="C553" s="0" t="s">
        <v>66</v>
      </c>
      <c r="D553" s="0" t="n">
        <v>6</v>
      </c>
      <c r="E553" s="2" t="n">
        <v>40578.5041666667</v>
      </c>
      <c r="F553" s="0" t="n">
        <v>4.75</v>
      </c>
      <c r="G553" s="0" t="n">
        <v>15312</v>
      </c>
      <c r="H553" s="3" t="s">
        <v>124</v>
      </c>
      <c r="I553" s="4" t="n">
        <f aca="false">D553*F553</f>
        <v>28.5</v>
      </c>
      <c r="J553" s="3" t="n">
        <f aca="false">IF(AND(LEFT(A553,1)&lt;&gt;"C",D553&gt;0,F553&gt;0),1,0)</f>
        <v>1</v>
      </c>
      <c r="K553" s="3" t="n">
        <f aca="false">IF(AND(H553="United Kingdom",G553&lt;&gt;"",COUNTIFS($G$2:G553,G553,$H$2:H553,"United Kingdom")=1),1,0)</f>
        <v>0</v>
      </c>
    </row>
    <row r="554" customFormat="false" ht="15" hidden="false" customHeight="false" outlineLevel="0" collapsed="false">
      <c r="A554" s="0" t="s">
        <v>191</v>
      </c>
      <c r="B554" s="0" t="s">
        <v>50</v>
      </c>
      <c r="C554" s="0" t="s">
        <v>51</v>
      </c>
      <c r="D554" s="0" t="n">
        <v>72</v>
      </c>
      <c r="E554" s="2" t="n">
        <v>40578.5041666667</v>
      </c>
      <c r="F554" s="0" t="n">
        <v>5.41</v>
      </c>
      <c r="G554" s="0" t="n">
        <v>15312</v>
      </c>
      <c r="H554" s="3" t="s">
        <v>124</v>
      </c>
      <c r="I554" s="4" t="n">
        <f aca="false">D554*F554</f>
        <v>389.52</v>
      </c>
      <c r="J554" s="3" t="n">
        <f aca="false">IF(AND(LEFT(A554,1)&lt;&gt;"C",D554&gt;0,F554&gt;0),1,0)</f>
        <v>1</v>
      </c>
      <c r="K554" s="3" t="n">
        <f aca="false">IF(AND(H554="United Kingdom",G554&lt;&gt;"",COUNTIFS($G$2:G554,G554,$H$2:H554,"United Kingdom")=1),1,0)</f>
        <v>0</v>
      </c>
    </row>
    <row r="555" customFormat="false" ht="15" hidden="false" customHeight="false" outlineLevel="0" collapsed="false">
      <c r="A555" s="0" t="s">
        <v>191</v>
      </c>
      <c r="B555" s="0" t="s">
        <v>29</v>
      </c>
      <c r="C555" s="0" t="s">
        <v>30</v>
      </c>
      <c r="D555" s="0" t="n">
        <v>12</v>
      </c>
      <c r="E555" s="2" t="n">
        <v>40578.5041666667</v>
      </c>
      <c r="F555" s="0" t="n">
        <v>5.79</v>
      </c>
      <c r="G555" s="0" t="n">
        <v>15312</v>
      </c>
      <c r="H555" s="3" t="s">
        <v>124</v>
      </c>
      <c r="I555" s="4" t="n">
        <f aca="false">D555*F555</f>
        <v>69.48</v>
      </c>
      <c r="J555" s="3" t="n">
        <f aca="false">IF(AND(LEFT(A555,1)&lt;&gt;"C",D555&gt;0,F555&gt;0),1,0)</f>
        <v>1</v>
      </c>
      <c r="K555" s="3" t="n">
        <f aca="false">IF(AND(H555="United Kingdom",G555&lt;&gt;"",COUNTIFS($G$2:G555,G555,$H$2:H555,"United Kingdom")=1),1,0)</f>
        <v>0</v>
      </c>
    </row>
    <row r="556" customFormat="false" ht="15" hidden="false" customHeight="false" outlineLevel="0" collapsed="false">
      <c r="A556" s="0" t="s">
        <v>191</v>
      </c>
      <c r="B556" s="0" t="s">
        <v>58</v>
      </c>
      <c r="C556" s="0" t="s">
        <v>59</v>
      </c>
      <c r="D556" s="0" t="n">
        <v>36</v>
      </c>
      <c r="E556" s="2" t="n">
        <v>40578.5041666667</v>
      </c>
      <c r="F556" s="0" t="n">
        <v>2.16</v>
      </c>
      <c r="G556" s="0" t="n">
        <v>15312</v>
      </c>
      <c r="H556" s="3" t="s">
        <v>124</v>
      </c>
      <c r="I556" s="4" t="n">
        <f aca="false">D556*F556</f>
        <v>77.76</v>
      </c>
      <c r="J556" s="3" t="n">
        <f aca="false">IF(AND(LEFT(A556,1)&lt;&gt;"C",D556&gt;0,F556&gt;0),1,0)</f>
        <v>1</v>
      </c>
      <c r="K556" s="3" t="n">
        <f aca="false">IF(AND(H556="United Kingdom",G556&lt;&gt;"",COUNTIFS($G$2:G556,G556,$H$2:H556,"United Kingdom")=1),1,0)</f>
        <v>0</v>
      </c>
    </row>
    <row r="557" customFormat="false" ht="15" hidden="false" customHeight="false" outlineLevel="0" collapsed="false">
      <c r="A557" s="0" t="s">
        <v>191</v>
      </c>
      <c r="B557" s="0" t="s">
        <v>90</v>
      </c>
      <c r="C557" s="0" t="s">
        <v>91</v>
      </c>
      <c r="D557" s="0" t="n">
        <v>3</v>
      </c>
      <c r="E557" s="2" t="n">
        <v>40578.5041666667</v>
      </c>
      <c r="F557" s="0" t="n">
        <v>3.04</v>
      </c>
      <c r="G557" s="0" t="n">
        <v>15312</v>
      </c>
      <c r="H557" s="3" t="s">
        <v>124</v>
      </c>
      <c r="I557" s="4" t="n">
        <f aca="false">D557*F557</f>
        <v>9.12</v>
      </c>
      <c r="J557" s="3" t="n">
        <f aca="false">IF(AND(LEFT(A557,1)&lt;&gt;"C",D557&gt;0,F557&gt;0),1,0)</f>
        <v>1</v>
      </c>
      <c r="K557" s="3" t="n">
        <f aca="false">IF(AND(H557="United Kingdom",G557&lt;&gt;"",COUNTIFS($G$2:G557,G557,$H$2:H557,"United Kingdom")=1),1,0)</f>
        <v>0</v>
      </c>
    </row>
    <row r="558" customFormat="false" ht="15" hidden="false" customHeight="false" outlineLevel="0" collapsed="false">
      <c r="A558" s="0" t="s">
        <v>191</v>
      </c>
      <c r="B558" s="0" t="s">
        <v>77</v>
      </c>
      <c r="C558" s="0" t="s">
        <v>78</v>
      </c>
      <c r="D558" s="0" t="n">
        <v>6</v>
      </c>
      <c r="E558" s="2" t="n">
        <v>40578.5041666667</v>
      </c>
      <c r="F558" s="0" t="n">
        <v>3.41</v>
      </c>
      <c r="G558" s="0" t="n">
        <v>15312</v>
      </c>
      <c r="H558" s="3" t="s">
        <v>124</v>
      </c>
      <c r="I558" s="4" t="n">
        <f aca="false">D558*F558</f>
        <v>20.46</v>
      </c>
      <c r="J558" s="3" t="n">
        <f aca="false">IF(AND(LEFT(A558,1)&lt;&gt;"C",D558&gt;0,F558&gt;0),1,0)</f>
        <v>1</v>
      </c>
      <c r="K558" s="3" t="n">
        <f aca="false">IF(AND(H558="United Kingdom",G558&lt;&gt;"",COUNTIFS($G$2:G558,G558,$H$2:H558,"United Kingdom")=1),1,0)</f>
        <v>0</v>
      </c>
    </row>
    <row r="559" customFormat="false" ht="15" hidden="false" customHeight="false" outlineLevel="0" collapsed="false">
      <c r="A559" s="0" t="s">
        <v>191</v>
      </c>
      <c r="B559" s="0" t="s">
        <v>17</v>
      </c>
      <c r="C559" s="0" t="s">
        <v>18</v>
      </c>
      <c r="D559" s="0" t="n">
        <v>3</v>
      </c>
      <c r="E559" s="2" t="n">
        <v>40578.5041666667</v>
      </c>
      <c r="F559" s="0" t="n">
        <v>1.92</v>
      </c>
      <c r="G559" s="0" t="n">
        <v>15312</v>
      </c>
      <c r="H559" s="3" t="s">
        <v>124</v>
      </c>
      <c r="I559" s="4" t="n">
        <f aca="false">D559*F559</f>
        <v>5.76</v>
      </c>
      <c r="J559" s="3" t="n">
        <f aca="false">IF(AND(LEFT(A559,1)&lt;&gt;"C",D559&gt;0,F559&gt;0),1,0)</f>
        <v>1</v>
      </c>
      <c r="K559" s="3" t="n">
        <f aca="false">IF(AND(H559="United Kingdom",G559&lt;&gt;"",COUNTIFS($G$2:G559,G559,$H$2:H559,"United Kingdom")=1),1,0)</f>
        <v>0</v>
      </c>
    </row>
    <row r="560" customFormat="false" ht="15" hidden="false" customHeight="false" outlineLevel="0" collapsed="false">
      <c r="A560" s="0" t="s">
        <v>191</v>
      </c>
      <c r="B560" s="0" t="s">
        <v>27</v>
      </c>
      <c r="C560" s="0" t="s">
        <v>28</v>
      </c>
      <c r="D560" s="0" t="n">
        <v>6</v>
      </c>
      <c r="E560" s="2" t="n">
        <v>40578.5041666667</v>
      </c>
      <c r="F560" s="0" t="n">
        <v>4.55</v>
      </c>
      <c r="G560" s="0" t="n">
        <v>15312</v>
      </c>
      <c r="H560" s="3" t="s">
        <v>124</v>
      </c>
      <c r="I560" s="4" t="n">
        <f aca="false">D560*F560</f>
        <v>27.3</v>
      </c>
      <c r="J560" s="3" t="n">
        <f aca="false">IF(AND(LEFT(A560,1)&lt;&gt;"C",D560&gt;0,F560&gt;0),1,0)</f>
        <v>1</v>
      </c>
      <c r="K560" s="3" t="n">
        <f aca="false">IF(AND(H560="United Kingdom",G560&lt;&gt;"",COUNTIFS($G$2:G560,G560,$H$2:H560,"United Kingdom")=1),1,0)</f>
        <v>0</v>
      </c>
    </row>
    <row r="561" customFormat="false" ht="15" hidden="false" customHeight="false" outlineLevel="0" collapsed="false">
      <c r="A561" s="0" t="s">
        <v>191</v>
      </c>
      <c r="B561" s="0" t="s">
        <v>48</v>
      </c>
      <c r="C561" s="0" t="s">
        <v>49</v>
      </c>
      <c r="D561" s="0" t="n">
        <v>3</v>
      </c>
      <c r="E561" s="2" t="n">
        <v>40578.5041666667</v>
      </c>
      <c r="F561" s="0" t="n">
        <v>1.35</v>
      </c>
      <c r="G561" s="0" t="n">
        <v>15312</v>
      </c>
      <c r="H561" s="3" t="s">
        <v>124</v>
      </c>
      <c r="I561" s="4" t="n">
        <f aca="false">D561*F561</f>
        <v>4.05</v>
      </c>
      <c r="J561" s="3" t="n">
        <f aca="false">IF(AND(LEFT(A561,1)&lt;&gt;"C",D561&gt;0,F561&gt;0),1,0)</f>
        <v>1</v>
      </c>
      <c r="K561" s="3" t="n">
        <f aca="false">IF(AND(H561="United Kingdom",G561&lt;&gt;"",COUNTIFS($G$2:G561,G561,$H$2:H561,"United Kingdom")=1),1,0)</f>
        <v>0</v>
      </c>
    </row>
    <row r="562" customFormat="false" ht="15" hidden="false" customHeight="false" outlineLevel="0" collapsed="false">
      <c r="A562" s="0" t="s">
        <v>191</v>
      </c>
      <c r="B562" s="0" t="s">
        <v>68</v>
      </c>
      <c r="C562" s="0" t="s">
        <v>69</v>
      </c>
      <c r="D562" s="0" t="n">
        <v>24</v>
      </c>
      <c r="E562" s="2" t="n">
        <v>40578.5041666667</v>
      </c>
      <c r="F562" s="0" t="n">
        <v>1.26</v>
      </c>
      <c r="G562" s="0" t="n">
        <v>15312</v>
      </c>
      <c r="H562" s="3" t="s">
        <v>124</v>
      </c>
      <c r="I562" s="4" t="n">
        <f aca="false">D562*F562</f>
        <v>30.24</v>
      </c>
      <c r="J562" s="3" t="n">
        <f aca="false">IF(AND(LEFT(A562,1)&lt;&gt;"C",D562&gt;0,F562&gt;0),1,0)</f>
        <v>1</v>
      </c>
      <c r="K562" s="3" t="n">
        <f aca="false">IF(AND(H562="United Kingdom",G562&lt;&gt;"",COUNTIFS($G$2:G562,G562,$H$2:H562,"United Kingdom")=1),1,0)</f>
        <v>0</v>
      </c>
    </row>
    <row r="563" customFormat="false" ht="15" hidden="false" customHeight="false" outlineLevel="0" collapsed="false">
      <c r="A563" s="0" t="s">
        <v>191</v>
      </c>
      <c r="B563" s="0" t="s">
        <v>37</v>
      </c>
      <c r="C563" s="0" t="s">
        <v>38</v>
      </c>
      <c r="D563" s="0" t="n">
        <v>24</v>
      </c>
      <c r="E563" s="2" t="n">
        <v>40578.5041666667</v>
      </c>
      <c r="F563" s="0" t="n">
        <v>1.82</v>
      </c>
      <c r="G563" s="0" t="n">
        <v>15312</v>
      </c>
      <c r="H563" s="3" t="s">
        <v>124</v>
      </c>
      <c r="I563" s="4" t="n">
        <f aca="false">D563*F563</f>
        <v>43.68</v>
      </c>
      <c r="J563" s="3" t="n">
        <f aca="false">IF(AND(LEFT(A563,1)&lt;&gt;"C",D563&gt;0,F563&gt;0),1,0)</f>
        <v>1</v>
      </c>
      <c r="K563" s="3" t="n">
        <f aca="false">IF(AND(H563="United Kingdom",G563&lt;&gt;"",COUNTIFS($G$2:G563,G563,$H$2:H563,"United Kingdom")=1),1,0)</f>
        <v>0</v>
      </c>
    </row>
    <row r="564" customFormat="false" ht="15" hidden="false" customHeight="false" outlineLevel="0" collapsed="false">
      <c r="A564" s="0" t="s">
        <v>191</v>
      </c>
      <c r="B564" s="0" t="s">
        <v>113</v>
      </c>
      <c r="C564" s="0" t="s">
        <v>114</v>
      </c>
      <c r="D564" s="0" t="n">
        <v>12</v>
      </c>
      <c r="E564" s="2" t="n">
        <v>40578.5041666667</v>
      </c>
      <c r="F564" s="0" t="n">
        <v>3.57</v>
      </c>
      <c r="G564" s="0" t="n">
        <v>15312</v>
      </c>
      <c r="H564" s="3" t="s">
        <v>124</v>
      </c>
      <c r="I564" s="4" t="n">
        <f aca="false">D564*F564</f>
        <v>42.84</v>
      </c>
      <c r="J564" s="3" t="n">
        <f aca="false">IF(AND(LEFT(A564,1)&lt;&gt;"C",D564&gt;0,F564&gt;0),1,0)</f>
        <v>1</v>
      </c>
      <c r="K564" s="3" t="n">
        <f aca="false">IF(AND(H564="United Kingdom",G564&lt;&gt;"",COUNTIFS($G$2:G564,G564,$H$2:H564,"United Kingdom")=1),1,0)</f>
        <v>0</v>
      </c>
    </row>
    <row r="565" customFormat="false" ht="15" hidden="false" customHeight="false" outlineLevel="0" collapsed="false">
      <c r="A565" s="0" t="s">
        <v>191</v>
      </c>
      <c r="B565" s="0" t="s">
        <v>34</v>
      </c>
      <c r="C565" s="0" t="s">
        <v>35</v>
      </c>
      <c r="D565" s="0" t="n">
        <v>12</v>
      </c>
      <c r="E565" s="2" t="n">
        <v>40578.5041666667</v>
      </c>
      <c r="F565" s="0" t="n">
        <v>2.38</v>
      </c>
      <c r="G565" s="0" t="n">
        <v>15312</v>
      </c>
      <c r="H565" s="3" t="s">
        <v>124</v>
      </c>
      <c r="I565" s="4" t="n">
        <f aca="false">D565*F565</f>
        <v>28.56</v>
      </c>
      <c r="J565" s="3" t="n">
        <f aca="false">IF(AND(LEFT(A565,1)&lt;&gt;"C",D565&gt;0,F565&gt;0),1,0)</f>
        <v>1</v>
      </c>
      <c r="K565" s="3" t="n">
        <f aca="false">IF(AND(H565="United Kingdom",G565&lt;&gt;"",COUNTIFS($G$2:G565,G565,$H$2:H565,"United Kingdom")=1),1,0)</f>
        <v>0</v>
      </c>
    </row>
    <row r="566" customFormat="false" ht="15" hidden="false" customHeight="false" outlineLevel="0" collapsed="false">
      <c r="A566" s="0" t="s">
        <v>191</v>
      </c>
      <c r="B566" s="0" t="s">
        <v>15</v>
      </c>
      <c r="C566" s="0" t="s">
        <v>16</v>
      </c>
      <c r="D566" s="0" t="n">
        <v>3</v>
      </c>
      <c r="E566" s="2" t="n">
        <v>40578.5041666667</v>
      </c>
      <c r="F566" s="0" t="n">
        <v>3.18</v>
      </c>
      <c r="G566" s="0" t="n">
        <v>15312</v>
      </c>
      <c r="H566" s="3" t="s">
        <v>124</v>
      </c>
      <c r="I566" s="4" t="n">
        <f aca="false">D566*F566</f>
        <v>9.54</v>
      </c>
      <c r="J566" s="3" t="n">
        <f aca="false">IF(AND(LEFT(A566,1)&lt;&gt;"C",D566&gt;0,F566&gt;0),1,0)</f>
        <v>1</v>
      </c>
      <c r="K566" s="3" t="n">
        <f aca="false">IF(AND(H566="United Kingdom",G566&lt;&gt;"",COUNTIFS($G$2:G566,G566,$H$2:H566,"United Kingdom")=1),1,0)</f>
        <v>0</v>
      </c>
    </row>
    <row r="567" customFormat="false" ht="15" hidden="false" customHeight="false" outlineLevel="0" collapsed="false">
      <c r="A567" s="0" t="s">
        <v>191</v>
      </c>
      <c r="B567" s="0" t="s">
        <v>39</v>
      </c>
      <c r="C567" s="0" t="s">
        <v>40</v>
      </c>
      <c r="D567" s="0" t="n">
        <v>72</v>
      </c>
      <c r="E567" s="2" t="n">
        <v>40578.5041666667</v>
      </c>
      <c r="F567" s="0" t="n">
        <v>2.58</v>
      </c>
      <c r="G567" s="0" t="n">
        <v>15312</v>
      </c>
      <c r="H567" s="3" t="s">
        <v>124</v>
      </c>
      <c r="I567" s="4" t="n">
        <f aca="false">D567*F567</f>
        <v>185.76</v>
      </c>
      <c r="J567" s="3" t="n">
        <f aca="false">IF(AND(LEFT(A567,1)&lt;&gt;"C",D567&gt;0,F567&gt;0),1,0)</f>
        <v>1</v>
      </c>
      <c r="K567" s="3" t="n">
        <f aca="false">IF(AND(H567="United Kingdom",G567&lt;&gt;"",COUNTIFS($G$2:G567,G567,$H$2:H567,"United Kingdom")=1),1,0)</f>
        <v>0</v>
      </c>
    </row>
    <row r="568" customFormat="false" ht="15" hidden="false" customHeight="false" outlineLevel="0" collapsed="false">
      <c r="A568" s="0" t="s">
        <v>191</v>
      </c>
      <c r="B568" s="0" t="s">
        <v>45</v>
      </c>
      <c r="C568" s="0" t="s">
        <v>46</v>
      </c>
      <c r="D568" s="0" t="n">
        <v>72</v>
      </c>
      <c r="E568" s="2" t="n">
        <v>40578.5041666667</v>
      </c>
      <c r="F568" s="0" t="n">
        <v>4.55</v>
      </c>
      <c r="G568" s="0" t="n">
        <v>15312</v>
      </c>
      <c r="H568" s="3" t="s">
        <v>124</v>
      </c>
      <c r="I568" s="4" t="n">
        <f aca="false">D568*F568</f>
        <v>327.6</v>
      </c>
      <c r="J568" s="3" t="n">
        <f aca="false">IF(AND(LEFT(A568,1)&lt;&gt;"C",D568&gt;0,F568&gt;0),1,0)</f>
        <v>1</v>
      </c>
      <c r="K568" s="3" t="n">
        <f aca="false">IF(AND(H568="United Kingdom",G568&lt;&gt;"",COUNTIFS($G$2:G568,G568,$H$2:H568,"United Kingdom")=1),1,0)</f>
        <v>0</v>
      </c>
    </row>
    <row r="569" customFormat="false" ht="15" hidden="false" customHeight="false" outlineLevel="0" collapsed="false">
      <c r="A569" s="0" t="s">
        <v>191</v>
      </c>
      <c r="B569" s="0" t="s">
        <v>52</v>
      </c>
      <c r="C569" s="0" t="s">
        <v>53</v>
      </c>
      <c r="D569" s="0" t="n">
        <v>6</v>
      </c>
      <c r="E569" s="2" t="n">
        <v>40578.5041666667</v>
      </c>
      <c r="F569" s="0" t="n">
        <v>4.16</v>
      </c>
      <c r="G569" s="0" t="n">
        <v>15312</v>
      </c>
      <c r="H569" s="3" t="s">
        <v>124</v>
      </c>
      <c r="I569" s="4" t="n">
        <f aca="false">D569*F569</f>
        <v>24.96</v>
      </c>
      <c r="J569" s="3" t="n">
        <f aca="false">IF(AND(LEFT(A569,1)&lt;&gt;"C",D569&gt;0,F569&gt;0),1,0)</f>
        <v>1</v>
      </c>
      <c r="K569" s="3" t="n">
        <f aca="false">IF(AND(H569="United Kingdom",G569&lt;&gt;"",COUNTIFS($G$2:G569,G569,$H$2:H569,"United Kingdom")=1),1,0)</f>
        <v>0</v>
      </c>
    </row>
    <row r="570" customFormat="false" ht="15" hidden="false" customHeight="false" outlineLevel="0" collapsed="false">
      <c r="A570" s="0" t="s">
        <v>191</v>
      </c>
      <c r="B570" s="0" t="s">
        <v>12</v>
      </c>
      <c r="C570" s="0" t="s">
        <v>13</v>
      </c>
      <c r="D570" s="0" t="n">
        <v>18</v>
      </c>
      <c r="E570" s="2" t="n">
        <v>40578.5041666667</v>
      </c>
      <c r="F570" s="0" t="n">
        <v>3.33</v>
      </c>
      <c r="G570" s="0" t="n">
        <v>15312</v>
      </c>
      <c r="H570" s="3" t="s">
        <v>124</v>
      </c>
      <c r="I570" s="4" t="n">
        <f aca="false">D570*F570</f>
        <v>59.94</v>
      </c>
      <c r="J570" s="3" t="n">
        <f aca="false">IF(AND(LEFT(A570,1)&lt;&gt;"C",D570&gt;0,F570&gt;0),1,0)</f>
        <v>1</v>
      </c>
      <c r="K570" s="3" t="n">
        <f aca="false">IF(AND(H570="United Kingdom",G570&lt;&gt;"",COUNTIFS($G$2:G570,G570,$H$2:H570,"United Kingdom")=1),1,0)</f>
        <v>0</v>
      </c>
    </row>
    <row r="571" customFormat="false" ht="15" hidden="false" customHeight="false" outlineLevel="0" collapsed="false">
      <c r="A571" s="0" t="s">
        <v>191</v>
      </c>
      <c r="B571" s="0" t="s">
        <v>54</v>
      </c>
      <c r="C571" s="0" t="s">
        <v>55</v>
      </c>
      <c r="D571" s="0" t="n">
        <v>3</v>
      </c>
      <c r="E571" s="2" t="n">
        <v>40578.5041666667</v>
      </c>
      <c r="F571" s="0" t="n">
        <v>0.99</v>
      </c>
      <c r="G571" s="0" t="n">
        <v>15312</v>
      </c>
      <c r="H571" s="3" t="s">
        <v>124</v>
      </c>
      <c r="I571" s="4" t="n">
        <f aca="false">D571*F571</f>
        <v>2.97</v>
      </c>
      <c r="J571" s="3" t="n">
        <f aca="false">IF(AND(LEFT(A571,1)&lt;&gt;"C",D571&gt;0,F571&gt;0),1,0)</f>
        <v>1</v>
      </c>
      <c r="K571" s="3" t="n">
        <f aca="false">IF(AND(H571="United Kingdom",G571&lt;&gt;"",COUNTIFS($G$2:G571,G571,$H$2:H571,"United Kingdom")=1),1,0)</f>
        <v>0</v>
      </c>
    </row>
    <row r="572" customFormat="false" ht="15" hidden="false" customHeight="false" outlineLevel="0" collapsed="false">
      <c r="A572" s="0" t="s">
        <v>191</v>
      </c>
      <c r="B572" s="0" t="s">
        <v>60</v>
      </c>
      <c r="C572" s="0" t="s">
        <v>61</v>
      </c>
      <c r="D572" s="0" t="n">
        <v>36</v>
      </c>
      <c r="E572" s="2" t="n">
        <v>40578.5041666667</v>
      </c>
      <c r="F572" s="0" t="n">
        <v>0.63</v>
      </c>
      <c r="G572" s="0" t="n">
        <v>15312</v>
      </c>
      <c r="H572" s="3" t="s">
        <v>124</v>
      </c>
      <c r="I572" s="4" t="n">
        <f aca="false">D572*F572</f>
        <v>22.68</v>
      </c>
      <c r="J572" s="3" t="n">
        <f aca="false">IF(AND(LEFT(A572,1)&lt;&gt;"C",D572&gt;0,F572&gt;0),1,0)</f>
        <v>1</v>
      </c>
      <c r="K572" s="3" t="n">
        <f aca="false">IF(AND(H572="United Kingdom",G572&lt;&gt;"",COUNTIFS($G$2:G572,G572,$H$2:H572,"United Kingdom")=1),1,0)</f>
        <v>0</v>
      </c>
    </row>
    <row r="573" customFormat="false" ht="15" hidden="false" customHeight="false" outlineLevel="0" collapsed="false">
      <c r="A573" s="0" t="s">
        <v>192</v>
      </c>
      <c r="B573" s="0" t="s">
        <v>48</v>
      </c>
      <c r="C573" s="0" t="s">
        <v>49</v>
      </c>
      <c r="D573" s="0" t="n">
        <v>3</v>
      </c>
      <c r="E573" s="2" t="n">
        <v>40579.3618055556</v>
      </c>
      <c r="F573" s="0" t="n">
        <v>1.35</v>
      </c>
      <c r="G573" s="0" t="n">
        <v>15100</v>
      </c>
      <c r="H573" s="3" t="s">
        <v>14</v>
      </c>
      <c r="I573" s="4" t="n">
        <f aca="false">D573*F573</f>
        <v>4.05</v>
      </c>
      <c r="J573" s="3" t="n">
        <f aca="false">IF(AND(LEFT(A573,1)&lt;&gt;"C",D573&gt;0,F573&gt;0),1,0)</f>
        <v>1</v>
      </c>
      <c r="K573" s="3" t="n">
        <f aca="false">IF(AND(H573="United Kingdom",G573&lt;&gt;"",COUNTIFS($G$2:G573,G573,$H$2:H573,"United Kingdom")=1),1,0)</f>
        <v>1</v>
      </c>
    </row>
    <row r="574" customFormat="false" ht="15" hidden="false" customHeight="false" outlineLevel="0" collapsed="false">
      <c r="A574" s="0" t="s">
        <v>193</v>
      </c>
      <c r="B574" s="0" t="s">
        <v>80</v>
      </c>
      <c r="C574" s="0" t="s">
        <v>81</v>
      </c>
      <c r="D574" s="0" t="n">
        <v>6</v>
      </c>
      <c r="E574" s="2" t="n">
        <v>40579.6618055556</v>
      </c>
      <c r="F574" s="0" t="n">
        <v>1.53</v>
      </c>
      <c r="G574" s="0" t="n">
        <v>17379</v>
      </c>
      <c r="H574" s="3" t="s">
        <v>14</v>
      </c>
      <c r="I574" s="4" t="n">
        <f aca="false">D574*F574</f>
        <v>9.18</v>
      </c>
      <c r="J574" s="3" t="n">
        <f aca="false">IF(AND(LEFT(A574,1)&lt;&gt;"C",D574&gt;0,F574&gt;0),1,0)</f>
        <v>1</v>
      </c>
      <c r="K574" s="3" t="n">
        <f aca="false">IF(AND(H574="United Kingdom",G574&lt;&gt;"",COUNTIFS($G$2:G574,G574,$H$2:H574,"United Kingdom")=1),1,0)</f>
        <v>1</v>
      </c>
    </row>
    <row r="575" customFormat="false" ht="15" hidden="false" customHeight="false" outlineLevel="0" collapsed="false">
      <c r="A575" s="0" t="s">
        <v>194</v>
      </c>
      <c r="B575" s="0" t="s">
        <v>15</v>
      </c>
      <c r="C575" s="0" t="s">
        <v>16</v>
      </c>
      <c r="D575" s="0" t="n">
        <v>12</v>
      </c>
      <c r="E575" s="2" t="n">
        <v>40579.7305555556</v>
      </c>
      <c r="F575" s="0" t="n">
        <v>3.18</v>
      </c>
      <c r="G575" s="0" t="n">
        <v>16908</v>
      </c>
      <c r="H575" s="3" t="s">
        <v>14</v>
      </c>
      <c r="I575" s="4" t="n">
        <f aca="false">D575*F575</f>
        <v>38.16</v>
      </c>
      <c r="J575" s="3" t="n">
        <f aca="false">IF(AND(LEFT(A575,1)&lt;&gt;"C",D575&gt;0,F575&gt;0),1,0)</f>
        <v>1</v>
      </c>
      <c r="K575" s="3" t="n">
        <f aca="false">IF(AND(H575="United Kingdom",G575&lt;&gt;"",COUNTIFS($G$2:G575,G575,$H$2:H575,"United Kingdom")=1),1,0)</f>
        <v>1</v>
      </c>
    </row>
    <row r="576" customFormat="false" ht="15" hidden="false" customHeight="false" outlineLevel="0" collapsed="false">
      <c r="A576" s="0" t="s">
        <v>195</v>
      </c>
      <c r="B576" s="0" t="s">
        <v>20</v>
      </c>
      <c r="C576" s="0" t="s">
        <v>21</v>
      </c>
      <c r="D576" s="0" t="n">
        <v>4</v>
      </c>
      <c r="E576" s="2" t="n">
        <v>40580.3597222222</v>
      </c>
      <c r="F576" s="0" t="n">
        <v>4.24</v>
      </c>
      <c r="G576" s="0" t="n">
        <v>17632</v>
      </c>
      <c r="H576" s="3" t="s">
        <v>57</v>
      </c>
      <c r="I576" s="4" t="n">
        <f aca="false">D576*F576</f>
        <v>16.96</v>
      </c>
      <c r="J576" s="3" t="n">
        <f aca="false">IF(AND(LEFT(A576,1)&lt;&gt;"C",D576&gt;0,F576&gt;0),1,0)</f>
        <v>1</v>
      </c>
      <c r="K576" s="3" t="n">
        <f aca="false">IF(AND(H576="United Kingdom",G576&lt;&gt;"",COUNTIFS($G$2:G576,G576,$H$2:H576,"United Kingdom")=1),1,0)</f>
        <v>0</v>
      </c>
    </row>
    <row r="577" customFormat="false" ht="15" hidden="false" customHeight="false" outlineLevel="0" collapsed="false">
      <c r="A577" s="0" t="s">
        <v>195</v>
      </c>
      <c r="B577" s="0" t="s">
        <v>48</v>
      </c>
      <c r="C577" s="0" t="s">
        <v>49</v>
      </c>
      <c r="D577" s="0" t="n">
        <v>1</v>
      </c>
      <c r="E577" s="2" t="n">
        <v>40580.3597222222</v>
      </c>
      <c r="F577" s="0" t="n">
        <v>1.35</v>
      </c>
      <c r="G577" s="0" t="n">
        <v>17632</v>
      </c>
      <c r="H577" s="3" t="s">
        <v>57</v>
      </c>
      <c r="I577" s="4" t="n">
        <f aca="false">D577*F577</f>
        <v>1.35</v>
      </c>
      <c r="J577" s="3" t="n">
        <f aca="false">IF(AND(LEFT(A577,1)&lt;&gt;"C",D577&gt;0,F577&gt;0),1,0)</f>
        <v>1</v>
      </c>
      <c r="K577" s="3" t="n">
        <f aca="false">IF(AND(H577="United Kingdom",G577&lt;&gt;"",COUNTIFS($G$2:G577,G577,$H$2:H577,"United Kingdom")=1),1,0)</f>
        <v>0</v>
      </c>
    </row>
    <row r="578" customFormat="false" ht="15" hidden="false" customHeight="false" outlineLevel="0" collapsed="false">
      <c r="A578" s="0" t="s">
        <v>196</v>
      </c>
      <c r="B578" s="0" t="s">
        <v>72</v>
      </c>
      <c r="C578" s="0" t="s">
        <v>73</v>
      </c>
      <c r="D578" s="0" t="n">
        <v>192</v>
      </c>
      <c r="E578" s="2" t="n">
        <v>40580.6444444444</v>
      </c>
      <c r="F578" s="0" t="n">
        <v>2.69</v>
      </c>
      <c r="G578" s="0" t="n">
        <v>16066</v>
      </c>
      <c r="H578" s="3" t="s">
        <v>14</v>
      </c>
      <c r="I578" s="4" t="n">
        <f aca="false">D578*F578</f>
        <v>516.48</v>
      </c>
      <c r="J578" s="3" t="n">
        <f aca="false">IF(AND(LEFT(A578,1)&lt;&gt;"C",D578&gt;0,F578&gt;0),1,0)</f>
        <v>1</v>
      </c>
      <c r="K578" s="3" t="n">
        <f aca="false">IF(AND(H578="United Kingdom",G578&lt;&gt;"",COUNTIFS($G$2:G578,G578,$H$2:H578,"United Kingdom")=1),1,0)</f>
        <v>1</v>
      </c>
    </row>
    <row r="579" customFormat="false" ht="15" hidden="false" customHeight="false" outlineLevel="0" collapsed="false">
      <c r="A579" s="0" t="s">
        <v>197</v>
      </c>
      <c r="B579" s="0" t="s">
        <v>52</v>
      </c>
      <c r="C579" s="0" t="s">
        <v>53</v>
      </c>
      <c r="D579" s="0" t="n">
        <v>2</v>
      </c>
      <c r="E579" s="2" t="n">
        <v>40580.7083333333</v>
      </c>
      <c r="F579" s="0" t="n">
        <v>4.16</v>
      </c>
      <c r="G579" s="0" t="n">
        <v>12972</v>
      </c>
      <c r="H579" s="3" t="s">
        <v>14</v>
      </c>
      <c r="I579" s="4" t="n">
        <f aca="false">D579*F579</f>
        <v>8.32</v>
      </c>
      <c r="J579" s="3" t="n">
        <f aca="false">IF(AND(LEFT(A579,1)&lt;&gt;"C",D579&gt;0,F579&gt;0),1,0)</f>
        <v>1</v>
      </c>
      <c r="K579" s="3" t="n">
        <f aca="false">IF(AND(H579="United Kingdom",G579&lt;&gt;"",COUNTIFS($G$2:G579,G579,$H$2:H579,"United Kingdom")=1),1,0)</f>
        <v>1</v>
      </c>
    </row>
    <row r="580" customFormat="false" ht="15" hidden="false" customHeight="false" outlineLevel="0" collapsed="false">
      <c r="A580" s="0" t="s">
        <v>197</v>
      </c>
      <c r="B580" s="0" t="s">
        <v>65</v>
      </c>
      <c r="C580" s="0" t="s">
        <v>66</v>
      </c>
      <c r="D580" s="0" t="n">
        <v>1</v>
      </c>
      <c r="E580" s="2" t="n">
        <v>40580.7083333333</v>
      </c>
      <c r="F580" s="0" t="n">
        <v>4.75</v>
      </c>
      <c r="G580" s="0" t="n">
        <v>12972</v>
      </c>
      <c r="H580" s="3" t="s">
        <v>14</v>
      </c>
      <c r="I580" s="4" t="n">
        <f aca="false">D580*F580</f>
        <v>4.75</v>
      </c>
      <c r="J580" s="3" t="n">
        <f aca="false">IF(AND(LEFT(A580,1)&lt;&gt;"C",D580&gt;0,F580&gt;0),1,0)</f>
        <v>1</v>
      </c>
      <c r="K580" s="3" t="n">
        <f aca="false">IF(AND(H580="United Kingdom",G580&lt;&gt;"",COUNTIFS($G$2:G580,G580,$H$2:H580,"United Kingdom")=1),1,0)</f>
        <v>0</v>
      </c>
    </row>
    <row r="581" customFormat="false" ht="15" hidden="false" customHeight="false" outlineLevel="0" collapsed="false">
      <c r="A581" s="0" t="s">
        <v>197</v>
      </c>
      <c r="B581" s="0" t="s">
        <v>43</v>
      </c>
      <c r="C581" s="0" t="s">
        <v>44</v>
      </c>
      <c r="D581" s="0" t="n">
        <v>8</v>
      </c>
      <c r="E581" s="2" t="n">
        <v>40580.7083333333</v>
      </c>
      <c r="F581" s="0" t="n">
        <v>1.35</v>
      </c>
      <c r="G581" s="0" t="n">
        <v>12972</v>
      </c>
      <c r="H581" s="3" t="s">
        <v>14</v>
      </c>
      <c r="I581" s="4" t="n">
        <f aca="false">D581*F581</f>
        <v>10.8</v>
      </c>
      <c r="J581" s="3" t="n">
        <f aca="false">IF(AND(LEFT(A581,1)&lt;&gt;"C",D581&gt;0,F581&gt;0),1,0)</f>
        <v>1</v>
      </c>
      <c r="K581" s="3" t="n">
        <f aca="false">IF(AND(H581="United Kingdom",G581&lt;&gt;"",COUNTIFS($G$2:G581,G581,$H$2:H581,"United Kingdom")=1),1,0)</f>
        <v>0</v>
      </c>
    </row>
    <row r="582" customFormat="false" ht="15" hidden="false" customHeight="false" outlineLevel="0" collapsed="false">
      <c r="A582" s="0" t="s">
        <v>197</v>
      </c>
      <c r="B582" s="0" t="s">
        <v>34</v>
      </c>
      <c r="C582" s="0" t="s">
        <v>35</v>
      </c>
      <c r="D582" s="0" t="n">
        <v>8</v>
      </c>
      <c r="E582" s="2" t="n">
        <v>40580.7083333333</v>
      </c>
      <c r="F582" s="0" t="n">
        <v>2.38</v>
      </c>
      <c r="G582" s="0" t="n">
        <v>12972</v>
      </c>
      <c r="H582" s="3" t="s">
        <v>14</v>
      </c>
      <c r="I582" s="4" t="n">
        <f aca="false">D582*F582</f>
        <v>19.04</v>
      </c>
      <c r="J582" s="3" t="n">
        <f aca="false">IF(AND(LEFT(A582,1)&lt;&gt;"C",D582&gt;0,F582&gt;0),1,0)</f>
        <v>1</v>
      </c>
      <c r="K582" s="3" t="n">
        <f aca="false">IF(AND(H582="United Kingdom",G582&lt;&gt;"",COUNTIFS($G$2:G582,G582,$H$2:H582,"United Kingdom")=1),1,0)</f>
        <v>0</v>
      </c>
    </row>
    <row r="583" customFormat="false" ht="15" hidden="false" customHeight="false" outlineLevel="0" collapsed="false">
      <c r="A583" s="0" t="s">
        <v>197</v>
      </c>
      <c r="B583" s="0" t="s">
        <v>37</v>
      </c>
      <c r="C583" s="0" t="s">
        <v>38</v>
      </c>
      <c r="D583" s="0" t="n">
        <v>2</v>
      </c>
      <c r="E583" s="2" t="n">
        <v>40580.7083333333</v>
      </c>
      <c r="F583" s="0" t="n">
        <v>1.82</v>
      </c>
      <c r="G583" s="0" t="n">
        <v>12972</v>
      </c>
      <c r="H583" s="3" t="s">
        <v>14</v>
      </c>
      <c r="I583" s="4" t="n">
        <f aca="false">D583*F583</f>
        <v>3.64</v>
      </c>
      <c r="J583" s="3" t="n">
        <f aca="false">IF(AND(LEFT(A583,1)&lt;&gt;"C",D583&gt;0,F583&gt;0),1,0)</f>
        <v>1</v>
      </c>
      <c r="K583" s="3" t="n">
        <f aca="false">IF(AND(H583="United Kingdom",G583&lt;&gt;"",COUNTIFS($G$2:G583,G583,$H$2:H583,"United Kingdom")=1),1,0)</f>
        <v>0</v>
      </c>
    </row>
    <row r="584" customFormat="false" ht="15" hidden="false" customHeight="false" outlineLevel="0" collapsed="false">
      <c r="A584" s="0" t="s">
        <v>197</v>
      </c>
      <c r="B584" s="0" t="s">
        <v>48</v>
      </c>
      <c r="C584" s="0" t="s">
        <v>49</v>
      </c>
      <c r="D584" s="0" t="n">
        <v>6</v>
      </c>
      <c r="E584" s="2" t="n">
        <v>40580.7083333333</v>
      </c>
      <c r="F584" s="0" t="n">
        <v>1.35</v>
      </c>
      <c r="G584" s="0" t="n">
        <v>12972</v>
      </c>
      <c r="H584" s="3" t="s">
        <v>14</v>
      </c>
      <c r="I584" s="4" t="n">
        <f aca="false">D584*F584</f>
        <v>8.1</v>
      </c>
      <c r="J584" s="3" t="n">
        <f aca="false">IF(AND(LEFT(A584,1)&lt;&gt;"C",D584&gt;0,F584&gt;0),1,0)</f>
        <v>1</v>
      </c>
      <c r="K584" s="3" t="n">
        <f aca="false">IF(AND(H584="United Kingdom",G584&lt;&gt;"",COUNTIFS($G$2:G584,G584,$H$2:H584,"United Kingdom")=1),1,0)</f>
        <v>0</v>
      </c>
    </row>
    <row r="585" customFormat="false" ht="15" hidden="false" customHeight="false" outlineLevel="0" collapsed="false">
      <c r="A585" s="0" t="s">
        <v>197</v>
      </c>
      <c r="B585" s="0" t="s">
        <v>54</v>
      </c>
      <c r="C585" s="0" t="s">
        <v>55</v>
      </c>
      <c r="D585" s="0" t="n">
        <v>2</v>
      </c>
      <c r="E585" s="2" t="n">
        <v>40580.7083333333</v>
      </c>
      <c r="F585" s="0" t="n">
        <v>0.99</v>
      </c>
      <c r="G585" s="0" t="n">
        <v>12972</v>
      </c>
      <c r="H585" s="3" t="s">
        <v>14</v>
      </c>
      <c r="I585" s="4" t="n">
        <f aca="false">D585*F585</f>
        <v>1.98</v>
      </c>
      <c r="J585" s="3" t="n">
        <f aca="false">IF(AND(LEFT(A585,1)&lt;&gt;"C",D585&gt;0,F585&gt;0),1,0)</f>
        <v>1</v>
      </c>
      <c r="K585" s="3" t="n">
        <f aca="false">IF(AND(H585="United Kingdom",G585&lt;&gt;"",COUNTIFS($G$2:G585,G585,$H$2:H585,"United Kingdom")=1),1,0)</f>
        <v>0</v>
      </c>
    </row>
    <row r="586" customFormat="false" ht="15" hidden="false" customHeight="false" outlineLevel="0" collapsed="false">
      <c r="A586" s="0" t="s">
        <v>197</v>
      </c>
      <c r="B586" s="0" t="s">
        <v>27</v>
      </c>
      <c r="C586" s="0" t="s">
        <v>28</v>
      </c>
      <c r="D586" s="0" t="n">
        <v>8</v>
      </c>
      <c r="E586" s="2" t="n">
        <v>40580.7083333333</v>
      </c>
      <c r="F586" s="0" t="n">
        <v>4.55</v>
      </c>
      <c r="G586" s="0" t="n">
        <v>12972</v>
      </c>
      <c r="H586" s="3" t="s">
        <v>14</v>
      </c>
      <c r="I586" s="4" t="n">
        <f aca="false">D586*F586</f>
        <v>36.4</v>
      </c>
      <c r="J586" s="3" t="n">
        <f aca="false">IF(AND(LEFT(A586,1)&lt;&gt;"C",D586&gt;0,F586&gt;0),1,0)</f>
        <v>1</v>
      </c>
      <c r="K586" s="3" t="n">
        <f aca="false">IF(AND(H586="United Kingdom",G586&lt;&gt;"",COUNTIFS($G$2:G586,G586,$H$2:H586,"United Kingdom")=1),1,0)</f>
        <v>0</v>
      </c>
    </row>
    <row r="587" customFormat="false" ht="15" hidden="false" customHeight="false" outlineLevel="0" collapsed="false">
      <c r="A587" s="0" t="s">
        <v>197</v>
      </c>
      <c r="B587" s="0" t="s">
        <v>39</v>
      </c>
      <c r="C587" s="0" t="s">
        <v>40</v>
      </c>
      <c r="D587" s="0" t="n">
        <v>2</v>
      </c>
      <c r="E587" s="2" t="n">
        <v>40580.7083333333</v>
      </c>
      <c r="F587" s="0" t="n">
        <v>2.58</v>
      </c>
      <c r="G587" s="0" t="n">
        <v>12972</v>
      </c>
      <c r="H587" s="3" t="s">
        <v>14</v>
      </c>
      <c r="I587" s="4" t="n">
        <f aca="false">D587*F587</f>
        <v>5.16</v>
      </c>
      <c r="J587" s="3" t="n">
        <f aca="false">IF(AND(LEFT(A587,1)&lt;&gt;"C",D587&gt;0,F587&gt;0),1,0)</f>
        <v>1</v>
      </c>
      <c r="K587" s="3" t="n">
        <f aca="false">IF(AND(H587="United Kingdom",G587&lt;&gt;"",COUNTIFS($G$2:G587,G587,$H$2:H587,"United Kingdom")=1),1,0)</f>
        <v>0</v>
      </c>
    </row>
    <row r="588" customFormat="false" ht="15" hidden="false" customHeight="false" outlineLevel="0" collapsed="false">
      <c r="A588" s="0" t="s">
        <v>197</v>
      </c>
      <c r="B588" s="0" t="s">
        <v>29</v>
      </c>
      <c r="C588" s="0" t="s">
        <v>30</v>
      </c>
      <c r="D588" s="0" t="n">
        <v>4</v>
      </c>
      <c r="E588" s="2" t="n">
        <v>40580.7083333333</v>
      </c>
      <c r="F588" s="0" t="n">
        <v>5.79</v>
      </c>
      <c r="G588" s="0" t="n">
        <v>12972</v>
      </c>
      <c r="H588" s="3" t="s">
        <v>14</v>
      </c>
      <c r="I588" s="4" t="n">
        <f aca="false">D588*F588</f>
        <v>23.16</v>
      </c>
      <c r="J588" s="3" t="n">
        <f aca="false">IF(AND(LEFT(A588,1)&lt;&gt;"C",D588&gt;0,F588&gt;0),1,0)</f>
        <v>1</v>
      </c>
      <c r="K588" s="3" t="n">
        <f aca="false">IF(AND(H588="United Kingdom",G588&lt;&gt;"",COUNTIFS($G$2:G588,G588,$H$2:H588,"United Kingdom")=1),1,0)</f>
        <v>0</v>
      </c>
    </row>
    <row r="589" customFormat="false" ht="15" hidden="false" customHeight="false" outlineLevel="0" collapsed="false">
      <c r="A589" s="0" t="s">
        <v>197</v>
      </c>
      <c r="B589" s="0" t="s">
        <v>32</v>
      </c>
      <c r="C589" s="0" t="s">
        <v>33</v>
      </c>
      <c r="D589" s="0" t="n">
        <v>6</v>
      </c>
      <c r="E589" s="2" t="n">
        <v>40580.7083333333</v>
      </c>
      <c r="F589" s="0" t="n">
        <v>1.19</v>
      </c>
      <c r="G589" s="0" t="n">
        <v>12972</v>
      </c>
      <c r="H589" s="3" t="s">
        <v>14</v>
      </c>
      <c r="I589" s="4" t="n">
        <f aca="false">D589*F589</f>
        <v>7.14</v>
      </c>
      <c r="J589" s="3" t="n">
        <f aca="false">IF(AND(LEFT(A589,1)&lt;&gt;"C",D589&gt;0,F589&gt;0),1,0)</f>
        <v>1</v>
      </c>
      <c r="K589" s="3" t="n">
        <f aca="false">IF(AND(H589="United Kingdom",G589&lt;&gt;"",COUNTIFS($G$2:G589,G589,$H$2:H589,"United Kingdom")=1),1,0)</f>
        <v>0</v>
      </c>
    </row>
    <row r="590" customFormat="false" ht="15" hidden="false" customHeight="false" outlineLevel="0" collapsed="false">
      <c r="A590" s="0" t="s">
        <v>197</v>
      </c>
      <c r="B590" s="0" t="s">
        <v>75</v>
      </c>
      <c r="C590" s="0" t="s">
        <v>76</v>
      </c>
      <c r="D590" s="0" t="n">
        <v>4</v>
      </c>
      <c r="E590" s="2" t="n">
        <v>40580.7083333333</v>
      </c>
      <c r="F590" s="0" t="n">
        <v>1.97</v>
      </c>
      <c r="G590" s="0" t="n">
        <v>12972</v>
      </c>
      <c r="H590" s="3" t="s">
        <v>14</v>
      </c>
      <c r="I590" s="4" t="n">
        <f aca="false">D590*F590</f>
        <v>7.88</v>
      </c>
      <c r="J590" s="3" t="n">
        <f aca="false">IF(AND(LEFT(A590,1)&lt;&gt;"C",D590&gt;0,F590&gt;0),1,0)</f>
        <v>1</v>
      </c>
      <c r="K590" s="3" t="n">
        <f aca="false">IF(AND(H590="United Kingdom",G590&lt;&gt;"",COUNTIFS($G$2:G590,G590,$H$2:H590,"United Kingdom")=1),1,0)</f>
        <v>0</v>
      </c>
    </row>
    <row r="591" customFormat="false" ht="15" hidden="false" customHeight="false" outlineLevel="0" collapsed="false">
      <c r="A591" s="0" t="s">
        <v>197</v>
      </c>
      <c r="B591" s="0" t="s">
        <v>22</v>
      </c>
      <c r="C591" s="0" t="s">
        <v>23</v>
      </c>
      <c r="D591" s="0" t="n">
        <v>6</v>
      </c>
      <c r="E591" s="2" t="n">
        <v>40580.7083333333</v>
      </c>
      <c r="F591" s="0" t="n">
        <v>3.18</v>
      </c>
      <c r="G591" s="0" t="n">
        <v>12972</v>
      </c>
      <c r="H591" s="3" t="s">
        <v>14</v>
      </c>
      <c r="I591" s="4" t="n">
        <f aca="false">D591*F591</f>
        <v>19.08</v>
      </c>
      <c r="J591" s="3" t="n">
        <f aca="false">IF(AND(LEFT(A591,1)&lt;&gt;"C",D591&gt;0,F591&gt;0),1,0)</f>
        <v>1</v>
      </c>
      <c r="K591" s="3" t="n">
        <f aca="false">IF(AND(H591="United Kingdom",G591&lt;&gt;"",COUNTIFS($G$2:G591,G591,$H$2:H591,"United Kingdom")=1),1,0)</f>
        <v>0</v>
      </c>
    </row>
    <row r="592" customFormat="false" ht="15" hidden="false" customHeight="false" outlineLevel="0" collapsed="false">
      <c r="A592" s="0" t="s">
        <v>197</v>
      </c>
      <c r="B592" s="0" t="s">
        <v>12</v>
      </c>
      <c r="C592" s="0" t="s">
        <v>13</v>
      </c>
      <c r="D592" s="0" t="n">
        <v>12</v>
      </c>
      <c r="E592" s="2" t="n">
        <v>40580.7083333333</v>
      </c>
      <c r="F592" s="0" t="n">
        <v>3.33</v>
      </c>
      <c r="G592" s="0" t="n">
        <v>12972</v>
      </c>
      <c r="H592" s="3" t="s">
        <v>14</v>
      </c>
      <c r="I592" s="4" t="n">
        <f aca="false">D592*F592</f>
        <v>39.96</v>
      </c>
      <c r="J592" s="3" t="n">
        <f aca="false">IF(AND(LEFT(A592,1)&lt;&gt;"C",D592&gt;0,F592&gt;0),1,0)</f>
        <v>1</v>
      </c>
      <c r="K592" s="3" t="n">
        <f aca="false">IF(AND(H592="United Kingdom",G592&lt;&gt;"",COUNTIFS($G$2:G592,G592,$H$2:H592,"United Kingdom")=1),1,0)</f>
        <v>0</v>
      </c>
    </row>
    <row r="593" customFormat="false" ht="15" hidden="false" customHeight="false" outlineLevel="0" collapsed="false">
      <c r="A593" s="0" t="s">
        <v>197</v>
      </c>
      <c r="B593" s="0" t="s">
        <v>72</v>
      </c>
      <c r="C593" s="0" t="s">
        <v>73</v>
      </c>
      <c r="D593" s="0" t="n">
        <v>24</v>
      </c>
      <c r="E593" s="2" t="n">
        <v>40580.7083333333</v>
      </c>
      <c r="F593" s="0" t="n">
        <v>2.69</v>
      </c>
      <c r="G593" s="0" t="n">
        <v>12972</v>
      </c>
      <c r="H593" s="3" t="s">
        <v>14</v>
      </c>
      <c r="I593" s="4" t="n">
        <f aca="false">D593*F593</f>
        <v>64.56</v>
      </c>
      <c r="J593" s="3" t="n">
        <f aca="false">IF(AND(LEFT(A593,1)&lt;&gt;"C",D593&gt;0,F593&gt;0),1,0)</f>
        <v>1</v>
      </c>
      <c r="K593" s="3" t="n">
        <f aca="false">IF(AND(H593="United Kingdom",G593&lt;&gt;"",COUNTIFS($G$2:G593,G593,$H$2:H593,"United Kingdom")=1),1,0)</f>
        <v>0</v>
      </c>
    </row>
    <row r="594" customFormat="false" ht="15" hidden="false" customHeight="false" outlineLevel="0" collapsed="false">
      <c r="A594" s="0" t="s">
        <v>197</v>
      </c>
      <c r="B594" s="0" t="s">
        <v>63</v>
      </c>
      <c r="C594" s="0" t="s">
        <v>64</v>
      </c>
      <c r="D594" s="0" t="n">
        <v>8</v>
      </c>
      <c r="E594" s="2" t="n">
        <v>40580.7083333333</v>
      </c>
      <c r="F594" s="0" t="n">
        <v>2.43</v>
      </c>
      <c r="G594" s="0" t="n">
        <v>12972</v>
      </c>
      <c r="H594" s="3" t="s">
        <v>14</v>
      </c>
      <c r="I594" s="4" t="n">
        <f aca="false">D594*F594</f>
        <v>19.44</v>
      </c>
      <c r="J594" s="3" t="n">
        <f aca="false">IF(AND(LEFT(A594,1)&lt;&gt;"C",D594&gt;0,F594&gt;0),1,0)</f>
        <v>1</v>
      </c>
      <c r="K594" s="3" t="n">
        <f aca="false">IF(AND(H594="United Kingdom",G594&lt;&gt;"",COUNTIFS($G$2:G594,G594,$H$2:H594,"United Kingdom")=1),1,0)</f>
        <v>0</v>
      </c>
    </row>
    <row r="595" customFormat="false" ht="15" hidden="false" customHeight="false" outlineLevel="0" collapsed="false">
      <c r="A595" s="0" t="s">
        <v>197</v>
      </c>
      <c r="B595" s="0" t="s">
        <v>58</v>
      </c>
      <c r="C595" s="0" t="s">
        <v>59</v>
      </c>
      <c r="D595" s="0" t="n">
        <v>8</v>
      </c>
      <c r="E595" s="2" t="n">
        <v>40580.7083333333</v>
      </c>
      <c r="F595" s="0" t="n">
        <v>2.16</v>
      </c>
      <c r="G595" s="0" t="n">
        <v>12972</v>
      </c>
      <c r="H595" s="3" t="s">
        <v>14</v>
      </c>
      <c r="I595" s="4" t="n">
        <f aca="false">D595*F595</f>
        <v>17.28</v>
      </c>
      <c r="J595" s="3" t="n">
        <f aca="false">IF(AND(LEFT(A595,1)&lt;&gt;"C",D595&gt;0,F595&gt;0),1,0)</f>
        <v>1</v>
      </c>
      <c r="K595" s="3" t="n">
        <f aca="false">IF(AND(H595="United Kingdom",G595&lt;&gt;"",COUNTIFS($G$2:G595,G595,$H$2:H595,"United Kingdom")=1),1,0)</f>
        <v>0</v>
      </c>
    </row>
    <row r="596" customFormat="false" ht="15" hidden="false" customHeight="false" outlineLevel="0" collapsed="false">
      <c r="A596" s="0" t="s">
        <v>197</v>
      </c>
      <c r="B596" s="0" t="s">
        <v>45</v>
      </c>
      <c r="C596" s="0" t="s">
        <v>46</v>
      </c>
      <c r="D596" s="0" t="n">
        <v>6</v>
      </c>
      <c r="E596" s="2" t="n">
        <v>40580.7083333333</v>
      </c>
      <c r="F596" s="0" t="n">
        <v>4.55</v>
      </c>
      <c r="G596" s="0" t="n">
        <v>12972</v>
      </c>
      <c r="H596" s="3" t="s">
        <v>14</v>
      </c>
      <c r="I596" s="4" t="n">
        <f aca="false">D596*F596</f>
        <v>27.3</v>
      </c>
      <c r="J596" s="3" t="n">
        <f aca="false">IF(AND(LEFT(A596,1)&lt;&gt;"C",D596&gt;0,F596&gt;0),1,0)</f>
        <v>1</v>
      </c>
      <c r="K596" s="3" t="n">
        <f aca="false">IF(AND(H596="United Kingdom",G596&lt;&gt;"",COUNTIFS($G$2:G596,G596,$H$2:H596,"United Kingdom")=1),1,0)</f>
        <v>0</v>
      </c>
    </row>
    <row r="597" customFormat="false" ht="15" hidden="false" customHeight="false" outlineLevel="0" collapsed="false">
      <c r="A597" s="0" t="s">
        <v>197</v>
      </c>
      <c r="B597" s="0" t="s">
        <v>41</v>
      </c>
      <c r="C597" s="0" t="s">
        <v>42</v>
      </c>
      <c r="D597" s="0" t="n">
        <v>2</v>
      </c>
      <c r="E597" s="2" t="n">
        <v>40580.7083333333</v>
      </c>
      <c r="F597" s="0" t="n">
        <v>3.28</v>
      </c>
      <c r="G597" s="0" t="n">
        <v>12972</v>
      </c>
      <c r="H597" s="3" t="s">
        <v>14</v>
      </c>
      <c r="I597" s="4" t="n">
        <f aca="false">D597*F597</f>
        <v>6.56</v>
      </c>
      <c r="J597" s="3" t="n">
        <f aca="false">IF(AND(LEFT(A597,1)&lt;&gt;"C",D597&gt;0,F597&gt;0),1,0)</f>
        <v>1</v>
      </c>
      <c r="K597" s="3" t="n">
        <f aca="false">IF(AND(H597="United Kingdom",G597&lt;&gt;"",COUNTIFS($G$2:G597,G597,$H$2:H597,"United Kingdom")=1),1,0)</f>
        <v>0</v>
      </c>
    </row>
    <row r="598" customFormat="false" ht="15" hidden="false" customHeight="false" outlineLevel="0" collapsed="false">
      <c r="A598" s="0" t="s">
        <v>197</v>
      </c>
      <c r="B598" s="0" t="s">
        <v>77</v>
      </c>
      <c r="C598" s="0" t="s">
        <v>78</v>
      </c>
      <c r="D598" s="0" t="n">
        <v>2</v>
      </c>
      <c r="E598" s="2" t="n">
        <v>40580.7083333333</v>
      </c>
      <c r="F598" s="0" t="n">
        <v>3.41</v>
      </c>
      <c r="G598" s="0" t="n">
        <v>12972</v>
      </c>
      <c r="H598" s="3" t="s">
        <v>14</v>
      </c>
      <c r="I598" s="4" t="n">
        <f aca="false">D598*F598</f>
        <v>6.82</v>
      </c>
      <c r="J598" s="3" t="n">
        <f aca="false">IF(AND(LEFT(A598,1)&lt;&gt;"C",D598&gt;0,F598&gt;0),1,0)</f>
        <v>1</v>
      </c>
      <c r="K598" s="3" t="n">
        <f aca="false">IF(AND(H598="United Kingdom",G598&lt;&gt;"",COUNTIFS($G$2:G598,G598,$H$2:H598,"United Kingdom")=1),1,0)</f>
        <v>0</v>
      </c>
    </row>
    <row r="599" customFormat="false" ht="15" hidden="false" customHeight="false" outlineLevel="0" collapsed="false">
      <c r="A599" s="0" t="s">
        <v>197</v>
      </c>
      <c r="B599" s="0" t="s">
        <v>113</v>
      </c>
      <c r="C599" s="0" t="s">
        <v>114</v>
      </c>
      <c r="D599" s="0" t="n">
        <v>8</v>
      </c>
      <c r="E599" s="2" t="n">
        <v>40580.7083333333</v>
      </c>
      <c r="F599" s="0" t="n">
        <v>3.57</v>
      </c>
      <c r="G599" s="0" t="n">
        <v>12972</v>
      </c>
      <c r="H599" s="3" t="s">
        <v>14</v>
      </c>
      <c r="I599" s="4" t="n">
        <f aca="false">D599*F599</f>
        <v>28.56</v>
      </c>
      <c r="J599" s="3" t="n">
        <f aca="false">IF(AND(LEFT(A599,1)&lt;&gt;"C",D599&gt;0,F599&gt;0),1,0)</f>
        <v>1</v>
      </c>
      <c r="K599" s="3" t="n">
        <f aca="false">IF(AND(H599="United Kingdom",G599&lt;&gt;"",COUNTIFS($G$2:G599,G599,$H$2:H599,"United Kingdom")=1),1,0)</f>
        <v>0</v>
      </c>
    </row>
    <row r="600" customFormat="false" ht="15" hidden="false" customHeight="false" outlineLevel="0" collapsed="false">
      <c r="A600" s="0" t="s">
        <v>197</v>
      </c>
      <c r="B600" s="0" t="s">
        <v>25</v>
      </c>
      <c r="C600" s="0" t="s">
        <v>26</v>
      </c>
      <c r="D600" s="0" t="n">
        <v>6</v>
      </c>
      <c r="E600" s="2" t="n">
        <v>40580.7083333333</v>
      </c>
      <c r="F600" s="0" t="n">
        <v>2.21</v>
      </c>
      <c r="G600" s="0" t="n">
        <v>12972</v>
      </c>
      <c r="H600" s="3" t="s">
        <v>14</v>
      </c>
      <c r="I600" s="4" t="n">
        <f aca="false">D600*F600</f>
        <v>13.26</v>
      </c>
      <c r="J600" s="3" t="n">
        <f aca="false">IF(AND(LEFT(A600,1)&lt;&gt;"C",D600&gt;0,F600&gt;0),1,0)</f>
        <v>1</v>
      </c>
      <c r="K600" s="3" t="n">
        <f aca="false">IF(AND(H600="United Kingdom",G600&lt;&gt;"",COUNTIFS($G$2:G600,G600,$H$2:H600,"United Kingdom")=1),1,0)</f>
        <v>0</v>
      </c>
    </row>
    <row r="601" customFormat="false" ht="15" hidden="false" customHeight="false" outlineLevel="0" collapsed="false">
      <c r="A601" s="0" t="s">
        <v>197</v>
      </c>
      <c r="B601" s="0" t="s">
        <v>50</v>
      </c>
      <c r="C601" s="0" t="s">
        <v>51</v>
      </c>
      <c r="D601" s="0" t="n">
        <v>12</v>
      </c>
      <c r="E601" s="2" t="n">
        <v>40580.7083333333</v>
      </c>
      <c r="F601" s="0" t="n">
        <v>5.41</v>
      </c>
      <c r="G601" s="0" t="n">
        <v>12972</v>
      </c>
      <c r="H601" s="3" t="s">
        <v>14</v>
      </c>
      <c r="I601" s="4" t="n">
        <f aca="false">D601*F601</f>
        <v>64.92</v>
      </c>
      <c r="J601" s="3" t="n">
        <f aca="false">IF(AND(LEFT(A601,1)&lt;&gt;"C",D601&gt;0,F601&gt;0),1,0)</f>
        <v>1</v>
      </c>
      <c r="K601" s="3" t="n">
        <f aca="false">IF(AND(H601="United Kingdom",G601&lt;&gt;"",COUNTIFS($G$2:G601,G601,$H$2:H601,"United Kingdom")=1),1,0)</f>
        <v>0</v>
      </c>
    </row>
    <row r="602" customFormat="false" ht="15" hidden="false" customHeight="false" outlineLevel="0" collapsed="false">
      <c r="A602" s="0" t="s">
        <v>197</v>
      </c>
      <c r="B602" s="0" t="s">
        <v>80</v>
      </c>
      <c r="C602" s="0" t="s">
        <v>81</v>
      </c>
      <c r="D602" s="0" t="n">
        <v>6</v>
      </c>
      <c r="E602" s="2" t="n">
        <v>40580.7083333333</v>
      </c>
      <c r="F602" s="0" t="n">
        <v>1.53</v>
      </c>
      <c r="G602" s="0" t="n">
        <v>12972</v>
      </c>
      <c r="H602" s="3" t="s">
        <v>14</v>
      </c>
      <c r="I602" s="4" t="n">
        <f aca="false">D602*F602</f>
        <v>9.18</v>
      </c>
      <c r="J602" s="3" t="n">
        <f aca="false">IF(AND(LEFT(A602,1)&lt;&gt;"C",D602&gt;0,F602&gt;0),1,0)</f>
        <v>1</v>
      </c>
      <c r="K602" s="3" t="n">
        <f aca="false">IF(AND(H602="United Kingdom",G602&lt;&gt;"",COUNTIFS($G$2:G602,G602,$H$2:H602,"United Kingdom")=1),1,0)</f>
        <v>0</v>
      </c>
    </row>
    <row r="603" customFormat="false" ht="15" hidden="false" customHeight="false" outlineLevel="0" collapsed="false">
      <c r="A603" s="0" t="s">
        <v>197</v>
      </c>
      <c r="B603" s="0" t="s">
        <v>20</v>
      </c>
      <c r="C603" s="0" t="s">
        <v>21</v>
      </c>
      <c r="D603" s="0" t="n">
        <v>24</v>
      </c>
      <c r="E603" s="2" t="n">
        <v>40580.7083333333</v>
      </c>
      <c r="F603" s="0" t="n">
        <v>4.24</v>
      </c>
      <c r="G603" s="0" t="n">
        <v>12972</v>
      </c>
      <c r="H603" s="3" t="s">
        <v>14</v>
      </c>
      <c r="I603" s="4" t="n">
        <f aca="false">D603*F603</f>
        <v>101.76</v>
      </c>
      <c r="J603" s="3" t="n">
        <f aca="false">IF(AND(LEFT(A603,1)&lt;&gt;"C",D603&gt;0,F603&gt;0),1,0)</f>
        <v>1</v>
      </c>
      <c r="K603" s="3" t="n">
        <f aca="false">IF(AND(H603="United Kingdom",G603&lt;&gt;"",COUNTIFS($G$2:G603,G603,$H$2:H603,"United Kingdom")=1),1,0)</f>
        <v>0</v>
      </c>
    </row>
    <row r="604" customFormat="false" ht="15" hidden="false" customHeight="false" outlineLevel="0" collapsed="false">
      <c r="A604" s="0" t="s">
        <v>197</v>
      </c>
      <c r="B604" s="0" t="s">
        <v>68</v>
      </c>
      <c r="C604" s="0" t="s">
        <v>69</v>
      </c>
      <c r="D604" s="0" t="n">
        <v>2</v>
      </c>
      <c r="E604" s="2" t="n">
        <v>40580.7083333333</v>
      </c>
      <c r="F604" s="0" t="n">
        <v>1.26</v>
      </c>
      <c r="G604" s="0" t="n">
        <v>12972</v>
      </c>
      <c r="H604" s="3" t="s">
        <v>14</v>
      </c>
      <c r="I604" s="4" t="n">
        <f aca="false">D604*F604</f>
        <v>2.52</v>
      </c>
      <c r="J604" s="3" t="n">
        <f aca="false">IF(AND(LEFT(A604,1)&lt;&gt;"C",D604&gt;0,F604&gt;0),1,0)</f>
        <v>1</v>
      </c>
      <c r="K604" s="3" t="n">
        <f aca="false">IF(AND(H604="United Kingdom",G604&lt;&gt;"",COUNTIFS($G$2:G604,G604,$H$2:H604,"United Kingdom")=1),1,0)</f>
        <v>0</v>
      </c>
    </row>
    <row r="605" customFormat="false" ht="15" hidden="false" customHeight="false" outlineLevel="0" collapsed="false">
      <c r="A605" s="0" t="s">
        <v>197</v>
      </c>
      <c r="B605" s="0" t="s">
        <v>60</v>
      </c>
      <c r="C605" s="0" t="s">
        <v>61</v>
      </c>
      <c r="D605" s="0" t="n">
        <v>6</v>
      </c>
      <c r="E605" s="2" t="n">
        <v>40580.7083333333</v>
      </c>
      <c r="F605" s="0" t="n">
        <v>0.63</v>
      </c>
      <c r="G605" s="0" t="n">
        <v>12972</v>
      </c>
      <c r="H605" s="3" t="s">
        <v>14</v>
      </c>
      <c r="I605" s="4" t="n">
        <f aca="false">D605*F605</f>
        <v>3.78</v>
      </c>
      <c r="J605" s="3" t="n">
        <f aca="false">IF(AND(LEFT(A605,1)&lt;&gt;"C",D605&gt;0,F605&gt;0),1,0)</f>
        <v>1</v>
      </c>
      <c r="K605" s="3" t="n">
        <f aca="false">IF(AND(H605="United Kingdom",G605&lt;&gt;"",COUNTIFS($G$2:G605,G605,$H$2:H605,"United Kingdom")=1),1,0)</f>
        <v>0</v>
      </c>
    </row>
    <row r="606" customFormat="false" ht="15" hidden="false" customHeight="false" outlineLevel="0" collapsed="false">
      <c r="A606" s="0" t="s">
        <v>197</v>
      </c>
      <c r="B606" s="0" t="s">
        <v>17</v>
      </c>
      <c r="C606" s="0" t="s">
        <v>18</v>
      </c>
      <c r="D606" s="0" t="n">
        <v>8</v>
      </c>
      <c r="E606" s="2" t="n">
        <v>40580.7083333333</v>
      </c>
      <c r="F606" s="0" t="n">
        <v>1.92</v>
      </c>
      <c r="G606" s="0" t="n">
        <v>12972</v>
      </c>
      <c r="H606" s="3" t="s">
        <v>14</v>
      </c>
      <c r="I606" s="4" t="n">
        <f aca="false">D606*F606</f>
        <v>15.36</v>
      </c>
      <c r="J606" s="3" t="n">
        <f aca="false">IF(AND(LEFT(A606,1)&lt;&gt;"C",D606&gt;0,F606&gt;0),1,0)</f>
        <v>1</v>
      </c>
      <c r="K606" s="3" t="n">
        <f aca="false">IF(AND(H606="United Kingdom",G606&lt;&gt;"",COUNTIFS($G$2:G606,G606,$H$2:H606,"United Kingdom")=1),1,0)</f>
        <v>0</v>
      </c>
    </row>
    <row r="607" customFormat="false" ht="15" hidden="false" customHeight="false" outlineLevel="0" collapsed="false">
      <c r="A607" s="0" t="s">
        <v>198</v>
      </c>
      <c r="B607" s="0" t="s">
        <v>77</v>
      </c>
      <c r="C607" s="0" t="s">
        <v>78</v>
      </c>
      <c r="D607" s="0" t="n">
        <v>921</v>
      </c>
      <c r="E607" s="2" t="n">
        <v>40581.6513888889</v>
      </c>
      <c r="F607" s="0" t="n">
        <v>3.41</v>
      </c>
      <c r="G607" s="0" t="n">
        <v>13034</v>
      </c>
      <c r="H607" s="3" t="s">
        <v>57</v>
      </c>
      <c r="I607" s="4" t="n">
        <f aca="false">D607*F607</f>
        <v>3140.61</v>
      </c>
      <c r="J607" s="3" t="n">
        <f aca="false">IF(AND(LEFT(A607,1)&lt;&gt;"C",D607&gt;0,F607&gt;0),1,0)</f>
        <v>1</v>
      </c>
      <c r="K607" s="3" t="n">
        <f aca="false">IF(AND(H607="United Kingdom",G607&lt;&gt;"",COUNTIFS($G$2:G607,G607,$H$2:H607,"United Kingdom")=1),1,0)</f>
        <v>0</v>
      </c>
    </row>
    <row r="608" customFormat="false" ht="15" hidden="false" customHeight="false" outlineLevel="0" collapsed="false">
      <c r="A608" s="0" t="s">
        <v>199</v>
      </c>
      <c r="B608" s="0" t="s">
        <v>50</v>
      </c>
      <c r="C608" s="0" t="s">
        <v>51</v>
      </c>
      <c r="D608" s="0" t="n">
        <v>144</v>
      </c>
      <c r="E608" s="2" t="n">
        <v>40581.7298611111</v>
      </c>
      <c r="F608" s="0" t="n">
        <v>5.41</v>
      </c>
      <c r="G608" s="0" t="n">
        <v>15312</v>
      </c>
      <c r="H608" s="3" t="s">
        <v>124</v>
      </c>
      <c r="I608" s="4" t="n">
        <f aca="false">D608*F608</f>
        <v>779.04</v>
      </c>
      <c r="J608" s="3" t="n">
        <f aca="false">IF(AND(LEFT(A608,1)&lt;&gt;"C",D608&gt;0,F608&gt;0),1,0)</f>
        <v>1</v>
      </c>
      <c r="K608" s="3" t="n">
        <f aca="false">IF(AND(H608="United Kingdom",G608&lt;&gt;"",COUNTIFS($G$2:G608,G608,$H$2:H608,"United Kingdom")=1),1,0)</f>
        <v>0</v>
      </c>
    </row>
    <row r="609" customFormat="false" ht="15" hidden="false" customHeight="false" outlineLevel="0" collapsed="false">
      <c r="A609" s="0" t="s">
        <v>199</v>
      </c>
      <c r="B609" s="0" t="s">
        <v>72</v>
      </c>
      <c r="C609" s="0" t="s">
        <v>73</v>
      </c>
      <c r="D609" s="0" t="n">
        <v>72</v>
      </c>
      <c r="E609" s="2" t="n">
        <v>40581.7298611111</v>
      </c>
      <c r="F609" s="0" t="n">
        <v>2.69</v>
      </c>
      <c r="G609" s="0" t="n">
        <v>15312</v>
      </c>
      <c r="H609" s="3" t="s">
        <v>124</v>
      </c>
      <c r="I609" s="4" t="n">
        <f aca="false">D609*F609</f>
        <v>193.68</v>
      </c>
      <c r="J609" s="3" t="n">
        <f aca="false">IF(AND(LEFT(A609,1)&lt;&gt;"C",D609&gt;0,F609&gt;0),1,0)</f>
        <v>1</v>
      </c>
      <c r="K609" s="3" t="n">
        <f aca="false">IF(AND(H609="United Kingdom",G609&lt;&gt;"",COUNTIFS($G$2:G609,G609,$H$2:H609,"United Kingdom")=1),1,0)</f>
        <v>0</v>
      </c>
    </row>
    <row r="610" customFormat="false" ht="15" hidden="false" customHeight="false" outlineLevel="0" collapsed="false">
      <c r="A610" s="0" t="s">
        <v>199</v>
      </c>
      <c r="B610" s="0" t="s">
        <v>90</v>
      </c>
      <c r="C610" s="0" t="s">
        <v>91</v>
      </c>
      <c r="D610" s="0" t="n">
        <v>72</v>
      </c>
      <c r="E610" s="2" t="n">
        <v>40581.7298611111</v>
      </c>
      <c r="F610" s="0" t="n">
        <v>3.04</v>
      </c>
      <c r="G610" s="0" t="n">
        <v>15312</v>
      </c>
      <c r="H610" s="3" t="s">
        <v>124</v>
      </c>
      <c r="I610" s="4" t="n">
        <f aca="false">D610*F610</f>
        <v>218.88</v>
      </c>
      <c r="J610" s="3" t="n">
        <f aca="false">IF(AND(LEFT(A610,1)&lt;&gt;"C",D610&gt;0,F610&gt;0),1,0)</f>
        <v>1</v>
      </c>
      <c r="K610" s="3" t="n">
        <f aca="false">IF(AND(H610="United Kingdom",G610&lt;&gt;"",COUNTIFS($G$2:G610,G610,$H$2:H610,"United Kingdom")=1),1,0)</f>
        <v>0</v>
      </c>
    </row>
    <row r="611" customFormat="false" ht="15" hidden="false" customHeight="false" outlineLevel="0" collapsed="false">
      <c r="A611" s="0" t="s">
        <v>199</v>
      </c>
      <c r="B611" s="0" t="s">
        <v>27</v>
      </c>
      <c r="C611" s="0" t="s">
        <v>28</v>
      </c>
      <c r="D611" s="0" t="n">
        <v>432</v>
      </c>
      <c r="E611" s="2" t="n">
        <v>40581.7298611111</v>
      </c>
      <c r="F611" s="0" t="n">
        <v>4.55</v>
      </c>
      <c r="G611" s="0" t="n">
        <v>15312</v>
      </c>
      <c r="H611" s="3" t="s">
        <v>124</v>
      </c>
      <c r="I611" s="4" t="n">
        <f aca="false">D611*F611</f>
        <v>1965.6</v>
      </c>
      <c r="J611" s="3" t="n">
        <f aca="false">IF(AND(LEFT(A611,1)&lt;&gt;"C",D611&gt;0,F611&gt;0),1,0)</f>
        <v>1</v>
      </c>
      <c r="K611" s="3" t="n">
        <f aca="false">IF(AND(H611="United Kingdom",G611&lt;&gt;"",COUNTIFS($G$2:G611,G611,$H$2:H611,"United Kingdom")=1),1,0)</f>
        <v>0</v>
      </c>
    </row>
    <row r="612" customFormat="false" ht="15" hidden="false" customHeight="false" outlineLevel="0" collapsed="false">
      <c r="A612" s="0" t="s">
        <v>199</v>
      </c>
      <c r="B612" s="0" t="s">
        <v>22</v>
      </c>
      <c r="C612" s="0" t="s">
        <v>23</v>
      </c>
      <c r="D612" s="0" t="n">
        <v>216</v>
      </c>
      <c r="E612" s="2" t="n">
        <v>40581.7298611111</v>
      </c>
      <c r="F612" s="0" t="n">
        <v>3.18</v>
      </c>
      <c r="G612" s="0" t="n">
        <v>15312</v>
      </c>
      <c r="H612" s="3" t="s">
        <v>124</v>
      </c>
      <c r="I612" s="4" t="n">
        <f aca="false">D612*F612</f>
        <v>686.88</v>
      </c>
      <c r="J612" s="3" t="n">
        <f aca="false">IF(AND(LEFT(A612,1)&lt;&gt;"C",D612&gt;0,F612&gt;0),1,0)</f>
        <v>1</v>
      </c>
      <c r="K612" s="3" t="n">
        <f aca="false">IF(AND(H612="United Kingdom",G612&lt;&gt;"",COUNTIFS($G$2:G612,G612,$H$2:H612,"United Kingdom")=1),1,0)</f>
        <v>0</v>
      </c>
    </row>
    <row r="613" customFormat="false" ht="15" hidden="false" customHeight="false" outlineLevel="0" collapsed="false">
      <c r="A613" s="0" t="s">
        <v>199</v>
      </c>
      <c r="B613" s="0" t="s">
        <v>12</v>
      </c>
      <c r="C613" s="0" t="s">
        <v>13</v>
      </c>
      <c r="D613" s="0" t="n">
        <v>144</v>
      </c>
      <c r="E613" s="2" t="n">
        <v>40581.7298611111</v>
      </c>
      <c r="F613" s="0" t="n">
        <v>3.33</v>
      </c>
      <c r="G613" s="0" t="n">
        <v>15312</v>
      </c>
      <c r="H613" s="3" t="s">
        <v>124</v>
      </c>
      <c r="I613" s="4" t="n">
        <f aca="false">D613*F613</f>
        <v>479.52</v>
      </c>
      <c r="J613" s="3" t="n">
        <f aca="false">IF(AND(LEFT(A613,1)&lt;&gt;"C",D613&gt;0,F613&gt;0),1,0)</f>
        <v>1</v>
      </c>
      <c r="K613" s="3" t="n">
        <f aca="false">IF(AND(H613="United Kingdom",G613&lt;&gt;"",COUNTIFS($G$2:G613,G613,$H$2:H613,"United Kingdom")=1),1,0)</f>
        <v>0</v>
      </c>
    </row>
    <row r="614" customFormat="false" ht="15" hidden="false" customHeight="false" outlineLevel="0" collapsed="false">
      <c r="A614" s="0" t="s">
        <v>200</v>
      </c>
      <c r="B614" s="0" t="s">
        <v>54</v>
      </c>
      <c r="C614" s="0" t="s">
        <v>55</v>
      </c>
      <c r="D614" s="0" t="n">
        <v>12</v>
      </c>
      <c r="E614" s="2" t="n">
        <v>40581.7465277778</v>
      </c>
      <c r="F614" s="0" t="n">
        <v>0.99</v>
      </c>
      <c r="G614" s="0" t="n">
        <v>14356</v>
      </c>
      <c r="H614" s="3" t="s">
        <v>14</v>
      </c>
      <c r="I614" s="4" t="n">
        <f aca="false">D614*F614</f>
        <v>11.88</v>
      </c>
      <c r="J614" s="3" t="n">
        <f aca="false">IF(AND(LEFT(A614,1)&lt;&gt;"C",D614&gt;0,F614&gt;0),1,0)</f>
        <v>1</v>
      </c>
      <c r="K614" s="3" t="n">
        <f aca="false">IF(AND(H614="United Kingdom",G614&lt;&gt;"",COUNTIFS($G$2:G614,G614,$H$2:H614,"United Kingdom")=1),1,0)</f>
        <v>1</v>
      </c>
    </row>
    <row r="615" customFormat="false" ht="15" hidden="false" customHeight="false" outlineLevel="0" collapsed="false">
      <c r="A615" s="0" t="s">
        <v>200</v>
      </c>
      <c r="B615" s="0" t="s">
        <v>45</v>
      </c>
      <c r="C615" s="0" t="s">
        <v>46</v>
      </c>
      <c r="D615" s="0" t="n">
        <v>3</v>
      </c>
      <c r="E615" s="2" t="n">
        <v>40581.7465277778</v>
      </c>
      <c r="F615" s="0" t="n">
        <v>4.55</v>
      </c>
      <c r="G615" s="0" t="n">
        <v>14356</v>
      </c>
      <c r="H615" s="3" t="s">
        <v>14</v>
      </c>
      <c r="I615" s="4" t="n">
        <f aca="false">D615*F615</f>
        <v>13.65</v>
      </c>
      <c r="J615" s="3" t="n">
        <f aca="false">IF(AND(LEFT(A615,1)&lt;&gt;"C",D615&gt;0,F615&gt;0),1,0)</f>
        <v>1</v>
      </c>
      <c r="K615" s="3" t="n">
        <f aca="false">IF(AND(H615="United Kingdom",G615&lt;&gt;"",COUNTIFS($G$2:G615,G615,$H$2:H615,"United Kingdom")=1),1,0)</f>
        <v>0</v>
      </c>
    </row>
    <row r="616" customFormat="false" ht="15" hidden="false" customHeight="false" outlineLevel="0" collapsed="false">
      <c r="A616" s="0" t="s">
        <v>200</v>
      </c>
      <c r="B616" s="0" t="s">
        <v>113</v>
      </c>
      <c r="C616" s="0" t="s">
        <v>114</v>
      </c>
      <c r="D616" s="0" t="n">
        <v>2</v>
      </c>
      <c r="E616" s="2" t="n">
        <v>40581.7465277778</v>
      </c>
      <c r="F616" s="0" t="n">
        <v>3.57</v>
      </c>
      <c r="G616" s="0" t="n">
        <v>14356</v>
      </c>
      <c r="H616" s="3" t="s">
        <v>14</v>
      </c>
      <c r="I616" s="4" t="n">
        <f aca="false">D616*F616</f>
        <v>7.14</v>
      </c>
      <c r="J616" s="3" t="n">
        <f aca="false">IF(AND(LEFT(A616,1)&lt;&gt;"C",D616&gt;0,F616&gt;0),1,0)</f>
        <v>1</v>
      </c>
      <c r="K616" s="3" t="n">
        <f aca="false">IF(AND(H616="United Kingdom",G616&lt;&gt;"",COUNTIFS($G$2:G616,G616,$H$2:H616,"United Kingdom")=1),1,0)</f>
        <v>0</v>
      </c>
    </row>
    <row r="617" customFormat="false" ht="15" hidden="false" customHeight="false" outlineLevel="0" collapsed="false">
      <c r="A617" s="0" t="s">
        <v>200</v>
      </c>
      <c r="B617" s="0" t="s">
        <v>34</v>
      </c>
      <c r="C617" s="0" t="s">
        <v>35</v>
      </c>
      <c r="D617" s="0" t="n">
        <v>4</v>
      </c>
      <c r="E617" s="2" t="n">
        <v>40581.7465277778</v>
      </c>
      <c r="F617" s="0" t="n">
        <v>2.38</v>
      </c>
      <c r="G617" s="0" t="n">
        <v>14356</v>
      </c>
      <c r="H617" s="3" t="s">
        <v>14</v>
      </c>
      <c r="I617" s="4" t="n">
        <f aca="false">D617*F617</f>
        <v>9.52</v>
      </c>
      <c r="J617" s="3" t="n">
        <f aca="false">IF(AND(LEFT(A617,1)&lt;&gt;"C",D617&gt;0,F617&gt;0),1,0)</f>
        <v>1</v>
      </c>
      <c r="K617" s="3" t="n">
        <f aca="false">IF(AND(H617="United Kingdom",G617&lt;&gt;"",COUNTIFS($G$2:G617,G617,$H$2:H617,"United Kingdom")=1),1,0)</f>
        <v>0</v>
      </c>
    </row>
    <row r="618" customFormat="false" ht="15" hidden="false" customHeight="false" outlineLevel="0" collapsed="false">
      <c r="A618" s="0" t="s">
        <v>200</v>
      </c>
      <c r="B618" s="0" t="s">
        <v>80</v>
      </c>
      <c r="C618" s="0" t="s">
        <v>81</v>
      </c>
      <c r="D618" s="0" t="n">
        <v>3</v>
      </c>
      <c r="E618" s="2" t="n">
        <v>40581.7465277778</v>
      </c>
      <c r="F618" s="0" t="n">
        <v>1.53</v>
      </c>
      <c r="G618" s="0" t="n">
        <v>14356</v>
      </c>
      <c r="H618" s="3" t="s">
        <v>14</v>
      </c>
      <c r="I618" s="4" t="n">
        <f aca="false">D618*F618</f>
        <v>4.59</v>
      </c>
      <c r="J618" s="3" t="n">
        <f aca="false">IF(AND(LEFT(A618,1)&lt;&gt;"C",D618&gt;0,F618&gt;0),1,0)</f>
        <v>1</v>
      </c>
      <c r="K618" s="3" t="n">
        <f aca="false">IF(AND(H618="United Kingdom",G618&lt;&gt;"",COUNTIFS($G$2:G618,G618,$H$2:H618,"United Kingdom")=1),1,0)</f>
        <v>0</v>
      </c>
    </row>
    <row r="619" customFormat="false" ht="15" hidden="false" customHeight="false" outlineLevel="0" collapsed="false">
      <c r="A619" s="0" t="s">
        <v>201</v>
      </c>
      <c r="B619" s="0" t="s">
        <v>63</v>
      </c>
      <c r="C619" s="0" t="s">
        <v>64</v>
      </c>
      <c r="D619" s="0" t="n">
        <v>8</v>
      </c>
      <c r="E619" s="2" t="n">
        <v>40582.4381944445</v>
      </c>
      <c r="F619" s="0" t="n">
        <v>2.43</v>
      </c>
      <c r="G619" s="0" t="n">
        <v>13606</v>
      </c>
      <c r="H619" s="3" t="s">
        <v>14</v>
      </c>
      <c r="I619" s="4" t="n">
        <f aca="false">D619*F619</f>
        <v>19.44</v>
      </c>
      <c r="J619" s="3" t="n">
        <f aca="false">IF(AND(LEFT(A619,1)&lt;&gt;"C",D619&gt;0,F619&gt;0),1,0)</f>
        <v>1</v>
      </c>
      <c r="K619" s="3" t="n">
        <f aca="false">IF(AND(H619="United Kingdom",G619&lt;&gt;"",COUNTIFS($G$2:G619,G619,$H$2:H619,"United Kingdom")=1),1,0)</f>
        <v>1</v>
      </c>
    </row>
    <row r="620" customFormat="false" ht="15" hidden="false" customHeight="false" outlineLevel="0" collapsed="false">
      <c r="A620" s="0" t="s">
        <v>201</v>
      </c>
      <c r="B620" s="0" t="s">
        <v>80</v>
      </c>
      <c r="C620" s="0" t="s">
        <v>81</v>
      </c>
      <c r="D620" s="0" t="n">
        <v>4</v>
      </c>
      <c r="E620" s="2" t="n">
        <v>40582.4381944445</v>
      </c>
      <c r="F620" s="0" t="n">
        <v>1.53</v>
      </c>
      <c r="G620" s="0" t="n">
        <v>13606</v>
      </c>
      <c r="H620" s="3" t="s">
        <v>14</v>
      </c>
      <c r="I620" s="4" t="n">
        <f aca="false">D620*F620</f>
        <v>6.12</v>
      </c>
      <c r="J620" s="3" t="n">
        <f aca="false">IF(AND(LEFT(A620,1)&lt;&gt;"C",D620&gt;0,F620&gt;0),1,0)</f>
        <v>1</v>
      </c>
      <c r="K620" s="3" t="n">
        <f aca="false">IF(AND(H620="United Kingdom",G620&lt;&gt;"",COUNTIFS($G$2:G620,G620,$H$2:H620,"United Kingdom")=1),1,0)</f>
        <v>0</v>
      </c>
    </row>
    <row r="621" customFormat="false" ht="15" hidden="false" customHeight="false" outlineLevel="0" collapsed="false">
      <c r="A621" s="0" t="s">
        <v>201</v>
      </c>
      <c r="B621" s="0" t="s">
        <v>68</v>
      </c>
      <c r="C621" s="0" t="s">
        <v>69</v>
      </c>
      <c r="D621" s="0" t="n">
        <v>2</v>
      </c>
      <c r="E621" s="2" t="n">
        <v>40582.4381944445</v>
      </c>
      <c r="F621" s="0" t="n">
        <v>1.26</v>
      </c>
      <c r="G621" s="0" t="n">
        <v>13606</v>
      </c>
      <c r="H621" s="3" t="s">
        <v>14</v>
      </c>
      <c r="I621" s="4" t="n">
        <f aca="false">D621*F621</f>
        <v>2.52</v>
      </c>
      <c r="J621" s="3" t="n">
        <f aca="false">IF(AND(LEFT(A621,1)&lt;&gt;"C",D621&gt;0,F621&gt;0),1,0)</f>
        <v>1</v>
      </c>
      <c r="K621" s="3" t="n">
        <f aca="false">IF(AND(H621="United Kingdom",G621&lt;&gt;"",COUNTIFS($G$2:G621,G621,$H$2:H621,"United Kingdom")=1),1,0)</f>
        <v>0</v>
      </c>
    </row>
    <row r="622" customFormat="false" ht="15" hidden="false" customHeight="false" outlineLevel="0" collapsed="false">
      <c r="A622" s="0" t="s">
        <v>201</v>
      </c>
      <c r="B622" s="0" t="s">
        <v>29</v>
      </c>
      <c r="C622" s="0" t="s">
        <v>30</v>
      </c>
      <c r="D622" s="0" t="n">
        <v>1</v>
      </c>
      <c r="E622" s="2" t="n">
        <v>40582.4381944445</v>
      </c>
      <c r="F622" s="0" t="n">
        <v>5.79</v>
      </c>
      <c r="G622" s="0" t="n">
        <v>13606</v>
      </c>
      <c r="H622" s="3" t="s">
        <v>14</v>
      </c>
      <c r="I622" s="4" t="n">
        <f aca="false">D622*F622</f>
        <v>5.79</v>
      </c>
      <c r="J622" s="3" t="n">
        <f aca="false">IF(AND(LEFT(A622,1)&lt;&gt;"C",D622&gt;0,F622&gt;0),1,0)</f>
        <v>1</v>
      </c>
      <c r="K622" s="3" t="n">
        <f aca="false">IF(AND(H622="United Kingdom",G622&lt;&gt;"",COUNTIFS($G$2:G622,G622,$H$2:H622,"United Kingdom")=1),1,0)</f>
        <v>0</v>
      </c>
    </row>
    <row r="623" customFormat="false" ht="15" hidden="false" customHeight="false" outlineLevel="0" collapsed="false">
      <c r="A623" s="0" t="s">
        <v>201</v>
      </c>
      <c r="B623" s="0" t="s">
        <v>65</v>
      </c>
      <c r="C623" s="0" t="s">
        <v>66</v>
      </c>
      <c r="D623" s="0" t="n">
        <v>3</v>
      </c>
      <c r="E623" s="2" t="n">
        <v>40582.4381944445</v>
      </c>
      <c r="F623" s="0" t="n">
        <v>4.75</v>
      </c>
      <c r="G623" s="0" t="n">
        <v>13606</v>
      </c>
      <c r="H623" s="3" t="s">
        <v>14</v>
      </c>
      <c r="I623" s="4" t="n">
        <f aca="false">D623*F623</f>
        <v>14.25</v>
      </c>
      <c r="J623" s="3" t="n">
        <f aca="false">IF(AND(LEFT(A623,1)&lt;&gt;"C",D623&gt;0,F623&gt;0),1,0)</f>
        <v>1</v>
      </c>
      <c r="K623" s="3" t="n">
        <f aca="false">IF(AND(H623="United Kingdom",G623&lt;&gt;"",COUNTIFS($G$2:G623,G623,$H$2:H623,"United Kingdom")=1),1,0)</f>
        <v>0</v>
      </c>
    </row>
    <row r="624" customFormat="false" ht="15" hidden="false" customHeight="false" outlineLevel="0" collapsed="false">
      <c r="A624" s="0" t="s">
        <v>202</v>
      </c>
      <c r="B624" s="0" t="s">
        <v>27</v>
      </c>
      <c r="C624" s="0" t="s">
        <v>28</v>
      </c>
      <c r="D624" s="0" t="n">
        <v>2</v>
      </c>
      <c r="E624" s="2" t="n">
        <v>40582.4388888889</v>
      </c>
      <c r="F624" s="0" t="n">
        <v>4.55</v>
      </c>
      <c r="G624" s="0" t="n">
        <v>16420</v>
      </c>
      <c r="H624" s="3" t="s">
        <v>14</v>
      </c>
      <c r="I624" s="4" t="n">
        <f aca="false">D624*F624</f>
        <v>9.1</v>
      </c>
      <c r="J624" s="3" t="n">
        <f aca="false">IF(AND(LEFT(A624,1)&lt;&gt;"C",D624&gt;0,F624&gt;0),1,0)</f>
        <v>1</v>
      </c>
      <c r="K624" s="3" t="n">
        <f aca="false">IF(AND(H624="United Kingdom",G624&lt;&gt;"",COUNTIFS($G$2:G624,G624,$H$2:H624,"United Kingdom")=1),1,0)</f>
        <v>0</v>
      </c>
    </row>
    <row r="625" customFormat="false" ht="15" hidden="false" customHeight="false" outlineLevel="0" collapsed="false">
      <c r="A625" s="0" t="s">
        <v>202</v>
      </c>
      <c r="B625" s="0" t="s">
        <v>34</v>
      </c>
      <c r="C625" s="0" t="s">
        <v>35</v>
      </c>
      <c r="D625" s="0" t="n">
        <v>2</v>
      </c>
      <c r="E625" s="2" t="n">
        <v>40582.4388888889</v>
      </c>
      <c r="F625" s="0" t="n">
        <v>2.38</v>
      </c>
      <c r="G625" s="0" t="n">
        <v>16420</v>
      </c>
      <c r="H625" s="3" t="s">
        <v>14</v>
      </c>
      <c r="I625" s="4" t="n">
        <f aca="false">D625*F625</f>
        <v>4.76</v>
      </c>
      <c r="J625" s="3" t="n">
        <f aca="false">IF(AND(LEFT(A625,1)&lt;&gt;"C",D625&gt;0,F625&gt;0),1,0)</f>
        <v>1</v>
      </c>
      <c r="K625" s="3" t="n">
        <f aca="false">IF(AND(H625="United Kingdom",G625&lt;&gt;"",COUNTIFS($G$2:G625,G625,$H$2:H625,"United Kingdom")=1),1,0)</f>
        <v>0</v>
      </c>
    </row>
    <row r="626" customFormat="false" ht="15" hidden="false" customHeight="false" outlineLevel="0" collapsed="false">
      <c r="A626" s="0" t="s">
        <v>202</v>
      </c>
      <c r="B626" s="0" t="s">
        <v>48</v>
      </c>
      <c r="C626" s="0" t="s">
        <v>49</v>
      </c>
      <c r="D626" s="0" t="n">
        <v>1</v>
      </c>
      <c r="E626" s="2" t="n">
        <v>40582.4388888889</v>
      </c>
      <c r="F626" s="0" t="n">
        <v>1.35</v>
      </c>
      <c r="G626" s="0" t="n">
        <v>16420</v>
      </c>
      <c r="H626" s="3" t="s">
        <v>14</v>
      </c>
      <c r="I626" s="4" t="n">
        <f aca="false">D626*F626</f>
        <v>1.35</v>
      </c>
      <c r="J626" s="3" t="n">
        <f aca="false">IF(AND(LEFT(A626,1)&lt;&gt;"C",D626&gt;0,F626&gt;0),1,0)</f>
        <v>1</v>
      </c>
      <c r="K626" s="3" t="n">
        <f aca="false">IF(AND(H626="United Kingdom",G626&lt;&gt;"",COUNTIFS($G$2:G626,G626,$H$2:H626,"United Kingdom")=1),1,0)</f>
        <v>0</v>
      </c>
    </row>
    <row r="627" customFormat="false" ht="15" hidden="false" customHeight="false" outlineLevel="0" collapsed="false">
      <c r="A627" s="0" t="s">
        <v>202</v>
      </c>
      <c r="B627" s="0" t="s">
        <v>72</v>
      </c>
      <c r="C627" s="0" t="s">
        <v>73</v>
      </c>
      <c r="D627" s="0" t="n">
        <v>8</v>
      </c>
      <c r="E627" s="2" t="n">
        <v>40582.4388888889</v>
      </c>
      <c r="F627" s="0" t="n">
        <v>2.69</v>
      </c>
      <c r="G627" s="0" t="n">
        <v>16420</v>
      </c>
      <c r="H627" s="3" t="s">
        <v>14</v>
      </c>
      <c r="I627" s="4" t="n">
        <f aca="false">D627*F627</f>
        <v>21.52</v>
      </c>
      <c r="J627" s="3" t="n">
        <f aca="false">IF(AND(LEFT(A627,1)&lt;&gt;"C",D627&gt;0,F627&gt;0),1,0)</f>
        <v>1</v>
      </c>
      <c r="K627" s="3" t="n">
        <f aca="false">IF(AND(H627="United Kingdom",G627&lt;&gt;"",COUNTIFS($G$2:G627,G627,$H$2:H627,"United Kingdom")=1),1,0)</f>
        <v>0</v>
      </c>
    </row>
    <row r="628" customFormat="false" ht="15" hidden="false" customHeight="false" outlineLevel="0" collapsed="false">
      <c r="A628" s="0" t="s">
        <v>202</v>
      </c>
      <c r="B628" s="0" t="s">
        <v>12</v>
      </c>
      <c r="C628" s="0" t="s">
        <v>13</v>
      </c>
      <c r="D628" s="0" t="n">
        <v>4</v>
      </c>
      <c r="E628" s="2" t="n">
        <v>40582.4388888889</v>
      </c>
      <c r="F628" s="0" t="n">
        <v>3.33</v>
      </c>
      <c r="G628" s="0" t="n">
        <v>16420</v>
      </c>
      <c r="H628" s="3" t="s">
        <v>14</v>
      </c>
      <c r="I628" s="4" t="n">
        <f aca="false">D628*F628</f>
        <v>13.32</v>
      </c>
      <c r="J628" s="3" t="n">
        <f aca="false">IF(AND(LEFT(A628,1)&lt;&gt;"C",D628&gt;0,F628&gt;0),1,0)</f>
        <v>1</v>
      </c>
      <c r="K628" s="3" t="n">
        <f aca="false">IF(AND(H628="United Kingdom",G628&lt;&gt;"",COUNTIFS($G$2:G628,G628,$H$2:H628,"United Kingdom")=1),1,0)</f>
        <v>0</v>
      </c>
    </row>
    <row r="629" customFormat="false" ht="15" hidden="false" customHeight="false" outlineLevel="0" collapsed="false">
      <c r="A629" s="0" t="s">
        <v>202</v>
      </c>
      <c r="B629" s="0" t="s">
        <v>75</v>
      </c>
      <c r="C629" s="0" t="s">
        <v>76</v>
      </c>
      <c r="D629" s="0" t="n">
        <v>8</v>
      </c>
      <c r="E629" s="2" t="n">
        <v>40582.4388888889</v>
      </c>
      <c r="F629" s="0" t="n">
        <v>1.97</v>
      </c>
      <c r="G629" s="0" t="n">
        <v>16420</v>
      </c>
      <c r="H629" s="3" t="s">
        <v>14</v>
      </c>
      <c r="I629" s="4" t="n">
        <f aca="false">D629*F629</f>
        <v>15.76</v>
      </c>
      <c r="J629" s="3" t="n">
        <f aca="false">IF(AND(LEFT(A629,1)&lt;&gt;"C",D629&gt;0,F629&gt;0),1,0)</f>
        <v>1</v>
      </c>
      <c r="K629" s="3" t="n">
        <f aca="false">IF(AND(H629="United Kingdom",G629&lt;&gt;"",COUNTIFS($G$2:G629,G629,$H$2:H629,"United Kingdom")=1),1,0)</f>
        <v>0</v>
      </c>
    </row>
    <row r="630" customFormat="false" ht="15" hidden="false" customHeight="false" outlineLevel="0" collapsed="false">
      <c r="A630" s="0" t="s">
        <v>202</v>
      </c>
      <c r="B630" s="0" t="s">
        <v>113</v>
      </c>
      <c r="C630" s="0" t="s">
        <v>114</v>
      </c>
      <c r="D630" s="0" t="n">
        <v>2</v>
      </c>
      <c r="E630" s="2" t="n">
        <v>40582.4388888889</v>
      </c>
      <c r="F630" s="0" t="n">
        <v>3.57</v>
      </c>
      <c r="G630" s="0" t="n">
        <v>16420</v>
      </c>
      <c r="H630" s="3" t="s">
        <v>14</v>
      </c>
      <c r="I630" s="4" t="n">
        <f aca="false">D630*F630</f>
        <v>7.14</v>
      </c>
      <c r="J630" s="3" t="n">
        <f aca="false">IF(AND(LEFT(A630,1)&lt;&gt;"C",D630&gt;0,F630&gt;0),1,0)</f>
        <v>1</v>
      </c>
      <c r="K630" s="3" t="n">
        <f aca="false">IF(AND(H630="United Kingdom",G630&lt;&gt;"",COUNTIFS($G$2:G630,G630,$H$2:H630,"United Kingdom")=1),1,0)</f>
        <v>0</v>
      </c>
    </row>
    <row r="631" customFormat="false" ht="15" hidden="false" customHeight="false" outlineLevel="0" collapsed="false">
      <c r="A631" s="0" t="s">
        <v>203</v>
      </c>
      <c r="B631" s="0" t="s">
        <v>41</v>
      </c>
      <c r="C631" s="0" t="s">
        <v>42</v>
      </c>
      <c r="D631" s="0" t="n">
        <v>3</v>
      </c>
      <c r="E631" s="2" t="n">
        <v>40583.5986111111</v>
      </c>
      <c r="F631" s="0" t="n">
        <v>3.28</v>
      </c>
      <c r="G631" s="0" t="n">
        <v>12972</v>
      </c>
      <c r="H631" s="3" t="s">
        <v>14</v>
      </c>
      <c r="I631" s="4" t="n">
        <f aca="false">D631*F631</f>
        <v>9.84</v>
      </c>
      <c r="J631" s="3" t="n">
        <f aca="false">IF(AND(LEFT(A631,1)&lt;&gt;"C",D631&gt;0,F631&gt;0),1,0)</f>
        <v>1</v>
      </c>
      <c r="K631" s="3" t="n">
        <f aca="false">IF(AND(H631="United Kingdom",G631&lt;&gt;"",COUNTIFS($G$2:G631,G631,$H$2:H631,"United Kingdom")=1),1,0)</f>
        <v>0</v>
      </c>
    </row>
    <row r="632" customFormat="false" ht="15" hidden="false" customHeight="false" outlineLevel="0" collapsed="false">
      <c r="A632" s="0" t="s">
        <v>203</v>
      </c>
      <c r="B632" s="0" t="s">
        <v>80</v>
      </c>
      <c r="C632" s="0" t="s">
        <v>81</v>
      </c>
      <c r="D632" s="0" t="n">
        <v>6</v>
      </c>
      <c r="E632" s="2" t="n">
        <v>40583.5986111111</v>
      </c>
      <c r="F632" s="0" t="n">
        <v>1.53</v>
      </c>
      <c r="G632" s="0" t="n">
        <v>12972</v>
      </c>
      <c r="H632" s="3" t="s">
        <v>14</v>
      </c>
      <c r="I632" s="4" t="n">
        <f aca="false">D632*F632</f>
        <v>9.18</v>
      </c>
      <c r="J632" s="3" t="n">
        <f aca="false">IF(AND(LEFT(A632,1)&lt;&gt;"C",D632&gt;0,F632&gt;0),1,0)</f>
        <v>1</v>
      </c>
      <c r="K632" s="3" t="n">
        <f aca="false">IF(AND(H632="United Kingdom",G632&lt;&gt;"",COUNTIFS($G$2:G632,G632,$H$2:H632,"United Kingdom")=1),1,0)</f>
        <v>0</v>
      </c>
    </row>
    <row r="633" customFormat="false" ht="15" hidden="false" customHeight="false" outlineLevel="0" collapsed="false">
      <c r="A633" s="0" t="s">
        <v>203</v>
      </c>
      <c r="B633" s="0" t="s">
        <v>58</v>
      </c>
      <c r="C633" s="0" t="s">
        <v>59</v>
      </c>
      <c r="D633" s="0" t="n">
        <v>8</v>
      </c>
      <c r="E633" s="2" t="n">
        <v>40583.5986111111</v>
      </c>
      <c r="F633" s="0" t="n">
        <v>2.16</v>
      </c>
      <c r="G633" s="0" t="n">
        <v>12972</v>
      </c>
      <c r="H633" s="3" t="s">
        <v>14</v>
      </c>
      <c r="I633" s="4" t="n">
        <f aca="false">D633*F633</f>
        <v>17.28</v>
      </c>
      <c r="J633" s="3" t="n">
        <f aca="false">IF(AND(LEFT(A633,1)&lt;&gt;"C",D633&gt;0,F633&gt;0),1,0)</f>
        <v>1</v>
      </c>
      <c r="K633" s="3" t="n">
        <f aca="false">IF(AND(H633="United Kingdom",G633&lt;&gt;"",COUNTIFS($G$2:G633,G633,$H$2:H633,"United Kingdom")=1),1,0)</f>
        <v>0</v>
      </c>
    </row>
    <row r="634" customFormat="false" ht="15" hidden="false" customHeight="false" outlineLevel="0" collapsed="false">
      <c r="A634" s="0" t="s">
        <v>203</v>
      </c>
      <c r="B634" s="0" t="s">
        <v>15</v>
      </c>
      <c r="C634" s="0" t="s">
        <v>16</v>
      </c>
      <c r="D634" s="0" t="n">
        <v>2</v>
      </c>
      <c r="E634" s="2" t="n">
        <v>40583.5986111111</v>
      </c>
      <c r="F634" s="0" t="n">
        <v>3.18</v>
      </c>
      <c r="G634" s="0" t="n">
        <v>12972</v>
      </c>
      <c r="H634" s="3" t="s">
        <v>14</v>
      </c>
      <c r="I634" s="4" t="n">
        <f aca="false">D634*F634</f>
        <v>6.36</v>
      </c>
      <c r="J634" s="3" t="n">
        <f aca="false">IF(AND(LEFT(A634,1)&lt;&gt;"C",D634&gt;0,F634&gt;0),1,0)</f>
        <v>1</v>
      </c>
      <c r="K634" s="3" t="n">
        <f aca="false">IF(AND(H634="United Kingdom",G634&lt;&gt;"",COUNTIFS($G$2:G634,G634,$H$2:H634,"United Kingdom")=1),1,0)</f>
        <v>0</v>
      </c>
    </row>
    <row r="635" customFormat="false" ht="15" hidden="false" customHeight="false" outlineLevel="0" collapsed="false">
      <c r="A635" s="0" t="s">
        <v>203</v>
      </c>
      <c r="B635" s="0" t="s">
        <v>68</v>
      </c>
      <c r="C635" s="0" t="s">
        <v>69</v>
      </c>
      <c r="D635" s="0" t="n">
        <v>3</v>
      </c>
      <c r="E635" s="2" t="n">
        <v>40583.5986111111</v>
      </c>
      <c r="F635" s="0" t="n">
        <v>1.26</v>
      </c>
      <c r="G635" s="0" t="n">
        <v>12972</v>
      </c>
      <c r="H635" s="3" t="s">
        <v>14</v>
      </c>
      <c r="I635" s="4" t="n">
        <f aca="false">D635*F635</f>
        <v>3.78</v>
      </c>
      <c r="J635" s="3" t="n">
        <f aca="false">IF(AND(LEFT(A635,1)&lt;&gt;"C",D635&gt;0,F635&gt;0),1,0)</f>
        <v>1</v>
      </c>
      <c r="K635" s="3" t="n">
        <f aca="false">IF(AND(H635="United Kingdom",G635&lt;&gt;"",COUNTIFS($G$2:G635,G635,$H$2:H635,"United Kingdom")=1),1,0)</f>
        <v>0</v>
      </c>
    </row>
    <row r="636" customFormat="false" ht="15" hidden="false" customHeight="false" outlineLevel="0" collapsed="false">
      <c r="A636" s="0" t="s">
        <v>203</v>
      </c>
      <c r="B636" s="0" t="s">
        <v>48</v>
      </c>
      <c r="C636" s="0" t="s">
        <v>49</v>
      </c>
      <c r="D636" s="0" t="n">
        <v>6</v>
      </c>
      <c r="E636" s="2" t="n">
        <v>40583.5986111111</v>
      </c>
      <c r="F636" s="0" t="n">
        <v>1.35</v>
      </c>
      <c r="G636" s="0" t="n">
        <v>12972</v>
      </c>
      <c r="H636" s="3" t="s">
        <v>14</v>
      </c>
      <c r="I636" s="4" t="n">
        <f aca="false">D636*F636</f>
        <v>8.1</v>
      </c>
      <c r="J636" s="3" t="n">
        <f aca="false">IF(AND(LEFT(A636,1)&lt;&gt;"C",D636&gt;0,F636&gt;0),1,0)</f>
        <v>1</v>
      </c>
      <c r="K636" s="3" t="n">
        <f aca="false">IF(AND(H636="United Kingdom",G636&lt;&gt;"",COUNTIFS($G$2:G636,G636,$H$2:H636,"United Kingdom")=1),1,0)</f>
        <v>0</v>
      </c>
    </row>
    <row r="637" customFormat="false" ht="15" hidden="false" customHeight="false" outlineLevel="0" collapsed="false">
      <c r="A637" s="0" t="s">
        <v>203</v>
      </c>
      <c r="B637" s="0" t="s">
        <v>34</v>
      </c>
      <c r="C637" s="0" t="s">
        <v>35</v>
      </c>
      <c r="D637" s="0" t="n">
        <v>2</v>
      </c>
      <c r="E637" s="2" t="n">
        <v>40583.5986111111</v>
      </c>
      <c r="F637" s="0" t="n">
        <v>2.38</v>
      </c>
      <c r="G637" s="0" t="n">
        <v>12972</v>
      </c>
      <c r="H637" s="3" t="s">
        <v>14</v>
      </c>
      <c r="I637" s="4" t="n">
        <f aca="false">D637*F637</f>
        <v>4.76</v>
      </c>
      <c r="J637" s="3" t="n">
        <f aca="false">IF(AND(LEFT(A637,1)&lt;&gt;"C",D637&gt;0,F637&gt;0),1,0)</f>
        <v>1</v>
      </c>
      <c r="K637" s="3" t="n">
        <f aca="false">IF(AND(H637="United Kingdom",G637&lt;&gt;"",COUNTIFS($G$2:G637,G637,$H$2:H637,"United Kingdom")=1),1,0)</f>
        <v>0</v>
      </c>
    </row>
    <row r="638" customFormat="false" ht="15" hidden="false" customHeight="false" outlineLevel="0" collapsed="false">
      <c r="A638" s="0" t="s">
        <v>203</v>
      </c>
      <c r="B638" s="0" t="s">
        <v>72</v>
      </c>
      <c r="C638" s="0" t="s">
        <v>73</v>
      </c>
      <c r="D638" s="0" t="n">
        <v>4</v>
      </c>
      <c r="E638" s="2" t="n">
        <v>40583.5986111111</v>
      </c>
      <c r="F638" s="0" t="n">
        <v>2.69</v>
      </c>
      <c r="G638" s="0" t="n">
        <v>12972</v>
      </c>
      <c r="H638" s="3" t="s">
        <v>14</v>
      </c>
      <c r="I638" s="4" t="n">
        <f aca="false">D638*F638</f>
        <v>10.76</v>
      </c>
      <c r="J638" s="3" t="n">
        <f aca="false">IF(AND(LEFT(A638,1)&lt;&gt;"C",D638&gt;0,F638&gt;0),1,0)</f>
        <v>1</v>
      </c>
      <c r="K638" s="3" t="n">
        <f aca="false">IF(AND(H638="United Kingdom",G638&lt;&gt;"",COUNTIFS($G$2:G638,G638,$H$2:H638,"United Kingdom")=1),1,0)</f>
        <v>0</v>
      </c>
    </row>
    <row r="639" customFormat="false" ht="15" hidden="false" customHeight="false" outlineLevel="0" collapsed="false">
      <c r="A639" s="0" t="s">
        <v>203</v>
      </c>
      <c r="B639" s="0" t="s">
        <v>25</v>
      </c>
      <c r="C639" s="0" t="s">
        <v>26</v>
      </c>
      <c r="D639" s="0" t="n">
        <v>2</v>
      </c>
      <c r="E639" s="2" t="n">
        <v>40583.5986111111</v>
      </c>
      <c r="F639" s="0" t="n">
        <v>2.21</v>
      </c>
      <c r="G639" s="0" t="n">
        <v>12972</v>
      </c>
      <c r="H639" s="3" t="s">
        <v>14</v>
      </c>
      <c r="I639" s="4" t="n">
        <f aca="false">D639*F639</f>
        <v>4.42</v>
      </c>
      <c r="J639" s="3" t="n">
        <f aca="false">IF(AND(LEFT(A639,1)&lt;&gt;"C",D639&gt;0,F639&gt;0),1,0)</f>
        <v>1</v>
      </c>
      <c r="K639" s="3" t="n">
        <f aca="false">IF(AND(H639="United Kingdom",G639&lt;&gt;"",COUNTIFS($G$2:G639,G639,$H$2:H639,"United Kingdom")=1),1,0)</f>
        <v>0</v>
      </c>
    </row>
    <row r="640" customFormat="false" ht="15" hidden="false" customHeight="false" outlineLevel="0" collapsed="false">
      <c r="A640" s="0" t="s">
        <v>203</v>
      </c>
      <c r="B640" s="0" t="s">
        <v>43</v>
      </c>
      <c r="C640" s="0" t="s">
        <v>44</v>
      </c>
      <c r="D640" s="0" t="n">
        <v>2</v>
      </c>
      <c r="E640" s="2" t="n">
        <v>40583.5986111111</v>
      </c>
      <c r="F640" s="0" t="n">
        <v>1.35</v>
      </c>
      <c r="G640" s="0" t="n">
        <v>12972</v>
      </c>
      <c r="H640" s="3" t="s">
        <v>14</v>
      </c>
      <c r="I640" s="4" t="n">
        <f aca="false">D640*F640</f>
        <v>2.7</v>
      </c>
      <c r="J640" s="3" t="n">
        <f aca="false">IF(AND(LEFT(A640,1)&lt;&gt;"C",D640&gt;0,F640&gt;0),1,0)</f>
        <v>1</v>
      </c>
      <c r="K640" s="3" t="n">
        <f aca="false">IF(AND(H640="United Kingdom",G640&lt;&gt;"",COUNTIFS($G$2:G640,G640,$H$2:H640,"United Kingdom")=1),1,0)</f>
        <v>0</v>
      </c>
    </row>
    <row r="641" customFormat="false" ht="15" hidden="false" customHeight="false" outlineLevel="0" collapsed="false">
      <c r="A641" s="0" t="s">
        <v>203</v>
      </c>
      <c r="B641" s="0" t="s">
        <v>113</v>
      </c>
      <c r="C641" s="0" t="s">
        <v>114</v>
      </c>
      <c r="D641" s="0" t="n">
        <v>2</v>
      </c>
      <c r="E641" s="2" t="n">
        <v>40583.5986111111</v>
      </c>
      <c r="F641" s="0" t="n">
        <v>3.57</v>
      </c>
      <c r="G641" s="0" t="n">
        <v>12972</v>
      </c>
      <c r="H641" s="3" t="s">
        <v>14</v>
      </c>
      <c r="I641" s="4" t="n">
        <f aca="false">D641*F641</f>
        <v>7.14</v>
      </c>
      <c r="J641" s="3" t="n">
        <f aca="false">IF(AND(LEFT(A641,1)&lt;&gt;"C",D641&gt;0,F641&gt;0),1,0)</f>
        <v>1</v>
      </c>
      <c r="K641" s="3" t="n">
        <f aca="false">IF(AND(H641="United Kingdom",G641&lt;&gt;"",COUNTIFS($G$2:G641,G641,$H$2:H641,"United Kingdom")=1),1,0)</f>
        <v>0</v>
      </c>
    </row>
    <row r="642" customFormat="false" ht="15" hidden="false" customHeight="false" outlineLevel="0" collapsed="false">
      <c r="A642" s="0" t="s">
        <v>203</v>
      </c>
      <c r="B642" s="0" t="s">
        <v>77</v>
      </c>
      <c r="C642" s="0" t="s">
        <v>78</v>
      </c>
      <c r="D642" s="0" t="n">
        <v>6</v>
      </c>
      <c r="E642" s="2" t="n">
        <v>40583.5986111111</v>
      </c>
      <c r="F642" s="0" t="n">
        <v>3.41</v>
      </c>
      <c r="G642" s="0" t="n">
        <v>12972</v>
      </c>
      <c r="H642" s="3" t="s">
        <v>14</v>
      </c>
      <c r="I642" s="4" t="n">
        <f aca="false">D642*F642</f>
        <v>20.46</v>
      </c>
      <c r="J642" s="3" t="n">
        <f aca="false">IF(AND(LEFT(A642,1)&lt;&gt;"C",D642&gt;0,F642&gt;0),1,0)</f>
        <v>1</v>
      </c>
      <c r="K642" s="3" t="n">
        <f aca="false">IF(AND(H642="United Kingdom",G642&lt;&gt;"",COUNTIFS($G$2:G642,G642,$H$2:H642,"United Kingdom")=1),1,0)</f>
        <v>0</v>
      </c>
    </row>
    <row r="643" customFormat="false" ht="15" hidden="false" customHeight="false" outlineLevel="0" collapsed="false">
      <c r="A643" s="0" t="s">
        <v>203</v>
      </c>
      <c r="B643" s="0" t="s">
        <v>50</v>
      </c>
      <c r="C643" s="0" t="s">
        <v>51</v>
      </c>
      <c r="D643" s="0" t="n">
        <v>2</v>
      </c>
      <c r="E643" s="2" t="n">
        <v>40583.5986111111</v>
      </c>
      <c r="F643" s="0" t="n">
        <v>5.41</v>
      </c>
      <c r="G643" s="0" t="n">
        <v>12972</v>
      </c>
      <c r="H643" s="3" t="s">
        <v>14</v>
      </c>
      <c r="I643" s="4" t="n">
        <f aca="false">D643*F643</f>
        <v>10.82</v>
      </c>
      <c r="J643" s="3" t="n">
        <f aca="false">IF(AND(LEFT(A643,1)&lt;&gt;"C",D643&gt;0,F643&gt;0),1,0)</f>
        <v>1</v>
      </c>
      <c r="K643" s="3" t="n">
        <f aca="false">IF(AND(H643="United Kingdom",G643&lt;&gt;"",COUNTIFS($G$2:G643,G643,$H$2:H643,"United Kingdom")=1),1,0)</f>
        <v>0</v>
      </c>
    </row>
    <row r="644" customFormat="false" ht="15" hidden="false" customHeight="false" outlineLevel="0" collapsed="false">
      <c r="A644" s="0" t="s">
        <v>203</v>
      </c>
      <c r="B644" s="0" t="s">
        <v>60</v>
      </c>
      <c r="C644" s="0" t="s">
        <v>61</v>
      </c>
      <c r="D644" s="0" t="n">
        <v>8</v>
      </c>
      <c r="E644" s="2" t="n">
        <v>40583.5986111111</v>
      </c>
      <c r="F644" s="0" t="n">
        <v>0.63</v>
      </c>
      <c r="G644" s="0" t="n">
        <v>12972</v>
      </c>
      <c r="H644" s="3" t="s">
        <v>14</v>
      </c>
      <c r="I644" s="4" t="n">
        <f aca="false">D644*F644</f>
        <v>5.04</v>
      </c>
      <c r="J644" s="3" t="n">
        <f aca="false">IF(AND(LEFT(A644,1)&lt;&gt;"C",D644&gt;0,F644&gt;0),1,0)</f>
        <v>1</v>
      </c>
      <c r="K644" s="3" t="n">
        <f aca="false">IF(AND(H644="United Kingdom",G644&lt;&gt;"",COUNTIFS($G$2:G644,G644,$H$2:H644,"United Kingdom")=1),1,0)</f>
        <v>0</v>
      </c>
    </row>
    <row r="645" customFormat="false" ht="15" hidden="false" customHeight="false" outlineLevel="0" collapsed="false">
      <c r="A645" s="0" t="s">
        <v>204</v>
      </c>
      <c r="B645" s="0" t="s">
        <v>29</v>
      </c>
      <c r="C645" s="0" t="s">
        <v>30</v>
      </c>
      <c r="D645" s="0" t="n">
        <v>2</v>
      </c>
      <c r="E645" s="2" t="n">
        <v>40583.7951388889</v>
      </c>
      <c r="F645" s="0" t="n">
        <v>5.79</v>
      </c>
      <c r="G645" s="0" t="n">
        <v>12911</v>
      </c>
      <c r="H645" s="3" t="s">
        <v>14</v>
      </c>
      <c r="I645" s="4" t="n">
        <f aca="false">D645*F645</f>
        <v>11.58</v>
      </c>
      <c r="J645" s="3" t="n">
        <f aca="false">IF(AND(LEFT(A645,1)&lt;&gt;"C",D645&gt;0,F645&gt;0),1,0)</f>
        <v>1</v>
      </c>
      <c r="K645" s="3" t="n">
        <f aca="false">IF(AND(H645="United Kingdom",G645&lt;&gt;"",COUNTIFS($G$2:G645,G645,$H$2:H645,"United Kingdom")=1),1,0)</f>
        <v>1</v>
      </c>
    </row>
    <row r="646" customFormat="false" ht="15" hidden="false" customHeight="false" outlineLevel="0" collapsed="false">
      <c r="A646" s="0" t="s">
        <v>204</v>
      </c>
      <c r="B646" s="0" t="s">
        <v>52</v>
      </c>
      <c r="C646" s="0" t="s">
        <v>53</v>
      </c>
      <c r="D646" s="0" t="n">
        <v>4</v>
      </c>
      <c r="E646" s="2" t="n">
        <v>40583.7951388889</v>
      </c>
      <c r="F646" s="0" t="n">
        <v>4.16</v>
      </c>
      <c r="G646" s="0" t="n">
        <v>12911</v>
      </c>
      <c r="H646" s="3" t="s">
        <v>14</v>
      </c>
      <c r="I646" s="4" t="n">
        <f aca="false">D646*F646</f>
        <v>16.64</v>
      </c>
      <c r="J646" s="3" t="n">
        <f aca="false">IF(AND(LEFT(A646,1)&lt;&gt;"C",D646&gt;0,F646&gt;0),1,0)</f>
        <v>1</v>
      </c>
      <c r="K646" s="3" t="n">
        <f aca="false">IF(AND(H646="United Kingdom",G646&lt;&gt;"",COUNTIFS($G$2:G646,G646,$H$2:H646,"United Kingdom")=1),1,0)</f>
        <v>0</v>
      </c>
    </row>
    <row r="647" customFormat="false" ht="15" hidden="false" customHeight="false" outlineLevel="0" collapsed="false">
      <c r="A647" s="0" t="s">
        <v>204</v>
      </c>
      <c r="B647" s="0" t="s">
        <v>22</v>
      </c>
      <c r="C647" s="0" t="s">
        <v>23</v>
      </c>
      <c r="D647" s="0" t="n">
        <v>1</v>
      </c>
      <c r="E647" s="2" t="n">
        <v>40583.7951388889</v>
      </c>
      <c r="F647" s="0" t="n">
        <v>3.18</v>
      </c>
      <c r="G647" s="0" t="n">
        <v>12911</v>
      </c>
      <c r="H647" s="3" t="s">
        <v>14</v>
      </c>
      <c r="I647" s="4" t="n">
        <f aca="false">D647*F647</f>
        <v>3.18</v>
      </c>
      <c r="J647" s="3" t="n">
        <f aca="false">IF(AND(LEFT(A647,1)&lt;&gt;"C",D647&gt;0,F647&gt;0),1,0)</f>
        <v>1</v>
      </c>
      <c r="K647" s="3" t="n">
        <f aca="false">IF(AND(H647="United Kingdom",G647&lt;&gt;"",COUNTIFS($G$2:G647,G647,$H$2:H647,"United Kingdom")=1),1,0)</f>
        <v>0</v>
      </c>
    </row>
    <row r="648" customFormat="false" ht="15" hidden="false" customHeight="false" outlineLevel="0" collapsed="false">
      <c r="A648" s="0" t="s">
        <v>204</v>
      </c>
      <c r="B648" s="0" t="s">
        <v>50</v>
      </c>
      <c r="C648" s="0" t="s">
        <v>51</v>
      </c>
      <c r="D648" s="0" t="n">
        <v>4</v>
      </c>
      <c r="E648" s="2" t="n">
        <v>40583.7951388889</v>
      </c>
      <c r="F648" s="0" t="n">
        <v>5.41</v>
      </c>
      <c r="G648" s="0" t="n">
        <v>12911</v>
      </c>
      <c r="H648" s="3" t="s">
        <v>14</v>
      </c>
      <c r="I648" s="4" t="n">
        <f aca="false">D648*F648</f>
        <v>21.64</v>
      </c>
      <c r="J648" s="3" t="n">
        <f aca="false">IF(AND(LEFT(A648,1)&lt;&gt;"C",D648&gt;0,F648&gt;0),1,0)</f>
        <v>1</v>
      </c>
      <c r="K648" s="3" t="n">
        <f aca="false">IF(AND(H648="United Kingdom",G648&lt;&gt;"",COUNTIFS($G$2:G648,G648,$H$2:H648,"United Kingdom")=1),1,0)</f>
        <v>0</v>
      </c>
    </row>
    <row r="649" customFormat="false" ht="15" hidden="false" customHeight="false" outlineLevel="0" collapsed="false">
      <c r="A649" s="0" t="s">
        <v>204</v>
      </c>
      <c r="B649" s="0" t="s">
        <v>113</v>
      </c>
      <c r="C649" s="0" t="s">
        <v>114</v>
      </c>
      <c r="D649" s="0" t="n">
        <v>12</v>
      </c>
      <c r="E649" s="2" t="n">
        <v>40583.7951388889</v>
      </c>
      <c r="F649" s="0" t="n">
        <v>3.57</v>
      </c>
      <c r="G649" s="0" t="n">
        <v>12911</v>
      </c>
      <c r="H649" s="3" t="s">
        <v>14</v>
      </c>
      <c r="I649" s="4" t="n">
        <f aca="false">D649*F649</f>
        <v>42.84</v>
      </c>
      <c r="J649" s="3" t="n">
        <f aca="false">IF(AND(LEFT(A649,1)&lt;&gt;"C",D649&gt;0,F649&gt;0),1,0)</f>
        <v>1</v>
      </c>
      <c r="K649" s="3" t="n">
        <f aca="false">IF(AND(H649="United Kingdom",G649&lt;&gt;"",COUNTIFS($G$2:G649,G649,$H$2:H649,"United Kingdom")=1),1,0)</f>
        <v>0</v>
      </c>
    </row>
    <row r="650" customFormat="false" ht="15" hidden="false" customHeight="false" outlineLevel="0" collapsed="false">
      <c r="A650" s="0" t="s">
        <v>204</v>
      </c>
      <c r="B650" s="0" t="s">
        <v>58</v>
      </c>
      <c r="C650" s="0" t="s">
        <v>59</v>
      </c>
      <c r="D650" s="0" t="n">
        <v>12</v>
      </c>
      <c r="E650" s="2" t="n">
        <v>40583.7951388889</v>
      </c>
      <c r="F650" s="0" t="n">
        <v>2.16</v>
      </c>
      <c r="G650" s="0" t="n">
        <v>12911</v>
      </c>
      <c r="H650" s="3" t="s">
        <v>14</v>
      </c>
      <c r="I650" s="4" t="n">
        <f aca="false">D650*F650</f>
        <v>25.92</v>
      </c>
      <c r="J650" s="3" t="n">
        <f aca="false">IF(AND(LEFT(A650,1)&lt;&gt;"C",D650&gt;0,F650&gt;0),1,0)</f>
        <v>1</v>
      </c>
      <c r="K650" s="3" t="n">
        <f aca="false">IF(AND(H650="United Kingdom",G650&lt;&gt;"",COUNTIFS($G$2:G650,G650,$H$2:H650,"United Kingdom")=1),1,0)</f>
        <v>0</v>
      </c>
    </row>
    <row r="651" customFormat="false" ht="15" hidden="false" customHeight="false" outlineLevel="0" collapsed="false">
      <c r="A651" s="0" t="s">
        <v>204</v>
      </c>
      <c r="B651" s="0" t="s">
        <v>80</v>
      </c>
      <c r="C651" s="0" t="s">
        <v>81</v>
      </c>
      <c r="D651" s="0" t="n">
        <v>12</v>
      </c>
      <c r="E651" s="2" t="n">
        <v>40583.7951388889</v>
      </c>
      <c r="F651" s="0" t="n">
        <v>1.53</v>
      </c>
      <c r="G651" s="0" t="n">
        <v>12911</v>
      </c>
      <c r="H651" s="3" t="s">
        <v>14</v>
      </c>
      <c r="I651" s="4" t="n">
        <f aca="false">D651*F651</f>
        <v>18.36</v>
      </c>
      <c r="J651" s="3" t="n">
        <f aca="false">IF(AND(LEFT(A651,1)&lt;&gt;"C",D651&gt;0,F651&gt;0),1,0)</f>
        <v>1</v>
      </c>
      <c r="K651" s="3" t="n">
        <f aca="false">IF(AND(H651="United Kingdom",G651&lt;&gt;"",COUNTIFS($G$2:G651,G651,$H$2:H651,"United Kingdom")=1),1,0)</f>
        <v>0</v>
      </c>
    </row>
    <row r="652" customFormat="false" ht="15" hidden="false" customHeight="false" outlineLevel="0" collapsed="false">
      <c r="A652" s="0" t="s">
        <v>204</v>
      </c>
      <c r="B652" s="0" t="s">
        <v>72</v>
      </c>
      <c r="C652" s="0" t="s">
        <v>73</v>
      </c>
      <c r="D652" s="0" t="n">
        <v>16</v>
      </c>
      <c r="E652" s="2" t="n">
        <v>40583.7951388889</v>
      </c>
      <c r="F652" s="0" t="n">
        <v>2.69</v>
      </c>
      <c r="G652" s="0" t="n">
        <v>12911</v>
      </c>
      <c r="H652" s="3" t="s">
        <v>14</v>
      </c>
      <c r="I652" s="4" t="n">
        <f aca="false">D652*F652</f>
        <v>43.04</v>
      </c>
      <c r="J652" s="3" t="n">
        <f aca="false">IF(AND(LEFT(A652,1)&lt;&gt;"C",D652&gt;0,F652&gt;0),1,0)</f>
        <v>1</v>
      </c>
      <c r="K652" s="3" t="n">
        <f aca="false">IF(AND(H652="United Kingdom",G652&lt;&gt;"",COUNTIFS($G$2:G652,G652,$H$2:H652,"United Kingdom")=1),1,0)</f>
        <v>0</v>
      </c>
    </row>
    <row r="653" customFormat="false" ht="15" hidden="false" customHeight="false" outlineLevel="0" collapsed="false">
      <c r="A653" s="0" t="s">
        <v>204</v>
      </c>
      <c r="B653" s="0" t="s">
        <v>12</v>
      </c>
      <c r="C653" s="0" t="s">
        <v>13</v>
      </c>
      <c r="D653" s="0" t="n">
        <v>16</v>
      </c>
      <c r="E653" s="2" t="n">
        <v>40583.7951388889</v>
      </c>
      <c r="F653" s="0" t="n">
        <v>3.33</v>
      </c>
      <c r="G653" s="0" t="n">
        <v>12911</v>
      </c>
      <c r="H653" s="3" t="s">
        <v>14</v>
      </c>
      <c r="I653" s="4" t="n">
        <f aca="false">D653*F653</f>
        <v>53.28</v>
      </c>
      <c r="J653" s="3" t="n">
        <f aca="false">IF(AND(LEFT(A653,1)&lt;&gt;"C",D653&gt;0,F653&gt;0),1,0)</f>
        <v>1</v>
      </c>
      <c r="K653" s="3" t="n">
        <f aca="false">IF(AND(H653="United Kingdom",G653&lt;&gt;"",COUNTIFS($G$2:G653,G653,$H$2:H653,"United Kingdom")=1),1,0)</f>
        <v>0</v>
      </c>
    </row>
    <row r="654" customFormat="false" ht="15" hidden="false" customHeight="false" outlineLevel="0" collapsed="false">
      <c r="A654" s="0" t="s">
        <v>204</v>
      </c>
      <c r="B654" s="0" t="s">
        <v>90</v>
      </c>
      <c r="C654" s="0" t="s">
        <v>91</v>
      </c>
      <c r="D654" s="0" t="n">
        <v>3</v>
      </c>
      <c r="E654" s="2" t="n">
        <v>40583.7951388889</v>
      </c>
      <c r="F654" s="0" t="n">
        <v>3.04</v>
      </c>
      <c r="G654" s="0" t="n">
        <v>12911</v>
      </c>
      <c r="H654" s="3" t="s">
        <v>14</v>
      </c>
      <c r="I654" s="4" t="n">
        <f aca="false">D654*F654</f>
        <v>9.12</v>
      </c>
      <c r="J654" s="3" t="n">
        <f aca="false">IF(AND(LEFT(A654,1)&lt;&gt;"C",D654&gt;0,F654&gt;0),1,0)</f>
        <v>1</v>
      </c>
      <c r="K654" s="3" t="n">
        <f aca="false">IF(AND(H654="United Kingdom",G654&lt;&gt;"",COUNTIFS($G$2:G654,G654,$H$2:H654,"United Kingdom")=1),1,0)</f>
        <v>0</v>
      </c>
    </row>
    <row r="655" customFormat="false" ht="15" hidden="false" customHeight="false" outlineLevel="0" collapsed="false">
      <c r="A655" s="0" t="s">
        <v>204</v>
      </c>
      <c r="B655" s="0" t="s">
        <v>54</v>
      </c>
      <c r="C655" s="0" t="s">
        <v>55</v>
      </c>
      <c r="D655" s="0" t="n">
        <v>6</v>
      </c>
      <c r="E655" s="2" t="n">
        <v>40583.7951388889</v>
      </c>
      <c r="F655" s="0" t="n">
        <v>0.99</v>
      </c>
      <c r="G655" s="0" t="n">
        <v>12911</v>
      </c>
      <c r="H655" s="3" t="s">
        <v>14</v>
      </c>
      <c r="I655" s="4" t="n">
        <f aca="false">D655*F655</f>
        <v>5.94</v>
      </c>
      <c r="J655" s="3" t="n">
        <f aca="false">IF(AND(LEFT(A655,1)&lt;&gt;"C",D655&gt;0,F655&gt;0),1,0)</f>
        <v>1</v>
      </c>
      <c r="K655" s="3" t="n">
        <f aca="false">IF(AND(H655="United Kingdom",G655&lt;&gt;"",COUNTIFS($G$2:G655,G655,$H$2:H655,"United Kingdom")=1),1,0)</f>
        <v>0</v>
      </c>
    </row>
    <row r="656" customFormat="false" ht="15" hidden="false" customHeight="false" outlineLevel="0" collapsed="false">
      <c r="A656" s="0" t="s">
        <v>204</v>
      </c>
      <c r="B656" s="0" t="s">
        <v>77</v>
      </c>
      <c r="C656" s="0" t="s">
        <v>78</v>
      </c>
      <c r="D656" s="0" t="n">
        <v>6</v>
      </c>
      <c r="E656" s="2" t="n">
        <v>40583.7951388889</v>
      </c>
      <c r="F656" s="0" t="n">
        <v>3.41</v>
      </c>
      <c r="G656" s="0" t="n">
        <v>12911</v>
      </c>
      <c r="H656" s="3" t="s">
        <v>14</v>
      </c>
      <c r="I656" s="4" t="n">
        <f aca="false">D656*F656</f>
        <v>20.46</v>
      </c>
      <c r="J656" s="3" t="n">
        <f aca="false">IF(AND(LEFT(A656,1)&lt;&gt;"C",D656&gt;0,F656&gt;0),1,0)</f>
        <v>1</v>
      </c>
      <c r="K656" s="3" t="n">
        <f aca="false">IF(AND(H656="United Kingdom",G656&lt;&gt;"",COUNTIFS($G$2:G656,G656,$H$2:H656,"United Kingdom")=1),1,0)</f>
        <v>0</v>
      </c>
    </row>
    <row r="657" customFormat="false" ht="15" hidden="false" customHeight="false" outlineLevel="0" collapsed="false">
      <c r="A657" s="0" t="s">
        <v>205</v>
      </c>
      <c r="B657" s="0" t="s">
        <v>29</v>
      </c>
      <c r="C657" s="0" t="s">
        <v>30</v>
      </c>
      <c r="D657" s="0" t="n">
        <v>12</v>
      </c>
      <c r="E657" s="2" t="n">
        <v>40584.4763888889</v>
      </c>
      <c r="F657" s="0" t="n">
        <v>5.79</v>
      </c>
      <c r="G657" s="0" t="n">
        <v>16324</v>
      </c>
      <c r="H657" s="3" t="s">
        <v>14</v>
      </c>
      <c r="I657" s="4" t="n">
        <f aca="false">D657*F657</f>
        <v>69.48</v>
      </c>
      <c r="J657" s="3" t="n">
        <f aca="false">IF(AND(LEFT(A657,1)&lt;&gt;"C",D657&gt;0,F657&gt;0),1,0)</f>
        <v>1</v>
      </c>
      <c r="K657" s="3" t="n">
        <f aca="false">IF(AND(H657="United Kingdom",G657&lt;&gt;"",COUNTIFS($G$2:G657,G657,$H$2:H657,"United Kingdom")=1),1,0)</f>
        <v>1</v>
      </c>
    </row>
    <row r="658" customFormat="false" ht="15" hidden="false" customHeight="false" outlineLevel="0" collapsed="false">
      <c r="A658" s="0" t="s">
        <v>206</v>
      </c>
      <c r="B658" s="0" t="s">
        <v>58</v>
      </c>
      <c r="C658" s="0" t="s">
        <v>59</v>
      </c>
      <c r="D658" s="0" t="n">
        <v>21</v>
      </c>
      <c r="E658" s="2" t="n">
        <v>40584.5520833333</v>
      </c>
      <c r="F658" s="0" t="n">
        <v>2.16</v>
      </c>
      <c r="G658" s="0" t="n">
        <v>13710</v>
      </c>
      <c r="H658" s="3" t="s">
        <v>177</v>
      </c>
      <c r="I658" s="4" t="n">
        <f aca="false">D658*F658</f>
        <v>45.36</v>
      </c>
      <c r="J658" s="3" t="n">
        <f aca="false">IF(AND(LEFT(A658,1)&lt;&gt;"C",D658&gt;0,F658&gt;0),1,0)</f>
        <v>1</v>
      </c>
      <c r="K658" s="3" t="n">
        <f aca="false">IF(AND(H658="United Kingdom",G658&lt;&gt;"",COUNTIFS($G$2:G658,G658,$H$2:H658,"United Kingdom")=1),1,0)</f>
        <v>0</v>
      </c>
    </row>
    <row r="659" customFormat="false" ht="15" hidden="false" customHeight="false" outlineLevel="0" collapsed="false">
      <c r="A659" s="0" t="s">
        <v>207</v>
      </c>
      <c r="B659" s="0" t="s">
        <v>68</v>
      </c>
      <c r="C659" s="0" t="s">
        <v>69</v>
      </c>
      <c r="D659" s="0" t="n">
        <v>1</v>
      </c>
      <c r="E659" s="2" t="n">
        <v>40584.6527777778</v>
      </c>
      <c r="F659" s="0" t="n">
        <v>1.26</v>
      </c>
      <c r="G659" s="0" t="n">
        <v>17147</v>
      </c>
      <c r="H659" s="3" t="s">
        <v>14</v>
      </c>
      <c r="I659" s="4" t="n">
        <f aca="false">D659*F659</f>
        <v>1.26</v>
      </c>
      <c r="J659" s="3" t="n">
        <f aca="false">IF(AND(LEFT(A659,1)&lt;&gt;"C",D659&gt;0,F659&gt;0),1,0)</f>
        <v>1</v>
      </c>
      <c r="K659" s="3" t="n">
        <f aca="false">IF(AND(H659="United Kingdom",G659&lt;&gt;"",COUNTIFS($G$2:G659,G659,$H$2:H659,"United Kingdom")=1),1,0)</f>
        <v>1</v>
      </c>
    </row>
    <row r="660" customFormat="false" ht="15" hidden="false" customHeight="false" outlineLevel="0" collapsed="false">
      <c r="A660" s="0" t="s">
        <v>207</v>
      </c>
      <c r="B660" s="0" t="s">
        <v>90</v>
      </c>
      <c r="C660" s="0" t="s">
        <v>91</v>
      </c>
      <c r="D660" s="0" t="n">
        <v>4</v>
      </c>
      <c r="E660" s="2" t="n">
        <v>40584.6527777778</v>
      </c>
      <c r="F660" s="0" t="n">
        <v>3.04</v>
      </c>
      <c r="G660" s="0" t="n">
        <v>17147</v>
      </c>
      <c r="H660" s="3" t="s">
        <v>14</v>
      </c>
      <c r="I660" s="4" t="n">
        <f aca="false">D660*F660</f>
        <v>12.16</v>
      </c>
      <c r="J660" s="3" t="n">
        <f aca="false">IF(AND(LEFT(A660,1)&lt;&gt;"C",D660&gt;0,F660&gt;0),1,0)</f>
        <v>1</v>
      </c>
      <c r="K660" s="3" t="n">
        <f aca="false">IF(AND(H660="United Kingdom",G660&lt;&gt;"",COUNTIFS($G$2:G660,G660,$H$2:H660,"United Kingdom")=1),1,0)</f>
        <v>0</v>
      </c>
    </row>
    <row r="661" customFormat="false" ht="15" hidden="false" customHeight="false" outlineLevel="0" collapsed="false">
      <c r="A661" s="0" t="s">
        <v>207</v>
      </c>
      <c r="B661" s="0" t="s">
        <v>58</v>
      </c>
      <c r="C661" s="0" t="s">
        <v>59</v>
      </c>
      <c r="D661" s="0" t="n">
        <v>8</v>
      </c>
      <c r="E661" s="2" t="n">
        <v>40584.6527777778</v>
      </c>
      <c r="F661" s="0" t="n">
        <v>2.16</v>
      </c>
      <c r="G661" s="0" t="n">
        <v>17147</v>
      </c>
      <c r="H661" s="3" t="s">
        <v>14</v>
      </c>
      <c r="I661" s="4" t="n">
        <f aca="false">D661*F661</f>
        <v>17.28</v>
      </c>
      <c r="J661" s="3" t="n">
        <f aca="false">IF(AND(LEFT(A661,1)&lt;&gt;"C",D661&gt;0,F661&gt;0),1,0)</f>
        <v>1</v>
      </c>
      <c r="K661" s="3" t="n">
        <f aca="false">IF(AND(H661="United Kingdom",G661&lt;&gt;"",COUNTIFS($G$2:G661,G661,$H$2:H661,"United Kingdom")=1),1,0)</f>
        <v>0</v>
      </c>
    </row>
    <row r="662" customFormat="false" ht="15" hidden="false" customHeight="false" outlineLevel="0" collapsed="false">
      <c r="A662" s="0" t="s">
        <v>207</v>
      </c>
      <c r="B662" s="0" t="s">
        <v>17</v>
      </c>
      <c r="C662" s="0" t="s">
        <v>18</v>
      </c>
      <c r="D662" s="0" t="n">
        <v>3</v>
      </c>
      <c r="E662" s="2" t="n">
        <v>40584.6527777778</v>
      </c>
      <c r="F662" s="0" t="n">
        <v>1.92</v>
      </c>
      <c r="G662" s="0" t="n">
        <v>17147</v>
      </c>
      <c r="H662" s="3" t="s">
        <v>14</v>
      </c>
      <c r="I662" s="4" t="n">
        <f aca="false">D662*F662</f>
        <v>5.76</v>
      </c>
      <c r="J662" s="3" t="n">
        <f aca="false">IF(AND(LEFT(A662,1)&lt;&gt;"C",D662&gt;0,F662&gt;0),1,0)</f>
        <v>1</v>
      </c>
      <c r="K662" s="3" t="n">
        <f aca="false">IF(AND(H662="United Kingdom",G662&lt;&gt;"",COUNTIFS($G$2:G662,G662,$H$2:H662,"United Kingdom")=1),1,0)</f>
        <v>0</v>
      </c>
    </row>
    <row r="663" customFormat="false" ht="15" hidden="false" customHeight="false" outlineLevel="0" collapsed="false">
      <c r="A663" s="0" t="s">
        <v>208</v>
      </c>
      <c r="B663" s="0" t="s">
        <v>15</v>
      </c>
      <c r="C663" s="0" t="s">
        <v>16</v>
      </c>
      <c r="D663" s="0" t="n">
        <v>1</v>
      </c>
      <c r="E663" s="2" t="n">
        <v>40586.3340277778</v>
      </c>
      <c r="F663" s="0" t="n">
        <v>3.18</v>
      </c>
      <c r="G663" s="0" t="n">
        <v>16828</v>
      </c>
      <c r="H663" s="3" t="s">
        <v>14</v>
      </c>
      <c r="I663" s="4" t="n">
        <f aca="false">D663*F663</f>
        <v>3.18</v>
      </c>
      <c r="J663" s="3" t="n">
        <f aca="false">IF(AND(LEFT(A663,1)&lt;&gt;"C",D663&gt;0,F663&gt;0),1,0)</f>
        <v>1</v>
      </c>
      <c r="K663" s="3" t="n">
        <f aca="false">IF(AND(H663="United Kingdom",G663&lt;&gt;"",COUNTIFS($G$2:G663,G663,$H$2:H663,"United Kingdom")=1),1,0)</f>
        <v>0</v>
      </c>
    </row>
    <row r="664" customFormat="false" ht="15" hidden="false" customHeight="false" outlineLevel="0" collapsed="false">
      <c r="A664" s="0" t="s">
        <v>208</v>
      </c>
      <c r="B664" s="0" t="s">
        <v>41</v>
      </c>
      <c r="C664" s="0" t="s">
        <v>42</v>
      </c>
      <c r="D664" s="0" t="n">
        <v>4</v>
      </c>
      <c r="E664" s="2" t="n">
        <v>40586.3340277778</v>
      </c>
      <c r="F664" s="0" t="n">
        <v>3.28</v>
      </c>
      <c r="G664" s="0" t="n">
        <v>16828</v>
      </c>
      <c r="H664" s="3" t="s">
        <v>14</v>
      </c>
      <c r="I664" s="4" t="n">
        <f aca="false">D664*F664</f>
        <v>13.12</v>
      </c>
      <c r="J664" s="3" t="n">
        <f aca="false">IF(AND(LEFT(A664,1)&lt;&gt;"C",D664&gt;0,F664&gt;0),1,0)</f>
        <v>1</v>
      </c>
      <c r="K664" s="3" t="n">
        <f aca="false">IF(AND(H664="United Kingdom",G664&lt;&gt;"",COUNTIFS($G$2:G664,G664,$H$2:H664,"United Kingdom")=1),1,0)</f>
        <v>0</v>
      </c>
    </row>
    <row r="665" customFormat="false" ht="15" hidden="false" customHeight="false" outlineLevel="0" collapsed="false">
      <c r="A665" s="0" t="s">
        <v>208</v>
      </c>
      <c r="B665" s="0" t="s">
        <v>32</v>
      </c>
      <c r="C665" s="0" t="s">
        <v>33</v>
      </c>
      <c r="D665" s="0" t="n">
        <v>2</v>
      </c>
      <c r="E665" s="2" t="n">
        <v>40586.3340277778</v>
      </c>
      <c r="F665" s="0" t="n">
        <v>1.19</v>
      </c>
      <c r="G665" s="0" t="n">
        <v>16828</v>
      </c>
      <c r="H665" s="3" t="s">
        <v>14</v>
      </c>
      <c r="I665" s="4" t="n">
        <f aca="false">D665*F665</f>
        <v>2.38</v>
      </c>
      <c r="J665" s="3" t="n">
        <f aca="false">IF(AND(LEFT(A665,1)&lt;&gt;"C",D665&gt;0,F665&gt;0),1,0)</f>
        <v>1</v>
      </c>
      <c r="K665" s="3" t="n">
        <f aca="false">IF(AND(H665="United Kingdom",G665&lt;&gt;"",COUNTIFS($G$2:G665,G665,$H$2:H665,"United Kingdom")=1),1,0)</f>
        <v>0</v>
      </c>
    </row>
    <row r="666" customFormat="false" ht="15" hidden="false" customHeight="false" outlineLevel="0" collapsed="false">
      <c r="A666" s="0" t="s">
        <v>208</v>
      </c>
      <c r="B666" s="0" t="s">
        <v>29</v>
      </c>
      <c r="C666" s="0" t="s">
        <v>30</v>
      </c>
      <c r="D666" s="0" t="n">
        <v>2</v>
      </c>
      <c r="E666" s="2" t="n">
        <v>40586.3340277778</v>
      </c>
      <c r="F666" s="0" t="n">
        <v>5.79</v>
      </c>
      <c r="G666" s="0" t="n">
        <v>16828</v>
      </c>
      <c r="H666" s="3" t="s">
        <v>14</v>
      </c>
      <c r="I666" s="4" t="n">
        <f aca="false">D666*F666</f>
        <v>11.58</v>
      </c>
      <c r="J666" s="3" t="n">
        <f aca="false">IF(AND(LEFT(A666,1)&lt;&gt;"C",D666&gt;0,F666&gt;0),1,0)</f>
        <v>1</v>
      </c>
      <c r="K666" s="3" t="n">
        <f aca="false">IF(AND(H666="United Kingdom",G666&lt;&gt;"",COUNTIFS($G$2:G666,G666,$H$2:H666,"United Kingdom")=1),1,0)</f>
        <v>0</v>
      </c>
    </row>
    <row r="667" customFormat="false" ht="15" hidden="false" customHeight="false" outlineLevel="0" collapsed="false">
      <c r="A667" s="0" t="s">
        <v>208</v>
      </c>
      <c r="B667" s="0" t="s">
        <v>68</v>
      </c>
      <c r="C667" s="0" t="s">
        <v>69</v>
      </c>
      <c r="D667" s="0" t="n">
        <v>3</v>
      </c>
      <c r="E667" s="2" t="n">
        <v>40586.3340277778</v>
      </c>
      <c r="F667" s="0" t="n">
        <v>1.26</v>
      </c>
      <c r="G667" s="0" t="n">
        <v>16828</v>
      </c>
      <c r="H667" s="3" t="s">
        <v>14</v>
      </c>
      <c r="I667" s="4" t="n">
        <f aca="false">D667*F667</f>
        <v>3.78</v>
      </c>
      <c r="J667" s="3" t="n">
        <f aca="false">IF(AND(LEFT(A667,1)&lt;&gt;"C",D667&gt;0,F667&gt;0),1,0)</f>
        <v>1</v>
      </c>
      <c r="K667" s="3" t="n">
        <f aca="false">IF(AND(H667="United Kingdom",G667&lt;&gt;"",COUNTIFS($G$2:G667,G667,$H$2:H667,"United Kingdom")=1),1,0)</f>
        <v>0</v>
      </c>
    </row>
    <row r="668" customFormat="false" ht="15" hidden="false" customHeight="false" outlineLevel="0" collapsed="false">
      <c r="A668" s="0" t="s">
        <v>208</v>
      </c>
      <c r="B668" s="0" t="s">
        <v>90</v>
      </c>
      <c r="C668" s="0" t="s">
        <v>91</v>
      </c>
      <c r="D668" s="0" t="n">
        <v>2</v>
      </c>
      <c r="E668" s="2" t="n">
        <v>40586.3340277778</v>
      </c>
      <c r="F668" s="0" t="n">
        <v>3.04</v>
      </c>
      <c r="G668" s="0" t="n">
        <v>16828</v>
      </c>
      <c r="H668" s="3" t="s">
        <v>14</v>
      </c>
      <c r="I668" s="4" t="n">
        <f aca="false">D668*F668</f>
        <v>6.08</v>
      </c>
      <c r="J668" s="3" t="n">
        <f aca="false">IF(AND(LEFT(A668,1)&lt;&gt;"C",D668&gt;0,F668&gt;0),1,0)</f>
        <v>1</v>
      </c>
      <c r="K668" s="3" t="n">
        <f aca="false">IF(AND(H668="United Kingdom",G668&lt;&gt;"",COUNTIFS($G$2:G668,G668,$H$2:H668,"United Kingdom")=1),1,0)</f>
        <v>0</v>
      </c>
    </row>
    <row r="669" customFormat="false" ht="15" hidden="false" customHeight="false" outlineLevel="0" collapsed="false">
      <c r="A669" s="0" t="s">
        <v>208</v>
      </c>
      <c r="B669" s="0" t="s">
        <v>20</v>
      </c>
      <c r="C669" s="0" t="s">
        <v>21</v>
      </c>
      <c r="D669" s="0" t="n">
        <v>2</v>
      </c>
      <c r="E669" s="2" t="n">
        <v>40586.3340277778</v>
      </c>
      <c r="F669" s="0" t="n">
        <v>4.24</v>
      </c>
      <c r="G669" s="0" t="n">
        <v>16828</v>
      </c>
      <c r="H669" s="3" t="s">
        <v>14</v>
      </c>
      <c r="I669" s="4" t="n">
        <f aca="false">D669*F669</f>
        <v>8.48</v>
      </c>
      <c r="J669" s="3" t="n">
        <f aca="false">IF(AND(LEFT(A669,1)&lt;&gt;"C",D669&gt;0,F669&gt;0),1,0)</f>
        <v>1</v>
      </c>
      <c r="K669" s="3" t="n">
        <f aca="false">IF(AND(H669="United Kingdom",G669&lt;&gt;"",COUNTIFS($G$2:G669,G669,$H$2:H669,"United Kingdom")=1),1,0)</f>
        <v>0</v>
      </c>
    </row>
    <row r="670" customFormat="false" ht="15" hidden="false" customHeight="false" outlineLevel="0" collapsed="false">
      <c r="A670" s="0" t="s">
        <v>208</v>
      </c>
      <c r="B670" s="0" t="s">
        <v>17</v>
      </c>
      <c r="C670" s="0" t="s">
        <v>18</v>
      </c>
      <c r="D670" s="0" t="n">
        <v>3</v>
      </c>
      <c r="E670" s="2" t="n">
        <v>40586.3340277778</v>
      </c>
      <c r="F670" s="0" t="n">
        <v>1.92</v>
      </c>
      <c r="G670" s="0" t="n">
        <v>16828</v>
      </c>
      <c r="H670" s="3" t="s">
        <v>14</v>
      </c>
      <c r="I670" s="4" t="n">
        <f aca="false">D670*F670</f>
        <v>5.76</v>
      </c>
      <c r="J670" s="3" t="n">
        <f aca="false">IF(AND(LEFT(A670,1)&lt;&gt;"C",D670&gt;0,F670&gt;0),1,0)</f>
        <v>1</v>
      </c>
      <c r="K670" s="3" t="n">
        <f aca="false">IF(AND(H670="United Kingdom",G670&lt;&gt;"",COUNTIFS($G$2:G670,G670,$H$2:H670,"United Kingdom")=1),1,0)</f>
        <v>0</v>
      </c>
    </row>
    <row r="671" customFormat="false" ht="15" hidden="false" customHeight="false" outlineLevel="0" collapsed="false">
      <c r="A671" s="0" t="s">
        <v>208</v>
      </c>
      <c r="B671" s="0" t="s">
        <v>77</v>
      </c>
      <c r="C671" s="0" t="s">
        <v>78</v>
      </c>
      <c r="D671" s="0" t="n">
        <v>12</v>
      </c>
      <c r="E671" s="2" t="n">
        <v>40586.3340277778</v>
      </c>
      <c r="F671" s="0" t="n">
        <v>3.41</v>
      </c>
      <c r="G671" s="0" t="n">
        <v>16828</v>
      </c>
      <c r="H671" s="3" t="s">
        <v>14</v>
      </c>
      <c r="I671" s="4" t="n">
        <f aca="false">D671*F671</f>
        <v>40.92</v>
      </c>
      <c r="J671" s="3" t="n">
        <f aca="false">IF(AND(LEFT(A671,1)&lt;&gt;"C",D671&gt;0,F671&gt;0),1,0)</f>
        <v>1</v>
      </c>
      <c r="K671" s="3" t="n">
        <f aca="false">IF(AND(H671="United Kingdom",G671&lt;&gt;"",COUNTIFS($G$2:G671,G671,$H$2:H671,"United Kingdom")=1),1,0)</f>
        <v>0</v>
      </c>
    </row>
    <row r="672" customFormat="false" ht="15" hidden="false" customHeight="false" outlineLevel="0" collapsed="false">
      <c r="A672" s="0" t="s">
        <v>208</v>
      </c>
      <c r="B672" s="0" t="s">
        <v>25</v>
      </c>
      <c r="C672" s="0" t="s">
        <v>26</v>
      </c>
      <c r="D672" s="0" t="n">
        <v>6</v>
      </c>
      <c r="E672" s="2" t="n">
        <v>40586.3340277778</v>
      </c>
      <c r="F672" s="0" t="n">
        <v>2.21</v>
      </c>
      <c r="G672" s="0" t="n">
        <v>16828</v>
      </c>
      <c r="H672" s="3" t="s">
        <v>14</v>
      </c>
      <c r="I672" s="4" t="n">
        <f aca="false">D672*F672</f>
        <v>13.26</v>
      </c>
      <c r="J672" s="3" t="n">
        <f aca="false">IF(AND(LEFT(A672,1)&lt;&gt;"C",D672&gt;0,F672&gt;0),1,0)</f>
        <v>1</v>
      </c>
      <c r="K672" s="3" t="n">
        <f aca="false">IF(AND(H672="United Kingdom",G672&lt;&gt;"",COUNTIFS($G$2:G672,G672,$H$2:H672,"United Kingdom")=1),1,0)</f>
        <v>0</v>
      </c>
    </row>
    <row r="673" customFormat="false" ht="15" hidden="false" customHeight="false" outlineLevel="0" collapsed="false">
      <c r="A673" s="0" t="s">
        <v>208</v>
      </c>
      <c r="B673" s="0" t="s">
        <v>60</v>
      </c>
      <c r="C673" s="0" t="s">
        <v>61</v>
      </c>
      <c r="D673" s="0" t="n">
        <v>24</v>
      </c>
      <c r="E673" s="2" t="n">
        <v>40586.3340277778</v>
      </c>
      <c r="F673" s="0" t="n">
        <v>0.63</v>
      </c>
      <c r="G673" s="0" t="n">
        <v>16828</v>
      </c>
      <c r="H673" s="3" t="s">
        <v>14</v>
      </c>
      <c r="I673" s="4" t="n">
        <f aca="false">D673*F673</f>
        <v>15.12</v>
      </c>
      <c r="J673" s="3" t="n">
        <f aca="false">IF(AND(LEFT(A673,1)&lt;&gt;"C",D673&gt;0,F673&gt;0),1,0)</f>
        <v>1</v>
      </c>
      <c r="K673" s="3" t="n">
        <f aca="false">IF(AND(H673="United Kingdom",G673&lt;&gt;"",COUNTIFS($G$2:G673,G673,$H$2:H673,"United Kingdom")=1),1,0)</f>
        <v>0</v>
      </c>
    </row>
    <row r="674" customFormat="false" ht="15" hidden="false" customHeight="false" outlineLevel="0" collapsed="false">
      <c r="A674" s="0" t="s">
        <v>208</v>
      </c>
      <c r="B674" s="0" t="s">
        <v>54</v>
      </c>
      <c r="C674" s="0" t="s">
        <v>55</v>
      </c>
      <c r="D674" s="0" t="n">
        <v>6</v>
      </c>
      <c r="E674" s="2" t="n">
        <v>40586.3340277778</v>
      </c>
      <c r="F674" s="0" t="n">
        <v>0.99</v>
      </c>
      <c r="G674" s="0" t="n">
        <v>16828</v>
      </c>
      <c r="H674" s="3" t="s">
        <v>14</v>
      </c>
      <c r="I674" s="4" t="n">
        <f aca="false">D674*F674</f>
        <v>5.94</v>
      </c>
      <c r="J674" s="3" t="n">
        <f aca="false">IF(AND(LEFT(A674,1)&lt;&gt;"C",D674&gt;0,F674&gt;0),1,0)</f>
        <v>1</v>
      </c>
      <c r="K674" s="3" t="n">
        <f aca="false">IF(AND(H674="United Kingdom",G674&lt;&gt;"",COUNTIFS($G$2:G674,G674,$H$2:H674,"United Kingdom")=1),1,0)</f>
        <v>0</v>
      </c>
    </row>
    <row r="675" customFormat="false" ht="15" hidden="false" customHeight="false" outlineLevel="0" collapsed="false">
      <c r="A675" s="0" t="s">
        <v>208</v>
      </c>
      <c r="B675" s="0" t="s">
        <v>48</v>
      </c>
      <c r="C675" s="0" t="s">
        <v>49</v>
      </c>
      <c r="D675" s="0" t="n">
        <v>2</v>
      </c>
      <c r="E675" s="2" t="n">
        <v>40586.3340277778</v>
      </c>
      <c r="F675" s="0" t="n">
        <v>1.35</v>
      </c>
      <c r="G675" s="0" t="n">
        <v>16828</v>
      </c>
      <c r="H675" s="3" t="s">
        <v>14</v>
      </c>
      <c r="I675" s="4" t="n">
        <f aca="false">D675*F675</f>
        <v>2.7</v>
      </c>
      <c r="J675" s="3" t="n">
        <f aca="false">IF(AND(LEFT(A675,1)&lt;&gt;"C",D675&gt;0,F675&gt;0),1,0)</f>
        <v>1</v>
      </c>
      <c r="K675" s="3" t="n">
        <f aca="false">IF(AND(H675="United Kingdom",G675&lt;&gt;"",COUNTIFS($G$2:G675,G675,$H$2:H675,"United Kingdom")=1),1,0)</f>
        <v>0</v>
      </c>
    </row>
    <row r="676" customFormat="false" ht="15" hidden="false" customHeight="false" outlineLevel="0" collapsed="false">
      <c r="A676" s="0" t="s">
        <v>208</v>
      </c>
      <c r="B676" s="0" t="s">
        <v>12</v>
      </c>
      <c r="C676" s="0" t="s">
        <v>13</v>
      </c>
      <c r="D676" s="0" t="n">
        <v>16</v>
      </c>
      <c r="E676" s="2" t="n">
        <v>40586.3340277778</v>
      </c>
      <c r="F676" s="0" t="n">
        <v>3.33</v>
      </c>
      <c r="G676" s="0" t="n">
        <v>16828</v>
      </c>
      <c r="H676" s="3" t="s">
        <v>14</v>
      </c>
      <c r="I676" s="4" t="n">
        <f aca="false">D676*F676</f>
        <v>53.28</v>
      </c>
      <c r="J676" s="3" t="n">
        <f aca="false">IF(AND(LEFT(A676,1)&lt;&gt;"C",D676&gt;0,F676&gt;0),1,0)</f>
        <v>1</v>
      </c>
      <c r="K676" s="3" t="n">
        <f aca="false">IF(AND(H676="United Kingdom",G676&lt;&gt;"",COUNTIFS($G$2:G676,G676,$H$2:H676,"United Kingdom")=1),1,0)</f>
        <v>0</v>
      </c>
    </row>
    <row r="677" customFormat="false" ht="15" hidden="false" customHeight="false" outlineLevel="0" collapsed="false">
      <c r="A677" s="0" t="s">
        <v>208</v>
      </c>
      <c r="B677" s="0" t="s">
        <v>58</v>
      </c>
      <c r="C677" s="0" t="s">
        <v>59</v>
      </c>
      <c r="D677" s="0" t="n">
        <v>2</v>
      </c>
      <c r="E677" s="2" t="n">
        <v>40586.3340277778</v>
      </c>
      <c r="F677" s="0" t="n">
        <v>2.16</v>
      </c>
      <c r="G677" s="0" t="n">
        <v>16828</v>
      </c>
      <c r="H677" s="3" t="s">
        <v>14</v>
      </c>
      <c r="I677" s="4" t="n">
        <f aca="false">D677*F677</f>
        <v>4.32</v>
      </c>
      <c r="J677" s="3" t="n">
        <f aca="false">IF(AND(LEFT(A677,1)&lt;&gt;"C",D677&gt;0,F677&gt;0),1,0)</f>
        <v>1</v>
      </c>
      <c r="K677" s="3" t="n">
        <f aca="false">IF(AND(H677="United Kingdom",G677&lt;&gt;"",COUNTIFS($G$2:G677,G677,$H$2:H677,"United Kingdom")=1),1,0)</f>
        <v>0</v>
      </c>
    </row>
    <row r="678" customFormat="false" ht="15" hidden="false" customHeight="false" outlineLevel="0" collapsed="false">
      <c r="A678" s="0" t="s">
        <v>208</v>
      </c>
      <c r="B678" s="0" t="s">
        <v>22</v>
      </c>
      <c r="C678" s="0" t="s">
        <v>23</v>
      </c>
      <c r="D678" s="0" t="n">
        <v>4</v>
      </c>
      <c r="E678" s="2" t="n">
        <v>40586.3340277778</v>
      </c>
      <c r="F678" s="0" t="n">
        <v>3.18</v>
      </c>
      <c r="G678" s="0" t="n">
        <v>16828</v>
      </c>
      <c r="H678" s="3" t="s">
        <v>14</v>
      </c>
      <c r="I678" s="4" t="n">
        <f aca="false">D678*F678</f>
        <v>12.72</v>
      </c>
      <c r="J678" s="3" t="n">
        <f aca="false">IF(AND(LEFT(A678,1)&lt;&gt;"C",D678&gt;0,F678&gt;0),1,0)</f>
        <v>1</v>
      </c>
      <c r="K678" s="3" t="n">
        <f aca="false">IF(AND(H678="United Kingdom",G678&lt;&gt;"",COUNTIFS($G$2:G678,G678,$H$2:H678,"United Kingdom")=1),1,0)</f>
        <v>0</v>
      </c>
    </row>
    <row r="679" customFormat="false" ht="15" hidden="false" customHeight="false" outlineLevel="0" collapsed="false">
      <c r="A679" s="0" t="s">
        <v>208</v>
      </c>
      <c r="B679" s="0" t="s">
        <v>37</v>
      </c>
      <c r="C679" s="0" t="s">
        <v>38</v>
      </c>
      <c r="D679" s="0" t="n">
        <v>6</v>
      </c>
      <c r="E679" s="2" t="n">
        <v>40586.3340277778</v>
      </c>
      <c r="F679" s="0" t="n">
        <v>1.82</v>
      </c>
      <c r="G679" s="0" t="n">
        <v>16828</v>
      </c>
      <c r="H679" s="3" t="s">
        <v>14</v>
      </c>
      <c r="I679" s="4" t="n">
        <f aca="false">D679*F679</f>
        <v>10.92</v>
      </c>
      <c r="J679" s="3" t="n">
        <f aca="false">IF(AND(LEFT(A679,1)&lt;&gt;"C",D679&gt;0,F679&gt;0),1,0)</f>
        <v>1</v>
      </c>
      <c r="K679" s="3" t="n">
        <f aca="false">IF(AND(H679="United Kingdom",G679&lt;&gt;"",COUNTIFS($G$2:G679,G679,$H$2:H679,"United Kingdom")=1),1,0)</f>
        <v>0</v>
      </c>
    </row>
    <row r="680" customFormat="false" ht="15" hidden="false" customHeight="false" outlineLevel="0" collapsed="false">
      <c r="A680" s="0" t="s">
        <v>208</v>
      </c>
      <c r="B680" s="0" t="s">
        <v>45</v>
      </c>
      <c r="C680" s="0" t="s">
        <v>46</v>
      </c>
      <c r="D680" s="0" t="n">
        <v>4</v>
      </c>
      <c r="E680" s="2" t="n">
        <v>40586.3340277778</v>
      </c>
      <c r="F680" s="0" t="n">
        <v>4.55</v>
      </c>
      <c r="G680" s="0" t="n">
        <v>16828</v>
      </c>
      <c r="H680" s="3" t="s">
        <v>14</v>
      </c>
      <c r="I680" s="4" t="n">
        <f aca="false">D680*F680</f>
        <v>18.2</v>
      </c>
      <c r="J680" s="3" t="n">
        <f aca="false">IF(AND(LEFT(A680,1)&lt;&gt;"C",D680&gt;0,F680&gt;0),1,0)</f>
        <v>1</v>
      </c>
      <c r="K680" s="3" t="n">
        <f aca="false">IF(AND(H680="United Kingdom",G680&lt;&gt;"",COUNTIFS($G$2:G680,G680,$H$2:H680,"United Kingdom")=1),1,0)</f>
        <v>0</v>
      </c>
    </row>
    <row r="681" customFormat="false" ht="15" hidden="false" customHeight="false" outlineLevel="0" collapsed="false">
      <c r="A681" s="0" t="s">
        <v>208</v>
      </c>
      <c r="B681" s="0" t="s">
        <v>113</v>
      </c>
      <c r="C681" s="0" t="s">
        <v>114</v>
      </c>
      <c r="D681" s="0" t="n">
        <v>3</v>
      </c>
      <c r="E681" s="2" t="n">
        <v>40586.3340277778</v>
      </c>
      <c r="F681" s="0" t="n">
        <v>3.57</v>
      </c>
      <c r="G681" s="0" t="n">
        <v>16828</v>
      </c>
      <c r="H681" s="3" t="s">
        <v>14</v>
      </c>
      <c r="I681" s="4" t="n">
        <f aca="false">D681*F681</f>
        <v>10.71</v>
      </c>
      <c r="J681" s="3" t="n">
        <f aca="false">IF(AND(LEFT(A681,1)&lt;&gt;"C",D681&gt;0,F681&gt;0),1,0)</f>
        <v>1</v>
      </c>
      <c r="K681" s="3" t="n">
        <f aca="false">IF(AND(H681="United Kingdom",G681&lt;&gt;"",COUNTIFS($G$2:G681,G681,$H$2:H681,"United Kingdom")=1),1,0)</f>
        <v>0</v>
      </c>
    </row>
    <row r="682" customFormat="false" ht="15" hidden="false" customHeight="false" outlineLevel="0" collapsed="false">
      <c r="A682" s="0" t="s">
        <v>208</v>
      </c>
      <c r="B682" s="0" t="s">
        <v>39</v>
      </c>
      <c r="C682" s="0" t="s">
        <v>40</v>
      </c>
      <c r="D682" s="0" t="n">
        <v>1</v>
      </c>
      <c r="E682" s="2" t="n">
        <v>40586.3340277778</v>
      </c>
      <c r="F682" s="0" t="n">
        <v>2.58</v>
      </c>
      <c r="G682" s="0" t="n">
        <v>16828</v>
      </c>
      <c r="H682" s="3" t="s">
        <v>14</v>
      </c>
      <c r="I682" s="4" t="n">
        <f aca="false">D682*F682</f>
        <v>2.58</v>
      </c>
      <c r="J682" s="3" t="n">
        <f aca="false">IF(AND(LEFT(A682,1)&lt;&gt;"C",D682&gt;0,F682&gt;0),1,0)</f>
        <v>1</v>
      </c>
      <c r="K682" s="3" t="n">
        <f aca="false">IF(AND(H682="United Kingdom",G682&lt;&gt;"",COUNTIFS($G$2:G682,G682,$H$2:H682,"United Kingdom")=1),1,0)</f>
        <v>0</v>
      </c>
    </row>
    <row r="683" customFormat="false" ht="15" hidden="false" customHeight="false" outlineLevel="0" collapsed="false">
      <c r="A683" s="0" t="s">
        <v>208</v>
      </c>
      <c r="B683" s="0" t="s">
        <v>27</v>
      </c>
      <c r="C683" s="0" t="s">
        <v>28</v>
      </c>
      <c r="D683" s="0" t="n">
        <v>16</v>
      </c>
      <c r="E683" s="2" t="n">
        <v>40586.3340277778</v>
      </c>
      <c r="F683" s="0" t="n">
        <v>4.55</v>
      </c>
      <c r="G683" s="0" t="n">
        <v>16828</v>
      </c>
      <c r="H683" s="3" t="s">
        <v>14</v>
      </c>
      <c r="I683" s="4" t="n">
        <f aca="false">D683*F683</f>
        <v>72.8</v>
      </c>
      <c r="J683" s="3" t="n">
        <f aca="false">IF(AND(LEFT(A683,1)&lt;&gt;"C",D683&gt;0,F683&gt;0),1,0)</f>
        <v>1</v>
      </c>
      <c r="K683" s="3" t="n">
        <f aca="false">IF(AND(H683="United Kingdom",G683&lt;&gt;"",COUNTIFS($G$2:G683,G683,$H$2:H683,"United Kingdom")=1),1,0)</f>
        <v>0</v>
      </c>
    </row>
    <row r="684" customFormat="false" ht="15" hidden="false" customHeight="false" outlineLevel="0" collapsed="false">
      <c r="A684" s="0" t="s">
        <v>208</v>
      </c>
      <c r="B684" s="0" t="s">
        <v>50</v>
      </c>
      <c r="C684" s="0" t="s">
        <v>51</v>
      </c>
      <c r="D684" s="0" t="n">
        <v>3</v>
      </c>
      <c r="E684" s="2" t="n">
        <v>40586.3340277778</v>
      </c>
      <c r="F684" s="0" t="n">
        <v>5.41</v>
      </c>
      <c r="G684" s="0" t="n">
        <v>16828</v>
      </c>
      <c r="H684" s="3" t="s">
        <v>14</v>
      </c>
      <c r="I684" s="4" t="n">
        <f aca="false">D684*F684</f>
        <v>16.23</v>
      </c>
      <c r="J684" s="3" t="n">
        <f aca="false">IF(AND(LEFT(A684,1)&lt;&gt;"C",D684&gt;0,F684&gt;0),1,0)</f>
        <v>1</v>
      </c>
      <c r="K684" s="3" t="n">
        <f aca="false">IF(AND(H684="United Kingdom",G684&lt;&gt;"",COUNTIFS($G$2:G684,G684,$H$2:H684,"United Kingdom")=1),1,0)</f>
        <v>0</v>
      </c>
    </row>
    <row r="685" customFormat="false" ht="15" hidden="false" customHeight="false" outlineLevel="0" collapsed="false">
      <c r="A685" s="0" t="s">
        <v>208</v>
      </c>
      <c r="B685" s="0" t="s">
        <v>72</v>
      </c>
      <c r="C685" s="0" t="s">
        <v>73</v>
      </c>
      <c r="D685" s="0" t="n">
        <v>8</v>
      </c>
      <c r="E685" s="2" t="n">
        <v>40586.3340277778</v>
      </c>
      <c r="F685" s="0" t="n">
        <v>2.69</v>
      </c>
      <c r="G685" s="0" t="n">
        <v>16828</v>
      </c>
      <c r="H685" s="3" t="s">
        <v>14</v>
      </c>
      <c r="I685" s="4" t="n">
        <f aca="false">D685*F685</f>
        <v>21.52</v>
      </c>
      <c r="J685" s="3" t="n">
        <f aca="false">IF(AND(LEFT(A685,1)&lt;&gt;"C",D685&gt;0,F685&gt;0),1,0)</f>
        <v>1</v>
      </c>
      <c r="K685" s="3" t="n">
        <f aca="false">IF(AND(H685="United Kingdom",G685&lt;&gt;"",COUNTIFS($G$2:G685,G685,$H$2:H685,"United Kingdom")=1),1,0)</f>
        <v>0</v>
      </c>
    </row>
    <row r="686" customFormat="false" ht="15" hidden="false" customHeight="false" outlineLevel="0" collapsed="false">
      <c r="A686" s="0" t="s">
        <v>208</v>
      </c>
      <c r="B686" s="0" t="s">
        <v>65</v>
      </c>
      <c r="C686" s="0" t="s">
        <v>66</v>
      </c>
      <c r="D686" s="0" t="n">
        <v>8</v>
      </c>
      <c r="E686" s="2" t="n">
        <v>40586.3340277778</v>
      </c>
      <c r="F686" s="0" t="n">
        <v>4.75</v>
      </c>
      <c r="G686" s="0" t="n">
        <v>16828</v>
      </c>
      <c r="H686" s="3" t="s">
        <v>14</v>
      </c>
      <c r="I686" s="4" t="n">
        <f aca="false">D686*F686</f>
        <v>38</v>
      </c>
      <c r="J686" s="3" t="n">
        <f aca="false">IF(AND(LEFT(A686,1)&lt;&gt;"C",D686&gt;0,F686&gt;0),1,0)</f>
        <v>1</v>
      </c>
      <c r="K686" s="3" t="n">
        <f aca="false">IF(AND(H686="United Kingdom",G686&lt;&gt;"",COUNTIFS($G$2:G686,G686,$H$2:H686,"United Kingdom")=1),1,0)</f>
        <v>0</v>
      </c>
    </row>
    <row r="687" customFormat="false" ht="15" hidden="false" customHeight="false" outlineLevel="0" collapsed="false">
      <c r="A687" s="0" t="s">
        <v>208</v>
      </c>
      <c r="B687" s="0" t="s">
        <v>75</v>
      </c>
      <c r="C687" s="0" t="s">
        <v>76</v>
      </c>
      <c r="D687" s="0" t="n">
        <v>8</v>
      </c>
      <c r="E687" s="2" t="n">
        <v>40586.3340277778</v>
      </c>
      <c r="F687" s="0" t="n">
        <v>1.97</v>
      </c>
      <c r="G687" s="0" t="n">
        <v>16828</v>
      </c>
      <c r="H687" s="3" t="s">
        <v>14</v>
      </c>
      <c r="I687" s="4" t="n">
        <f aca="false">D687*F687</f>
        <v>15.76</v>
      </c>
      <c r="J687" s="3" t="n">
        <f aca="false">IF(AND(LEFT(A687,1)&lt;&gt;"C",D687&gt;0,F687&gt;0),1,0)</f>
        <v>1</v>
      </c>
      <c r="K687" s="3" t="n">
        <f aca="false">IF(AND(H687="United Kingdom",G687&lt;&gt;"",COUNTIFS($G$2:G687,G687,$H$2:H687,"United Kingdom")=1),1,0)</f>
        <v>0</v>
      </c>
    </row>
    <row r="688" customFormat="false" ht="15" hidden="false" customHeight="false" outlineLevel="0" collapsed="false">
      <c r="A688" s="0" t="s">
        <v>208</v>
      </c>
      <c r="B688" s="0" t="s">
        <v>43</v>
      </c>
      <c r="C688" s="0" t="s">
        <v>44</v>
      </c>
      <c r="D688" s="0" t="n">
        <v>6</v>
      </c>
      <c r="E688" s="2" t="n">
        <v>40586.3340277778</v>
      </c>
      <c r="F688" s="0" t="n">
        <v>1.35</v>
      </c>
      <c r="G688" s="0" t="n">
        <v>16828</v>
      </c>
      <c r="H688" s="3" t="s">
        <v>14</v>
      </c>
      <c r="I688" s="4" t="n">
        <f aca="false">D688*F688</f>
        <v>8.1</v>
      </c>
      <c r="J688" s="3" t="n">
        <f aca="false">IF(AND(LEFT(A688,1)&lt;&gt;"C",D688&gt;0,F688&gt;0),1,0)</f>
        <v>1</v>
      </c>
      <c r="K688" s="3" t="n">
        <f aca="false">IF(AND(H688="United Kingdom",G688&lt;&gt;"",COUNTIFS($G$2:G688,G688,$H$2:H688,"United Kingdom")=1),1,0)</f>
        <v>0</v>
      </c>
    </row>
    <row r="689" customFormat="false" ht="15" hidden="false" customHeight="false" outlineLevel="0" collapsed="false">
      <c r="A689" s="0" t="s">
        <v>208</v>
      </c>
      <c r="B689" s="0" t="s">
        <v>80</v>
      </c>
      <c r="C689" s="0" t="s">
        <v>81</v>
      </c>
      <c r="D689" s="0" t="n">
        <v>2</v>
      </c>
      <c r="E689" s="2" t="n">
        <v>40586.3340277778</v>
      </c>
      <c r="F689" s="0" t="n">
        <v>1.53</v>
      </c>
      <c r="G689" s="0" t="n">
        <v>16828</v>
      </c>
      <c r="H689" s="3" t="s">
        <v>14</v>
      </c>
      <c r="I689" s="4" t="n">
        <f aca="false">D689*F689</f>
        <v>3.06</v>
      </c>
      <c r="J689" s="3" t="n">
        <f aca="false">IF(AND(LEFT(A689,1)&lt;&gt;"C",D689&gt;0,F689&gt;0),1,0)</f>
        <v>1</v>
      </c>
      <c r="K689" s="3" t="n">
        <f aca="false">IF(AND(H689="United Kingdom",G689&lt;&gt;"",COUNTIFS($G$2:G689,G689,$H$2:H689,"United Kingdom")=1),1,0)</f>
        <v>0</v>
      </c>
    </row>
    <row r="690" customFormat="false" ht="15" hidden="false" customHeight="false" outlineLevel="0" collapsed="false">
      <c r="A690" s="0" t="s">
        <v>208</v>
      </c>
      <c r="B690" s="0" t="s">
        <v>34</v>
      </c>
      <c r="C690" s="0" t="s">
        <v>35</v>
      </c>
      <c r="D690" s="0" t="n">
        <v>2</v>
      </c>
      <c r="E690" s="2" t="n">
        <v>40586.3340277778</v>
      </c>
      <c r="F690" s="0" t="n">
        <v>2.38</v>
      </c>
      <c r="G690" s="0" t="n">
        <v>16828</v>
      </c>
      <c r="H690" s="3" t="s">
        <v>14</v>
      </c>
      <c r="I690" s="4" t="n">
        <f aca="false">D690*F690</f>
        <v>4.76</v>
      </c>
      <c r="J690" s="3" t="n">
        <f aca="false">IF(AND(LEFT(A690,1)&lt;&gt;"C",D690&gt;0,F690&gt;0),1,0)</f>
        <v>1</v>
      </c>
      <c r="K690" s="3" t="n">
        <f aca="false">IF(AND(H690="United Kingdom",G690&lt;&gt;"",COUNTIFS($G$2:G690,G690,$H$2:H690,"United Kingdom")=1),1,0)</f>
        <v>0</v>
      </c>
    </row>
    <row r="691" customFormat="false" ht="15" hidden="false" customHeight="false" outlineLevel="0" collapsed="false">
      <c r="A691" s="0" t="s">
        <v>209</v>
      </c>
      <c r="B691" s="0" t="s">
        <v>25</v>
      </c>
      <c r="C691" s="0" t="s">
        <v>26</v>
      </c>
      <c r="D691" s="0" t="n">
        <v>6</v>
      </c>
      <c r="E691" s="2" t="n">
        <v>40586.6090277778</v>
      </c>
      <c r="F691" s="0" t="n">
        <v>2.21</v>
      </c>
      <c r="G691" s="0" t="n">
        <v>17892</v>
      </c>
      <c r="H691" s="3" t="s">
        <v>14</v>
      </c>
      <c r="I691" s="4" t="n">
        <f aca="false">D691*F691</f>
        <v>13.26</v>
      </c>
      <c r="J691" s="3" t="n">
        <f aca="false">IF(AND(LEFT(A691,1)&lt;&gt;"C",D691&gt;0,F691&gt;0),1,0)</f>
        <v>1</v>
      </c>
      <c r="K691" s="3" t="n">
        <f aca="false">IF(AND(H691="United Kingdom",G691&lt;&gt;"",COUNTIFS($G$2:G691,G691,$H$2:H691,"United Kingdom")=1),1,0)</f>
        <v>0</v>
      </c>
    </row>
    <row r="692" customFormat="false" ht="15" hidden="false" customHeight="false" outlineLevel="0" collapsed="false">
      <c r="A692" s="0" t="s">
        <v>209</v>
      </c>
      <c r="B692" s="0" t="s">
        <v>60</v>
      </c>
      <c r="C692" s="0" t="s">
        <v>61</v>
      </c>
      <c r="D692" s="0" t="n">
        <v>2</v>
      </c>
      <c r="E692" s="2" t="n">
        <v>40586.6090277778</v>
      </c>
      <c r="F692" s="0" t="n">
        <v>0.63</v>
      </c>
      <c r="G692" s="0" t="n">
        <v>17892</v>
      </c>
      <c r="H692" s="3" t="s">
        <v>14</v>
      </c>
      <c r="I692" s="4" t="n">
        <f aca="false">D692*F692</f>
        <v>1.26</v>
      </c>
      <c r="J692" s="3" t="n">
        <f aca="false">IF(AND(LEFT(A692,1)&lt;&gt;"C",D692&gt;0,F692&gt;0),1,0)</f>
        <v>1</v>
      </c>
      <c r="K692" s="3" t="n">
        <f aca="false">IF(AND(H692="United Kingdom",G692&lt;&gt;"",COUNTIFS($G$2:G692,G692,$H$2:H692,"United Kingdom")=1),1,0)</f>
        <v>0</v>
      </c>
    </row>
    <row r="693" customFormat="false" ht="15" hidden="false" customHeight="false" outlineLevel="0" collapsed="false">
      <c r="A693" s="0" t="s">
        <v>209</v>
      </c>
      <c r="B693" s="0" t="s">
        <v>27</v>
      </c>
      <c r="C693" s="0" t="s">
        <v>28</v>
      </c>
      <c r="D693" s="0" t="n">
        <v>3</v>
      </c>
      <c r="E693" s="2" t="n">
        <v>40586.6090277778</v>
      </c>
      <c r="F693" s="0" t="n">
        <v>4.55</v>
      </c>
      <c r="G693" s="0" t="n">
        <v>17892</v>
      </c>
      <c r="H693" s="3" t="s">
        <v>14</v>
      </c>
      <c r="I693" s="4" t="n">
        <f aca="false">D693*F693</f>
        <v>13.65</v>
      </c>
      <c r="J693" s="3" t="n">
        <f aca="false">IF(AND(LEFT(A693,1)&lt;&gt;"C",D693&gt;0,F693&gt;0),1,0)</f>
        <v>1</v>
      </c>
      <c r="K693" s="3" t="n">
        <f aca="false">IF(AND(H693="United Kingdom",G693&lt;&gt;"",COUNTIFS($G$2:G693,G693,$H$2:H693,"United Kingdom")=1),1,0)</f>
        <v>0</v>
      </c>
    </row>
    <row r="694" customFormat="false" ht="15" hidden="false" customHeight="false" outlineLevel="0" collapsed="false">
      <c r="A694" s="0" t="s">
        <v>209</v>
      </c>
      <c r="B694" s="0" t="s">
        <v>29</v>
      </c>
      <c r="C694" s="0" t="s">
        <v>30</v>
      </c>
      <c r="D694" s="0" t="n">
        <v>3</v>
      </c>
      <c r="E694" s="2" t="n">
        <v>40586.6090277778</v>
      </c>
      <c r="F694" s="0" t="n">
        <v>5.79</v>
      </c>
      <c r="G694" s="0" t="n">
        <v>17892</v>
      </c>
      <c r="H694" s="3" t="s">
        <v>14</v>
      </c>
      <c r="I694" s="4" t="n">
        <f aca="false">D694*F694</f>
        <v>17.37</v>
      </c>
      <c r="J694" s="3" t="n">
        <f aca="false">IF(AND(LEFT(A694,1)&lt;&gt;"C",D694&gt;0,F694&gt;0),1,0)</f>
        <v>1</v>
      </c>
      <c r="K694" s="3" t="n">
        <f aca="false">IF(AND(H694="United Kingdom",G694&lt;&gt;"",COUNTIFS($G$2:G694,G694,$H$2:H694,"United Kingdom")=1),1,0)</f>
        <v>0</v>
      </c>
    </row>
    <row r="695" customFormat="false" ht="15" hidden="false" customHeight="false" outlineLevel="0" collapsed="false">
      <c r="A695" s="0" t="s">
        <v>209</v>
      </c>
      <c r="B695" s="0" t="s">
        <v>63</v>
      </c>
      <c r="C695" s="0" t="s">
        <v>64</v>
      </c>
      <c r="D695" s="0" t="n">
        <v>3</v>
      </c>
      <c r="E695" s="2" t="n">
        <v>40586.6090277778</v>
      </c>
      <c r="F695" s="0" t="n">
        <v>2.43</v>
      </c>
      <c r="G695" s="0" t="n">
        <v>17892</v>
      </c>
      <c r="H695" s="3" t="s">
        <v>14</v>
      </c>
      <c r="I695" s="4" t="n">
        <f aca="false">D695*F695</f>
        <v>7.29</v>
      </c>
      <c r="J695" s="3" t="n">
        <f aca="false">IF(AND(LEFT(A695,1)&lt;&gt;"C",D695&gt;0,F695&gt;0),1,0)</f>
        <v>1</v>
      </c>
      <c r="K695" s="3" t="n">
        <f aca="false">IF(AND(H695="United Kingdom",G695&lt;&gt;"",COUNTIFS($G$2:G695,G695,$H$2:H695,"United Kingdom")=1),1,0)</f>
        <v>0</v>
      </c>
    </row>
    <row r="696" customFormat="false" ht="15" hidden="false" customHeight="false" outlineLevel="0" collapsed="false">
      <c r="A696" s="0" t="s">
        <v>210</v>
      </c>
      <c r="B696" s="0" t="s">
        <v>60</v>
      </c>
      <c r="C696" s="0" t="s">
        <v>61</v>
      </c>
      <c r="D696" s="0" t="n">
        <v>36</v>
      </c>
      <c r="E696" s="2" t="n">
        <v>40586.7097222222</v>
      </c>
      <c r="F696" s="0" t="n">
        <v>0.63</v>
      </c>
      <c r="G696" s="0" t="n">
        <v>14074</v>
      </c>
      <c r="H696" s="3" t="s">
        <v>14</v>
      </c>
      <c r="I696" s="4" t="n">
        <f aca="false">D696*F696</f>
        <v>22.68</v>
      </c>
      <c r="J696" s="3" t="n">
        <f aca="false">IF(AND(LEFT(A696,1)&lt;&gt;"C",D696&gt;0,F696&gt;0),1,0)</f>
        <v>1</v>
      </c>
      <c r="K696" s="3" t="n">
        <f aca="false">IF(AND(H696="United Kingdom",G696&lt;&gt;"",COUNTIFS($G$2:G696,G696,$H$2:H696,"United Kingdom")=1),1,0)</f>
        <v>0</v>
      </c>
    </row>
    <row r="697" customFormat="false" ht="15" hidden="false" customHeight="false" outlineLevel="0" collapsed="false">
      <c r="A697" s="0" t="s">
        <v>210</v>
      </c>
      <c r="B697" s="0" t="s">
        <v>12</v>
      </c>
      <c r="C697" s="0" t="s">
        <v>13</v>
      </c>
      <c r="D697" s="0" t="n">
        <v>72</v>
      </c>
      <c r="E697" s="2" t="n">
        <v>40586.7097222222</v>
      </c>
      <c r="F697" s="0" t="n">
        <v>3.33</v>
      </c>
      <c r="G697" s="0" t="n">
        <v>14074</v>
      </c>
      <c r="H697" s="3" t="s">
        <v>14</v>
      </c>
      <c r="I697" s="4" t="n">
        <f aca="false">D697*F697</f>
        <v>239.76</v>
      </c>
      <c r="J697" s="3" t="n">
        <f aca="false">IF(AND(LEFT(A697,1)&lt;&gt;"C",D697&gt;0,F697&gt;0),1,0)</f>
        <v>1</v>
      </c>
      <c r="K697" s="3" t="n">
        <f aca="false">IF(AND(H697="United Kingdom",G697&lt;&gt;"",COUNTIFS($G$2:G697,G697,$H$2:H697,"United Kingdom")=1),1,0)</f>
        <v>0</v>
      </c>
    </row>
    <row r="698" customFormat="false" ht="15" hidden="false" customHeight="false" outlineLevel="0" collapsed="false">
      <c r="A698" s="0" t="s">
        <v>210</v>
      </c>
      <c r="B698" s="0" t="s">
        <v>17</v>
      </c>
      <c r="C698" s="0" t="s">
        <v>18</v>
      </c>
      <c r="D698" s="0" t="n">
        <v>18</v>
      </c>
      <c r="E698" s="2" t="n">
        <v>40586.7097222222</v>
      </c>
      <c r="F698" s="0" t="n">
        <v>1.92</v>
      </c>
      <c r="G698" s="0" t="n">
        <v>14074</v>
      </c>
      <c r="H698" s="3" t="s">
        <v>14</v>
      </c>
      <c r="I698" s="4" t="n">
        <f aca="false">D698*F698</f>
        <v>34.56</v>
      </c>
      <c r="J698" s="3" t="n">
        <f aca="false">IF(AND(LEFT(A698,1)&lt;&gt;"C",D698&gt;0,F698&gt;0),1,0)</f>
        <v>1</v>
      </c>
      <c r="K698" s="3" t="n">
        <f aca="false">IF(AND(H698="United Kingdom",G698&lt;&gt;"",COUNTIFS($G$2:G698,G698,$H$2:H698,"United Kingdom")=1),1,0)</f>
        <v>0</v>
      </c>
    </row>
    <row r="699" customFormat="false" ht="15" hidden="false" customHeight="false" outlineLevel="0" collapsed="false">
      <c r="A699" s="0" t="s">
        <v>210</v>
      </c>
      <c r="B699" s="0" t="s">
        <v>39</v>
      </c>
      <c r="C699" s="0" t="s">
        <v>40</v>
      </c>
      <c r="D699" s="0" t="n">
        <v>192</v>
      </c>
      <c r="E699" s="2" t="n">
        <v>40586.7097222222</v>
      </c>
      <c r="F699" s="0" t="n">
        <v>2.58</v>
      </c>
      <c r="G699" s="0" t="n">
        <v>14074</v>
      </c>
      <c r="H699" s="3" t="s">
        <v>14</v>
      </c>
      <c r="I699" s="4" t="n">
        <f aca="false">D699*F699</f>
        <v>495.36</v>
      </c>
      <c r="J699" s="3" t="n">
        <f aca="false">IF(AND(LEFT(A699,1)&lt;&gt;"C",D699&gt;0,F699&gt;0),1,0)</f>
        <v>1</v>
      </c>
      <c r="K699" s="3" t="n">
        <f aca="false">IF(AND(H699="United Kingdom",G699&lt;&gt;"",COUNTIFS($G$2:G699,G699,$H$2:H699,"United Kingdom")=1),1,0)</f>
        <v>0</v>
      </c>
    </row>
    <row r="700" customFormat="false" ht="15" hidden="false" customHeight="false" outlineLevel="0" collapsed="false">
      <c r="A700" s="0" t="s">
        <v>210</v>
      </c>
      <c r="B700" s="0" t="s">
        <v>32</v>
      </c>
      <c r="C700" s="0" t="s">
        <v>33</v>
      </c>
      <c r="D700" s="0" t="n">
        <v>24</v>
      </c>
      <c r="E700" s="2" t="n">
        <v>40586.7097222222</v>
      </c>
      <c r="F700" s="0" t="n">
        <v>1.19</v>
      </c>
      <c r="G700" s="0" t="n">
        <v>14074</v>
      </c>
      <c r="H700" s="3" t="s">
        <v>14</v>
      </c>
      <c r="I700" s="4" t="n">
        <f aca="false">D700*F700</f>
        <v>28.56</v>
      </c>
      <c r="J700" s="3" t="n">
        <f aca="false">IF(AND(LEFT(A700,1)&lt;&gt;"C",D700&gt;0,F700&gt;0),1,0)</f>
        <v>1</v>
      </c>
      <c r="K700" s="3" t="n">
        <f aca="false">IF(AND(H700="United Kingdom",G700&lt;&gt;"",COUNTIFS($G$2:G700,G700,$H$2:H700,"United Kingdom")=1),1,0)</f>
        <v>0</v>
      </c>
    </row>
    <row r="701" customFormat="false" ht="15" hidden="false" customHeight="false" outlineLevel="0" collapsed="false">
      <c r="A701" s="0" t="s">
        <v>210</v>
      </c>
      <c r="B701" s="0" t="s">
        <v>29</v>
      </c>
      <c r="C701" s="0" t="s">
        <v>30</v>
      </c>
      <c r="D701" s="0" t="n">
        <v>144</v>
      </c>
      <c r="E701" s="2" t="n">
        <v>40586.7097222222</v>
      </c>
      <c r="F701" s="0" t="n">
        <v>5.79</v>
      </c>
      <c r="G701" s="0" t="n">
        <v>14074</v>
      </c>
      <c r="H701" s="3" t="s">
        <v>14</v>
      </c>
      <c r="I701" s="4" t="n">
        <f aca="false">D701*F701</f>
        <v>833.76</v>
      </c>
      <c r="J701" s="3" t="n">
        <f aca="false">IF(AND(LEFT(A701,1)&lt;&gt;"C",D701&gt;0,F701&gt;0),1,0)</f>
        <v>1</v>
      </c>
      <c r="K701" s="3" t="n">
        <f aca="false">IF(AND(H701="United Kingdom",G701&lt;&gt;"",COUNTIFS($G$2:G701,G701,$H$2:H701,"United Kingdom")=1),1,0)</f>
        <v>0</v>
      </c>
    </row>
    <row r="702" customFormat="false" ht="15" hidden="false" customHeight="false" outlineLevel="0" collapsed="false">
      <c r="A702" s="0" t="s">
        <v>210</v>
      </c>
      <c r="B702" s="0" t="s">
        <v>45</v>
      </c>
      <c r="C702" s="0" t="s">
        <v>46</v>
      </c>
      <c r="D702" s="0" t="n">
        <v>24</v>
      </c>
      <c r="E702" s="2" t="n">
        <v>40586.7097222222</v>
      </c>
      <c r="F702" s="0" t="n">
        <v>4.55</v>
      </c>
      <c r="G702" s="0" t="n">
        <v>14074</v>
      </c>
      <c r="H702" s="3" t="s">
        <v>14</v>
      </c>
      <c r="I702" s="4" t="n">
        <f aca="false">D702*F702</f>
        <v>109.2</v>
      </c>
      <c r="J702" s="3" t="n">
        <f aca="false">IF(AND(LEFT(A702,1)&lt;&gt;"C",D702&gt;0,F702&gt;0),1,0)</f>
        <v>1</v>
      </c>
      <c r="K702" s="3" t="n">
        <f aca="false">IF(AND(H702="United Kingdom",G702&lt;&gt;"",COUNTIFS($G$2:G702,G702,$H$2:H702,"United Kingdom")=1),1,0)</f>
        <v>0</v>
      </c>
    </row>
    <row r="703" customFormat="false" ht="15" hidden="false" customHeight="false" outlineLevel="0" collapsed="false">
      <c r="A703" s="0" t="s">
        <v>211</v>
      </c>
      <c r="B703" s="0" t="s">
        <v>113</v>
      </c>
      <c r="C703" s="0" t="s">
        <v>114</v>
      </c>
      <c r="D703" s="0" t="n">
        <v>18</v>
      </c>
      <c r="E703" s="2" t="n">
        <v>40587.8298611111</v>
      </c>
      <c r="F703" s="0" t="n">
        <v>3.57</v>
      </c>
      <c r="G703" s="0" t="n">
        <v>17203</v>
      </c>
      <c r="H703" s="3" t="s">
        <v>14</v>
      </c>
      <c r="I703" s="4" t="n">
        <f aca="false">D703*F703</f>
        <v>64.26</v>
      </c>
      <c r="J703" s="3" t="n">
        <f aca="false">IF(AND(LEFT(A703,1)&lt;&gt;"C",D703&gt;0,F703&gt;0),1,0)</f>
        <v>1</v>
      </c>
      <c r="K703" s="3" t="n">
        <f aca="false">IF(AND(H703="United Kingdom",G703&lt;&gt;"",COUNTIFS($G$2:G703,G703,$H$2:H703,"United Kingdom")=1),1,0)</f>
        <v>0</v>
      </c>
    </row>
    <row r="704" customFormat="false" ht="15" hidden="false" customHeight="false" outlineLevel="0" collapsed="false">
      <c r="A704" s="0" t="s">
        <v>211</v>
      </c>
      <c r="B704" s="0" t="s">
        <v>68</v>
      </c>
      <c r="C704" s="0" t="s">
        <v>69</v>
      </c>
      <c r="D704" s="0" t="n">
        <v>288</v>
      </c>
      <c r="E704" s="2" t="n">
        <v>40587.8298611111</v>
      </c>
      <c r="F704" s="0" t="n">
        <v>1.26</v>
      </c>
      <c r="G704" s="0" t="n">
        <v>17203</v>
      </c>
      <c r="H704" s="3" t="s">
        <v>14</v>
      </c>
      <c r="I704" s="4" t="n">
        <f aca="false">D704*F704</f>
        <v>362.88</v>
      </c>
      <c r="J704" s="3" t="n">
        <f aca="false">IF(AND(LEFT(A704,1)&lt;&gt;"C",D704&gt;0,F704&gt;0),1,0)</f>
        <v>1</v>
      </c>
      <c r="K704" s="3" t="n">
        <f aca="false">IF(AND(H704="United Kingdom",G704&lt;&gt;"",COUNTIFS($G$2:G704,G704,$H$2:H704,"United Kingdom")=1),1,0)</f>
        <v>0</v>
      </c>
    </row>
    <row r="705" customFormat="false" ht="15" hidden="false" customHeight="false" outlineLevel="0" collapsed="false">
      <c r="A705" s="0" t="s">
        <v>211</v>
      </c>
      <c r="B705" s="0" t="s">
        <v>12</v>
      </c>
      <c r="C705" s="0" t="s">
        <v>13</v>
      </c>
      <c r="D705" s="0" t="n">
        <v>6</v>
      </c>
      <c r="E705" s="2" t="n">
        <v>40587.8298611111</v>
      </c>
      <c r="F705" s="0" t="n">
        <v>3.33</v>
      </c>
      <c r="G705" s="0" t="n">
        <v>17203</v>
      </c>
      <c r="H705" s="3" t="s">
        <v>14</v>
      </c>
      <c r="I705" s="4" t="n">
        <f aca="false">D705*F705</f>
        <v>19.98</v>
      </c>
      <c r="J705" s="3" t="n">
        <f aca="false">IF(AND(LEFT(A705,1)&lt;&gt;"C",D705&gt;0,F705&gt;0),1,0)</f>
        <v>1</v>
      </c>
      <c r="K705" s="3" t="n">
        <f aca="false">IF(AND(H705="United Kingdom",G705&lt;&gt;"",COUNTIFS($G$2:G705,G705,$H$2:H705,"United Kingdom")=1),1,0)</f>
        <v>0</v>
      </c>
    </row>
    <row r="706" customFormat="false" ht="15" hidden="false" customHeight="false" outlineLevel="0" collapsed="false">
      <c r="A706" s="0" t="s">
        <v>211</v>
      </c>
      <c r="B706" s="0" t="s">
        <v>50</v>
      </c>
      <c r="C706" s="0" t="s">
        <v>51</v>
      </c>
      <c r="D706" s="0" t="n">
        <v>72</v>
      </c>
      <c r="E706" s="2" t="n">
        <v>40587.8298611111</v>
      </c>
      <c r="F706" s="0" t="n">
        <v>5.41</v>
      </c>
      <c r="G706" s="0" t="n">
        <v>17203</v>
      </c>
      <c r="H706" s="3" t="s">
        <v>14</v>
      </c>
      <c r="I706" s="4" t="n">
        <f aca="false">D706*F706</f>
        <v>389.52</v>
      </c>
      <c r="J706" s="3" t="n">
        <f aca="false">IF(AND(LEFT(A706,1)&lt;&gt;"C",D706&gt;0,F706&gt;0),1,0)</f>
        <v>1</v>
      </c>
      <c r="K706" s="3" t="n">
        <f aca="false">IF(AND(H706="United Kingdom",G706&lt;&gt;"",COUNTIFS($G$2:G706,G706,$H$2:H706,"United Kingdom")=1),1,0)</f>
        <v>0</v>
      </c>
    </row>
    <row r="707" customFormat="false" ht="15" hidden="false" customHeight="false" outlineLevel="0" collapsed="false">
      <c r="A707" s="0" t="s">
        <v>211</v>
      </c>
      <c r="B707" s="0" t="s">
        <v>32</v>
      </c>
      <c r="C707" s="0" t="s">
        <v>33</v>
      </c>
      <c r="D707" s="0" t="n">
        <v>18</v>
      </c>
      <c r="E707" s="2" t="n">
        <v>40587.8298611111</v>
      </c>
      <c r="F707" s="0" t="n">
        <v>1.19</v>
      </c>
      <c r="G707" s="0" t="n">
        <v>17203</v>
      </c>
      <c r="H707" s="3" t="s">
        <v>14</v>
      </c>
      <c r="I707" s="4" t="n">
        <f aca="false">D707*F707</f>
        <v>21.42</v>
      </c>
      <c r="J707" s="3" t="n">
        <f aca="false">IF(AND(LEFT(A707,1)&lt;&gt;"C",D707&gt;0,F707&gt;0),1,0)</f>
        <v>1</v>
      </c>
      <c r="K707" s="3" t="n">
        <f aca="false">IF(AND(H707="United Kingdom",G707&lt;&gt;"",COUNTIFS($G$2:G707,G707,$H$2:H707,"United Kingdom")=1),1,0)</f>
        <v>0</v>
      </c>
    </row>
    <row r="708" customFormat="false" ht="15" hidden="false" customHeight="false" outlineLevel="0" collapsed="false">
      <c r="A708" s="0" t="s">
        <v>211</v>
      </c>
      <c r="B708" s="0" t="s">
        <v>45</v>
      </c>
      <c r="C708" s="0" t="s">
        <v>46</v>
      </c>
      <c r="D708" s="0" t="n">
        <v>24</v>
      </c>
      <c r="E708" s="2" t="n">
        <v>40587.8298611111</v>
      </c>
      <c r="F708" s="0" t="n">
        <v>4.55</v>
      </c>
      <c r="G708" s="0" t="n">
        <v>17203</v>
      </c>
      <c r="H708" s="3" t="s">
        <v>14</v>
      </c>
      <c r="I708" s="4" t="n">
        <f aca="false">D708*F708</f>
        <v>109.2</v>
      </c>
      <c r="J708" s="3" t="n">
        <f aca="false">IF(AND(LEFT(A708,1)&lt;&gt;"C",D708&gt;0,F708&gt;0),1,0)</f>
        <v>1</v>
      </c>
      <c r="K708" s="3" t="n">
        <f aca="false">IF(AND(H708="United Kingdom",G708&lt;&gt;"",COUNTIFS($G$2:G708,G708,$H$2:H708,"United Kingdom")=1),1,0)</f>
        <v>0</v>
      </c>
    </row>
    <row r="709" customFormat="false" ht="15" hidden="false" customHeight="false" outlineLevel="0" collapsed="false">
      <c r="A709" s="0" t="s">
        <v>211</v>
      </c>
      <c r="B709" s="0" t="s">
        <v>27</v>
      </c>
      <c r="C709" s="0" t="s">
        <v>28</v>
      </c>
      <c r="D709" s="0" t="n">
        <v>24</v>
      </c>
      <c r="E709" s="2" t="n">
        <v>40587.8298611111</v>
      </c>
      <c r="F709" s="0" t="n">
        <v>4.55</v>
      </c>
      <c r="G709" s="0" t="n">
        <v>17203</v>
      </c>
      <c r="H709" s="3" t="s">
        <v>14</v>
      </c>
      <c r="I709" s="4" t="n">
        <f aca="false">D709*F709</f>
        <v>109.2</v>
      </c>
      <c r="J709" s="3" t="n">
        <f aca="false">IF(AND(LEFT(A709,1)&lt;&gt;"C",D709&gt;0,F709&gt;0),1,0)</f>
        <v>1</v>
      </c>
      <c r="K709" s="3" t="n">
        <f aca="false">IF(AND(H709="United Kingdom",G709&lt;&gt;"",COUNTIFS($G$2:G709,G709,$H$2:H709,"United Kingdom")=1),1,0)</f>
        <v>0</v>
      </c>
    </row>
    <row r="710" customFormat="false" ht="15" hidden="false" customHeight="false" outlineLevel="0" collapsed="false">
      <c r="A710" s="0" t="s">
        <v>211</v>
      </c>
      <c r="B710" s="0" t="s">
        <v>39</v>
      </c>
      <c r="C710" s="0" t="s">
        <v>40</v>
      </c>
      <c r="D710" s="0" t="n">
        <v>12</v>
      </c>
      <c r="E710" s="2" t="n">
        <v>40587.8298611111</v>
      </c>
      <c r="F710" s="0" t="n">
        <v>2.58</v>
      </c>
      <c r="G710" s="0" t="n">
        <v>17203</v>
      </c>
      <c r="H710" s="3" t="s">
        <v>14</v>
      </c>
      <c r="I710" s="4" t="n">
        <f aca="false">D710*F710</f>
        <v>30.96</v>
      </c>
      <c r="J710" s="3" t="n">
        <f aca="false">IF(AND(LEFT(A710,1)&lt;&gt;"C",D710&gt;0,F710&gt;0),1,0)</f>
        <v>1</v>
      </c>
      <c r="K710" s="3" t="n">
        <f aca="false">IF(AND(H710="United Kingdom",G710&lt;&gt;"",COUNTIFS($G$2:G710,G710,$H$2:H710,"United Kingdom")=1),1,0)</f>
        <v>0</v>
      </c>
    </row>
    <row r="711" customFormat="false" ht="15" hidden="false" customHeight="false" outlineLevel="0" collapsed="false">
      <c r="A711" s="0" t="s">
        <v>211</v>
      </c>
      <c r="B711" s="0" t="s">
        <v>58</v>
      </c>
      <c r="C711" s="0" t="s">
        <v>59</v>
      </c>
      <c r="D711" s="0" t="n">
        <v>144</v>
      </c>
      <c r="E711" s="2" t="n">
        <v>40587.8298611111</v>
      </c>
      <c r="F711" s="0" t="n">
        <v>2.16</v>
      </c>
      <c r="G711" s="0" t="n">
        <v>17203</v>
      </c>
      <c r="H711" s="3" t="s">
        <v>14</v>
      </c>
      <c r="I711" s="4" t="n">
        <f aca="false">D711*F711</f>
        <v>311.04</v>
      </c>
      <c r="J711" s="3" t="n">
        <f aca="false">IF(AND(LEFT(A711,1)&lt;&gt;"C",D711&gt;0,F711&gt;0),1,0)</f>
        <v>1</v>
      </c>
      <c r="K711" s="3" t="n">
        <f aca="false">IF(AND(H711="United Kingdom",G711&lt;&gt;"",COUNTIFS($G$2:G711,G711,$H$2:H711,"United Kingdom")=1),1,0)</f>
        <v>0</v>
      </c>
    </row>
    <row r="712" customFormat="false" ht="15" hidden="false" customHeight="false" outlineLevel="0" collapsed="false">
      <c r="A712" s="0" t="s">
        <v>211</v>
      </c>
      <c r="B712" s="0" t="s">
        <v>20</v>
      </c>
      <c r="C712" s="0" t="s">
        <v>21</v>
      </c>
      <c r="D712" s="0" t="n">
        <v>288</v>
      </c>
      <c r="E712" s="2" t="n">
        <v>40587.8298611111</v>
      </c>
      <c r="F712" s="0" t="n">
        <v>4.24</v>
      </c>
      <c r="G712" s="0" t="n">
        <v>17203</v>
      </c>
      <c r="H712" s="3" t="s">
        <v>14</v>
      </c>
      <c r="I712" s="4" t="n">
        <f aca="false">D712*F712</f>
        <v>1221.12</v>
      </c>
      <c r="J712" s="3" t="n">
        <f aca="false">IF(AND(LEFT(A712,1)&lt;&gt;"C",D712&gt;0,F712&gt;0),1,0)</f>
        <v>1</v>
      </c>
      <c r="K712" s="3" t="n">
        <f aca="false">IF(AND(H712="United Kingdom",G712&lt;&gt;"",COUNTIFS($G$2:G712,G712,$H$2:H712,"United Kingdom")=1),1,0)</f>
        <v>0</v>
      </c>
    </row>
    <row r="713" customFormat="false" ht="15" hidden="false" customHeight="false" outlineLevel="0" collapsed="false">
      <c r="A713" s="0" t="s">
        <v>211</v>
      </c>
      <c r="B713" s="0" t="s">
        <v>29</v>
      </c>
      <c r="C713" s="0" t="s">
        <v>30</v>
      </c>
      <c r="D713" s="0" t="n">
        <v>24</v>
      </c>
      <c r="E713" s="2" t="n">
        <v>40587.8298611111</v>
      </c>
      <c r="F713" s="0" t="n">
        <v>5.79</v>
      </c>
      <c r="G713" s="0" t="n">
        <v>17203</v>
      </c>
      <c r="H713" s="3" t="s">
        <v>14</v>
      </c>
      <c r="I713" s="4" t="n">
        <f aca="false">D713*F713</f>
        <v>138.96</v>
      </c>
      <c r="J713" s="3" t="n">
        <f aca="false">IF(AND(LEFT(A713,1)&lt;&gt;"C",D713&gt;0,F713&gt;0),1,0)</f>
        <v>1</v>
      </c>
      <c r="K713" s="3" t="n">
        <f aca="false">IF(AND(H713="United Kingdom",G713&lt;&gt;"",COUNTIFS($G$2:G713,G713,$H$2:H713,"United Kingdom")=1),1,0)</f>
        <v>0</v>
      </c>
    </row>
    <row r="714" customFormat="false" ht="15" hidden="false" customHeight="false" outlineLevel="0" collapsed="false">
      <c r="A714" s="0" t="s">
        <v>211</v>
      </c>
      <c r="B714" s="0" t="s">
        <v>77</v>
      </c>
      <c r="C714" s="0" t="s">
        <v>78</v>
      </c>
      <c r="D714" s="0" t="n">
        <v>24</v>
      </c>
      <c r="E714" s="2" t="n">
        <v>40587.8298611111</v>
      </c>
      <c r="F714" s="0" t="n">
        <v>3.41</v>
      </c>
      <c r="G714" s="0" t="n">
        <v>17203</v>
      </c>
      <c r="H714" s="3" t="s">
        <v>14</v>
      </c>
      <c r="I714" s="4" t="n">
        <f aca="false">D714*F714</f>
        <v>81.84</v>
      </c>
      <c r="J714" s="3" t="n">
        <f aca="false">IF(AND(LEFT(A714,1)&lt;&gt;"C",D714&gt;0,F714&gt;0),1,0)</f>
        <v>1</v>
      </c>
      <c r="K714" s="3" t="n">
        <f aca="false">IF(AND(H714="United Kingdom",G714&lt;&gt;"",COUNTIFS($G$2:G714,G714,$H$2:H714,"United Kingdom")=1),1,0)</f>
        <v>0</v>
      </c>
    </row>
    <row r="715" customFormat="false" ht="15" hidden="false" customHeight="false" outlineLevel="0" collapsed="false">
      <c r="A715" s="0" t="s">
        <v>211</v>
      </c>
      <c r="B715" s="0" t="s">
        <v>34</v>
      </c>
      <c r="C715" s="0" t="s">
        <v>35</v>
      </c>
      <c r="D715" s="0" t="n">
        <v>12</v>
      </c>
      <c r="E715" s="2" t="n">
        <v>40587.8298611111</v>
      </c>
      <c r="F715" s="0" t="n">
        <v>2.38</v>
      </c>
      <c r="G715" s="0" t="n">
        <v>17203</v>
      </c>
      <c r="H715" s="3" t="s">
        <v>14</v>
      </c>
      <c r="I715" s="4" t="n">
        <f aca="false">D715*F715</f>
        <v>28.56</v>
      </c>
      <c r="J715" s="3" t="n">
        <f aca="false">IF(AND(LEFT(A715,1)&lt;&gt;"C",D715&gt;0,F715&gt;0),1,0)</f>
        <v>1</v>
      </c>
      <c r="K715" s="3" t="n">
        <f aca="false">IF(AND(H715="United Kingdom",G715&lt;&gt;"",COUNTIFS($G$2:G715,G715,$H$2:H715,"United Kingdom")=1),1,0)</f>
        <v>0</v>
      </c>
    </row>
    <row r="716" customFormat="false" ht="15" hidden="false" customHeight="false" outlineLevel="0" collapsed="false">
      <c r="A716" s="0" t="s">
        <v>211</v>
      </c>
      <c r="B716" s="0" t="s">
        <v>48</v>
      </c>
      <c r="C716" s="0" t="s">
        <v>49</v>
      </c>
      <c r="D716" s="0" t="n">
        <v>144</v>
      </c>
      <c r="E716" s="2" t="n">
        <v>40587.8298611111</v>
      </c>
      <c r="F716" s="0" t="n">
        <v>1.35</v>
      </c>
      <c r="G716" s="0" t="n">
        <v>17203</v>
      </c>
      <c r="H716" s="3" t="s">
        <v>14</v>
      </c>
      <c r="I716" s="4" t="n">
        <f aca="false">D716*F716</f>
        <v>194.4</v>
      </c>
      <c r="J716" s="3" t="n">
        <f aca="false">IF(AND(LEFT(A716,1)&lt;&gt;"C",D716&gt;0,F716&gt;0),1,0)</f>
        <v>1</v>
      </c>
      <c r="K716" s="3" t="n">
        <f aca="false">IF(AND(H716="United Kingdom",G716&lt;&gt;"",COUNTIFS($G$2:G716,G716,$H$2:H716,"United Kingdom")=1),1,0)</f>
        <v>0</v>
      </c>
    </row>
    <row r="717" customFormat="false" ht="15" hidden="false" customHeight="false" outlineLevel="0" collapsed="false">
      <c r="A717" s="0" t="s">
        <v>211</v>
      </c>
      <c r="B717" s="0" t="s">
        <v>37</v>
      </c>
      <c r="C717" s="0" t="s">
        <v>38</v>
      </c>
      <c r="D717" s="0" t="n">
        <v>24</v>
      </c>
      <c r="E717" s="2" t="n">
        <v>40587.8298611111</v>
      </c>
      <c r="F717" s="0" t="n">
        <v>1.82</v>
      </c>
      <c r="G717" s="0" t="n">
        <v>17203</v>
      </c>
      <c r="H717" s="3" t="s">
        <v>14</v>
      </c>
      <c r="I717" s="4" t="n">
        <f aca="false">D717*F717</f>
        <v>43.68</v>
      </c>
      <c r="J717" s="3" t="n">
        <f aca="false">IF(AND(LEFT(A717,1)&lt;&gt;"C",D717&gt;0,F717&gt;0),1,0)</f>
        <v>1</v>
      </c>
      <c r="K717" s="3" t="n">
        <f aca="false">IF(AND(H717="United Kingdom",G717&lt;&gt;"",COUNTIFS($G$2:G717,G717,$H$2:H717,"United Kingdom")=1),1,0)</f>
        <v>0</v>
      </c>
    </row>
    <row r="718" customFormat="false" ht="15" hidden="false" customHeight="false" outlineLevel="0" collapsed="false">
      <c r="A718" s="0" t="s">
        <v>211</v>
      </c>
      <c r="B718" s="0" t="s">
        <v>75</v>
      </c>
      <c r="C718" s="0" t="s">
        <v>76</v>
      </c>
      <c r="D718" s="0" t="n">
        <v>6</v>
      </c>
      <c r="E718" s="2" t="n">
        <v>40587.8298611111</v>
      </c>
      <c r="F718" s="0" t="n">
        <v>1.97</v>
      </c>
      <c r="G718" s="0" t="n">
        <v>17203</v>
      </c>
      <c r="H718" s="3" t="s">
        <v>14</v>
      </c>
      <c r="I718" s="4" t="n">
        <f aca="false">D718*F718</f>
        <v>11.82</v>
      </c>
      <c r="J718" s="3" t="n">
        <f aca="false">IF(AND(LEFT(A718,1)&lt;&gt;"C",D718&gt;0,F718&gt;0),1,0)</f>
        <v>1</v>
      </c>
      <c r="K718" s="3" t="n">
        <f aca="false">IF(AND(H718="United Kingdom",G718&lt;&gt;"",COUNTIFS($G$2:G718,G718,$H$2:H718,"United Kingdom")=1),1,0)</f>
        <v>0</v>
      </c>
    </row>
    <row r="719" customFormat="false" ht="15" hidden="false" customHeight="false" outlineLevel="0" collapsed="false">
      <c r="A719" s="0" t="s">
        <v>211</v>
      </c>
      <c r="B719" s="0" t="s">
        <v>52</v>
      </c>
      <c r="C719" s="0" t="s">
        <v>53</v>
      </c>
      <c r="D719" s="0" t="n">
        <v>12</v>
      </c>
      <c r="E719" s="2" t="n">
        <v>40587.8298611111</v>
      </c>
      <c r="F719" s="0" t="n">
        <v>4.16</v>
      </c>
      <c r="G719" s="0" t="n">
        <v>17203</v>
      </c>
      <c r="H719" s="3" t="s">
        <v>14</v>
      </c>
      <c r="I719" s="4" t="n">
        <f aca="false">D719*F719</f>
        <v>49.92</v>
      </c>
      <c r="J719" s="3" t="n">
        <f aca="false">IF(AND(LEFT(A719,1)&lt;&gt;"C",D719&gt;0,F719&gt;0),1,0)</f>
        <v>1</v>
      </c>
      <c r="K719" s="3" t="n">
        <f aca="false">IF(AND(H719="United Kingdom",G719&lt;&gt;"",COUNTIFS($G$2:G719,G719,$H$2:H719,"United Kingdom")=1),1,0)</f>
        <v>0</v>
      </c>
    </row>
    <row r="720" customFormat="false" ht="15" hidden="false" customHeight="false" outlineLevel="0" collapsed="false">
      <c r="A720" s="0" t="s">
        <v>211</v>
      </c>
      <c r="B720" s="0" t="s">
        <v>22</v>
      </c>
      <c r="C720" s="0" t="s">
        <v>23</v>
      </c>
      <c r="D720" s="0" t="n">
        <v>144</v>
      </c>
      <c r="E720" s="2" t="n">
        <v>40587.8298611111</v>
      </c>
      <c r="F720" s="0" t="n">
        <v>3.18</v>
      </c>
      <c r="G720" s="0" t="n">
        <v>17203</v>
      </c>
      <c r="H720" s="3" t="s">
        <v>14</v>
      </c>
      <c r="I720" s="4" t="n">
        <f aca="false">D720*F720</f>
        <v>457.92</v>
      </c>
      <c r="J720" s="3" t="n">
        <f aca="false">IF(AND(LEFT(A720,1)&lt;&gt;"C",D720&gt;0,F720&gt;0),1,0)</f>
        <v>1</v>
      </c>
      <c r="K720" s="3" t="n">
        <f aca="false">IF(AND(H720="United Kingdom",G720&lt;&gt;"",COUNTIFS($G$2:G720,G720,$H$2:H720,"United Kingdom")=1),1,0)</f>
        <v>0</v>
      </c>
    </row>
    <row r="721" customFormat="false" ht="15" hidden="false" customHeight="false" outlineLevel="0" collapsed="false">
      <c r="A721" s="0" t="s">
        <v>211</v>
      </c>
      <c r="B721" s="0" t="s">
        <v>25</v>
      </c>
      <c r="C721" s="0" t="s">
        <v>26</v>
      </c>
      <c r="D721" s="0" t="n">
        <v>6</v>
      </c>
      <c r="E721" s="2" t="n">
        <v>40587.8298611111</v>
      </c>
      <c r="F721" s="0" t="n">
        <v>2.21</v>
      </c>
      <c r="G721" s="0" t="n">
        <v>17203</v>
      </c>
      <c r="H721" s="3" t="s">
        <v>14</v>
      </c>
      <c r="I721" s="4" t="n">
        <f aca="false">D721*F721</f>
        <v>13.26</v>
      </c>
      <c r="J721" s="3" t="n">
        <f aca="false">IF(AND(LEFT(A721,1)&lt;&gt;"C",D721&gt;0,F721&gt;0),1,0)</f>
        <v>1</v>
      </c>
      <c r="K721" s="3" t="n">
        <f aca="false">IF(AND(H721="United Kingdom",G721&lt;&gt;"",COUNTIFS($G$2:G721,G721,$H$2:H721,"United Kingdom")=1),1,0)</f>
        <v>0</v>
      </c>
    </row>
    <row r="722" customFormat="false" ht="15" hidden="false" customHeight="false" outlineLevel="0" collapsed="false">
      <c r="A722" s="0" t="s">
        <v>211</v>
      </c>
      <c r="B722" s="0" t="s">
        <v>65</v>
      </c>
      <c r="C722" s="0" t="s">
        <v>66</v>
      </c>
      <c r="D722" s="0" t="n">
        <v>72</v>
      </c>
      <c r="E722" s="2" t="n">
        <v>40587.8298611111</v>
      </c>
      <c r="F722" s="0" t="n">
        <v>4.75</v>
      </c>
      <c r="G722" s="0" t="n">
        <v>17203</v>
      </c>
      <c r="H722" s="3" t="s">
        <v>14</v>
      </c>
      <c r="I722" s="4" t="n">
        <f aca="false">D722*F722</f>
        <v>342</v>
      </c>
      <c r="J722" s="3" t="n">
        <f aca="false">IF(AND(LEFT(A722,1)&lt;&gt;"C",D722&gt;0,F722&gt;0),1,0)</f>
        <v>1</v>
      </c>
      <c r="K722" s="3" t="n">
        <f aca="false">IF(AND(H722="United Kingdom",G722&lt;&gt;"",COUNTIFS($G$2:G722,G722,$H$2:H722,"United Kingdom")=1),1,0)</f>
        <v>0</v>
      </c>
    </row>
    <row r="723" customFormat="false" ht="15" hidden="false" customHeight="false" outlineLevel="0" collapsed="false">
      <c r="A723" s="0" t="s">
        <v>211</v>
      </c>
      <c r="B723" s="0" t="s">
        <v>80</v>
      </c>
      <c r="C723" s="0" t="s">
        <v>81</v>
      </c>
      <c r="D723" s="0" t="n">
        <v>24</v>
      </c>
      <c r="E723" s="2" t="n">
        <v>40587.8298611111</v>
      </c>
      <c r="F723" s="0" t="n">
        <v>1.53</v>
      </c>
      <c r="G723" s="0" t="n">
        <v>17203</v>
      </c>
      <c r="H723" s="3" t="s">
        <v>14</v>
      </c>
      <c r="I723" s="4" t="n">
        <f aca="false">D723*F723</f>
        <v>36.72</v>
      </c>
      <c r="J723" s="3" t="n">
        <f aca="false">IF(AND(LEFT(A723,1)&lt;&gt;"C",D723&gt;0,F723&gt;0),1,0)</f>
        <v>1</v>
      </c>
      <c r="K723" s="3" t="n">
        <f aca="false">IF(AND(H723="United Kingdom",G723&lt;&gt;"",COUNTIFS($G$2:G723,G723,$H$2:H723,"United Kingdom")=1),1,0)</f>
        <v>0</v>
      </c>
    </row>
    <row r="724" customFormat="false" ht="15" hidden="false" customHeight="false" outlineLevel="0" collapsed="false">
      <c r="A724" s="0" t="s">
        <v>211</v>
      </c>
      <c r="B724" s="0" t="s">
        <v>60</v>
      </c>
      <c r="C724" s="0" t="s">
        <v>61</v>
      </c>
      <c r="D724" s="0" t="n">
        <v>72</v>
      </c>
      <c r="E724" s="2" t="n">
        <v>40587.8298611111</v>
      </c>
      <c r="F724" s="0" t="n">
        <v>0.63</v>
      </c>
      <c r="G724" s="0" t="n">
        <v>17203</v>
      </c>
      <c r="H724" s="3" t="s">
        <v>14</v>
      </c>
      <c r="I724" s="4" t="n">
        <f aca="false">D724*F724</f>
        <v>45.36</v>
      </c>
      <c r="J724" s="3" t="n">
        <f aca="false">IF(AND(LEFT(A724,1)&lt;&gt;"C",D724&gt;0,F724&gt;0),1,0)</f>
        <v>1</v>
      </c>
      <c r="K724" s="3" t="n">
        <f aca="false">IF(AND(H724="United Kingdom",G724&lt;&gt;"",COUNTIFS($G$2:G724,G724,$H$2:H724,"United Kingdom")=1),1,0)</f>
        <v>0</v>
      </c>
    </row>
    <row r="725" customFormat="false" ht="15" hidden="false" customHeight="false" outlineLevel="0" collapsed="false">
      <c r="A725" s="0" t="s">
        <v>211</v>
      </c>
      <c r="B725" s="0" t="s">
        <v>63</v>
      </c>
      <c r="C725" s="0" t="s">
        <v>64</v>
      </c>
      <c r="D725" s="0" t="n">
        <v>144</v>
      </c>
      <c r="E725" s="2" t="n">
        <v>40587.8298611111</v>
      </c>
      <c r="F725" s="0" t="n">
        <v>2.43</v>
      </c>
      <c r="G725" s="0" t="n">
        <v>17203</v>
      </c>
      <c r="H725" s="3" t="s">
        <v>14</v>
      </c>
      <c r="I725" s="4" t="n">
        <f aca="false">D725*F725</f>
        <v>349.92</v>
      </c>
      <c r="J725" s="3" t="n">
        <f aca="false">IF(AND(LEFT(A725,1)&lt;&gt;"C",D725&gt;0,F725&gt;0),1,0)</f>
        <v>1</v>
      </c>
      <c r="K725" s="3" t="n">
        <f aca="false">IF(AND(H725="United Kingdom",G725&lt;&gt;"",COUNTIFS($G$2:G725,G725,$H$2:H725,"United Kingdom")=1),1,0)</f>
        <v>0</v>
      </c>
    </row>
    <row r="726" customFormat="false" ht="15" hidden="false" customHeight="false" outlineLevel="0" collapsed="false">
      <c r="A726" s="0" t="s">
        <v>211</v>
      </c>
      <c r="B726" s="0" t="s">
        <v>72</v>
      </c>
      <c r="C726" s="0" t="s">
        <v>73</v>
      </c>
      <c r="D726" s="0" t="n">
        <v>144</v>
      </c>
      <c r="E726" s="2" t="n">
        <v>40587.8298611111</v>
      </c>
      <c r="F726" s="0" t="n">
        <v>2.69</v>
      </c>
      <c r="G726" s="0" t="n">
        <v>17203</v>
      </c>
      <c r="H726" s="3" t="s">
        <v>14</v>
      </c>
      <c r="I726" s="4" t="n">
        <f aca="false">D726*F726</f>
        <v>387.36</v>
      </c>
      <c r="J726" s="3" t="n">
        <f aca="false">IF(AND(LEFT(A726,1)&lt;&gt;"C",D726&gt;0,F726&gt;0),1,0)</f>
        <v>1</v>
      </c>
      <c r="K726" s="3" t="n">
        <f aca="false">IF(AND(H726="United Kingdom",G726&lt;&gt;"",COUNTIFS($G$2:G726,G726,$H$2:H726,"United Kingdom")=1),1,0)</f>
        <v>0</v>
      </c>
    </row>
    <row r="727" customFormat="false" ht="15" hidden="false" customHeight="false" outlineLevel="0" collapsed="false">
      <c r="A727" s="0" t="s">
        <v>211</v>
      </c>
      <c r="B727" s="0" t="s">
        <v>15</v>
      </c>
      <c r="C727" s="0" t="s">
        <v>16</v>
      </c>
      <c r="D727" s="0" t="n">
        <v>144</v>
      </c>
      <c r="E727" s="2" t="n">
        <v>40587.8298611111</v>
      </c>
      <c r="F727" s="0" t="n">
        <v>3.18</v>
      </c>
      <c r="G727" s="0" t="n">
        <v>17203</v>
      </c>
      <c r="H727" s="3" t="s">
        <v>14</v>
      </c>
      <c r="I727" s="4" t="n">
        <f aca="false">D727*F727</f>
        <v>457.92</v>
      </c>
      <c r="J727" s="3" t="n">
        <f aca="false">IF(AND(LEFT(A727,1)&lt;&gt;"C",D727&gt;0,F727&gt;0),1,0)</f>
        <v>1</v>
      </c>
      <c r="K727" s="3" t="n">
        <f aca="false">IF(AND(H727="United Kingdom",G727&lt;&gt;"",COUNTIFS($G$2:G727,G727,$H$2:H727,"United Kingdom")=1),1,0)</f>
        <v>0</v>
      </c>
    </row>
    <row r="728" customFormat="false" ht="15" hidden="false" customHeight="false" outlineLevel="0" collapsed="false">
      <c r="A728" s="0" t="s">
        <v>211</v>
      </c>
      <c r="B728" s="0" t="s">
        <v>41</v>
      </c>
      <c r="C728" s="0" t="s">
        <v>42</v>
      </c>
      <c r="D728" s="0" t="n">
        <v>18</v>
      </c>
      <c r="E728" s="2" t="n">
        <v>40587.8298611111</v>
      </c>
      <c r="F728" s="0" t="n">
        <v>3.28</v>
      </c>
      <c r="G728" s="0" t="n">
        <v>17203</v>
      </c>
      <c r="H728" s="3" t="s">
        <v>14</v>
      </c>
      <c r="I728" s="4" t="n">
        <f aca="false">D728*F728</f>
        <v>59.04</v>
      </c>
      <c r="J728" s="3" t="n">
        <f aca="false">IF(AND(LEFT(A728,1)&lt;&gt;"C",D728&gt;0,F728&gt;0),1,0)</f>
        <v>1</v>
      </c>
      <c r="K728" s="3" t="n">
        <f aca="false">IF(AND(H728="United Kingdom",G728&lt;&gt;"",COUNTIFS($G$2:G728,G728,$H$2:H728,"United Kingdom")=1),1,0)</f>
        <v>0</v>
      </c>
    </row>
    <row r="729" customFormat="false" ht="15" hidden="false" customHeight="false" outlineLevel="0" collapsed="false">
      <c r="A729" s="0" t="s">
        <v>211</v>
      </c>
      <c r="B729" s="0" t="s">
        <v>90</v>
      </c>
      <c r="C729" s="0" t="s">
        <v>91</v>
      </c>
      <c r="D729" s="0" t="n">
        <v>36</v>
      </c>
      <c r="E729" s="2" t="n">
        <v>40587.8298611111</v>
      </c>
      <c r="F729" s="0" t="n">
        <v>3.04</v>
      </c>
      <c r="G729" s="0" t="n">
        <v>17203</v>
      </c>
      <c r="H729" s="3" t="s">
        <v>14</v>
      </c>
      <c r="I729" s="4" t="n">
        <f aca="false">D729*F729</f>
        <v>109.44</v>
      </c>
      <c r="J729" s="3" t="n">
        <f aca="false">IF(AND(LEFT(A729,1)&lt;&gt;"C",D729&gt;0,F729&gt;0),1,0)</f>
        <v>1</v>
      </c>
      <c r="K729" s="3" t="n">
        <f aca="false">IF(AND(H729="United Kingdom",G729&lt;&gt;"",COUNTIFS($G$2:G729,G729,$H$2:H729,"United Kingdom")=1),1,0)</f>
        <v>0</v>
      </c>
    </row>
    <row r="730" customFormat="false" ht="15" hidden="false" customHeight="false" outlineLevel="0" collapsed="false">
      <c r="A730" s="0" t="s">
        <v>211</v>
      </c>
      <c r="B730" s="0" t="s">
        <v>54</v>
      </c>
      <c r="C730" s="0" t="s">
        <v>55</v>
      </c>
      <c r="D730" s="0" t="n">
        <v>96</v>
      </c>
      <c r="E730" s="2" t="n">
        <v>40587.8298611111</v>
      </c>
      <c r="F730" s="0" t="n">
        <v>0.99</v>
      </c>
      <c r="G730" s="0" t="n">
        <v>17203</v>
      </c>
      <c r="H730" s="3" t="s">
        <v>14</v>
      </c>
      <c r="I730" s="4" t="n">
        <f aca="false">D730*F730</f>
        <v>95.04</v>
      </c>
      <c r="J730" s="3" t="n">
        <f aca="false">IF(AND(LEFT(A730,1)&lt;&gt;"C",D730&gt;0,F730&gt;0),1,0)</f>
        <v>1</v>
      </c>
      <c r="K730" s="3" t="n">
        <f aca="false">IF(AND(H730="United Kingdom",G730&lt;&gt;"",COUNTIFS($G$2:G730,G730,$H$2:H730,"United Kingdom")=1),1,0)</f>
        <v>0</v>
      </c>
    </row>
    <row r="731" customFormat="false" ht="15" hidden="false" customHeight="false" outlineLevel="0" collapsed="false">
      <c r="A731" s="0" t="s">
        <v>212</v>
      </c>
      <c r="B731" s="0" t="s">
        <v>58</v>
      </c>
      <c r="C731" s="0" t="s">
        <v>59</v>
      </c>
      <c r="D731" s="0" t="n">
        <v>12</v>
      </c>
      <c r="E731" s="2" t="n">
        <v>40588.4736111111</v>
      </c>
      <c r="F731" s="0" t="n">
        <v>2.16</v>
      </c>
      <c r="G731" s="0" t="n">
        <v>13721</v>
      </c>
      <c r="H731" s="3" t="s">
        <v>14</v>
      </c>
      <c r="I731" s="4" t="n">
        <f aca="false">D731*F731</f>
        <v>25.92</v>
      </c>
      <c r="J731" s="3" t="n">
        <f aca="false">IF(AND(LEFT(A731,1)&lt;&gt;"C",D731&gt;0,F731&gt;0),1,0)</f>
        <v>1</v>
      </c>
      <c r="K731" s="3" t="n">
        <f aca="false">IF(AND(H731="United Kingdom",G731&lt;&gt;"",COUNTIFS($G$2:G731,G731,$H$2:H731,"United Kingdom")=1),1,0)</f>
        <v>0</v>
      </c>
    </row>
    <row r="732" customFormat="false" ht="15" hidden="false" customHeight="false" outlineLevel="0" collapsed="false">
      <c r="A732" s="0" t="s">
        <v>213</v>
      </c>
      <c r="B732" s="0" t="s">
        <v>54</v>
      </c>
      <c r="C732" s="0" t="s">
        <v>55</v>
      </c>
      <c r="D732" s="0" t="n">
        <v>16</v>
      </c>
      <c r="E732" s="2" t="n">
        <v>40589.4736111111</v>
      </c>
      <c r="F732" s="0" t="n">
        <v>0.99</v>
      </c>
      <c r="G732" s="0" t="n">
        <v>16009</v>
      </c>
      <c r="H732" s="3" t="s">
        <v>14</v>
      </c>
      <c r="I732" s="4" t="n">
        <f aca="false">D732*F732</f>
        <v>15.84</v>
      </c>
      <c r="J732" s="3" t="n">
        <f aca="false">IF(AND(LEFT(A732,1)&lt;&gt;"C",D732&gt;0,F732&gt;0),1,0)</f>
        <v>1</v>
      </c>
      <c r="K732" s="3" t="n">
        <f aca="false">IF(AND(H732="United Kingdom",G732&lt;&gt;"",COUNTIFS($G$2:G732,G732,$H$2:H732,"United Kingdom")=1),1,0)</f>
        <v>1</v>
      </c>
    </row>
    <row r="733" customFormat="false" ht="15" hidden="false" customHeight="false" outlineLevel="0" collapsed="false">
      <c r="A733" s="0" t="s">
        <v>213</v>
      </c>
      <c r="B733" s="0" t="s">
        <v>58</v>
      </c>
      <c r="C733" s="0" t="s">
        <v>59</v>
      </c>
      <c r="D733" s="0" t="n">
        <v>4</v>
      </c>
      <c r="E733" s="2" t="n">
        <v>40589.4736111111</v>
      </c>
      <c r="F733" s="0" t="n">
        <v>2.16</v>
      </c>
      <c r="G733" s="0" t="n">
        <v>16009</v>
      </c>
      <c r="H733" s="3" t="s">
        <v>14</v>
      </c>
      <c r="I733" s="4" t="n">
        <f aca="false">D733*F733</f>
        <v>8.64</v>
      </c>
      <c r="J733" s="3" t="n">
        <f aca="false">IF(AND(LEFT(A733,1)&lt;&gt;"C",D733&gt;0,F733&gt;0),1,0)</f>
        <v>1</v>
      </c>
      <c r="K733" s="3" t="n">
        <f aca="false">IF(AND(H733="United Kingdom",G733&lt;&gt;"",COUNTIFS($G$2:G733,G733,$H$2:H733,"United Kingdom")=1),1,0)</f>
        <v>0</v>
      </c>
    </row>
    <row r="734" customFormat="false" ht="15" hidden="false" customHeight="false" outlineLevel="0" collapsed="false">
      <c r="A734" s="0" t="s">
        <v>213</v>
      </c>
      <c r="B734" s="0" t="s">
        <v>113</v>
      </c>
      <c r="C734" s="0" t="s">
        <v>114</v>
      </c>
      <c r="D734" s="0" t="n">
        <v>4</v>
      </c>
      <c r="E734" s="2" t="n">
        <v>40589.4736111111</v>
      </c>
      <c r="F734" s="0" t="n">
        <v>3.57</v>
      </c>
      <c r="G734" s="0" t="n">
        <v>16009</v>
      </c>
      <c r="H734" s="3" t="s">
        <v>14</v>
      </c>
      <c r="I734" s="4" t="n">
        <f aca="false">D734*F734</f>
        <v>14.28</v>
      </c>
      <c r="J734" s="3" t="n">
        <f aca="false">IF(AND(LEFT(A734,1)&lt;&gt;"C",D734&gt;0,F734&gt;0),1,0)</f>
        <v>1</v>
      </c>
      <c r="K734" s="3" t="n">
        <f aca="false">IF(AND(H734="United Kingdom",G734&lt;&gt;"",COUNTIFS($G$2:G734,G734,$H$2:H734,"United Kingdom")=1),1,0)</f>
        <v>0</v>
      </c>
    </row>
    <row r="735" customFormat="false" ht="15" hidden="false" customHeight="false" outlineLevel="0" collapsed="false">
      <c r="A735" s="0" t="s">
        <v>213</v>
      </c>
      <c r="B735" s="0" t="s">
        <v>20</v>
      </c>
      <c r="C735" s="0" t="s">
        <v>21</v>
      </c>
      <c r="D735" s="0" t="n">
        <v>24</v>
      </c>
      <c r="E735" s="2" t="n">
        <v>40589.4736111111</v>
      </c>
      <c r="F735" s="0" t="n">
        <v>4.24</v>
      </c>
      <c r="G735" s="0" t="n">
        <v>16009</v>
      </c>
      <c r="H735" s="3" t="s">
        <v>14</v>
      </c>
      <c r="I735" s="4" t="n">
        <f aca="false">D735*F735</f>
        <v>101.76</v>
      </c>
      <c r="J735" s="3" t="n">
        <f aca="false">IF(AND(LEFT(A735,1)&lt;&gt;"C",D735&gt;0,F735&gt;0),1,0)</f>
        <v>1</v>
      </c>
      <c r="K735" s="3" t="n">
        <f aca="false">IF(AND(H735="United Kingdom",G735&lt;&gt;"",COUNTIFS($G$2:G735,G735,$H$2:H735,"United Kingdom")=1),1,0)</f>
        <v>0</v>
      </c>
    </row>
    <row r="736" customFormat="false" ht="15" hidden="false" customHeight="false" outlineLevel="0" collapsed="false">
      <c r="A736" s="0" t="s">
        <v>214</v>
      </c>
      <c r="B736" s="0" t="s">
        <v>52</v>
      </c>
      <c r="C736" s="0" t="s">
        <v>53</v>
      </c>
      <c r="D736" s="0" t="n">
        <v>4</v>
      </c>
      <c r="E736" s="2" t="n">
        <v>40590.3638888889</v>
      </c>
      <c r="F736" s="0" t="n">
        <v>4.16</v>
      </c>
      <c r="G736" s="0" t="n">
        <v>17032</v>
      </c>
      <c r="H736" s="3" t="s">
        <v>14</v>
      </c>
      <c r="I736" s="4" t="n">
        <f aca="false">D736*F736</f>
        <v>16.64</v>
      </c>
      <c r="J736" s="3" t="n">
        <f aca="false">IF(AND(LEFT(A736,1)&lt;&gt;"C",D736&gt;0,F736&gt;0),1,0)</f>
        <v>1</v>
      </c>
      <c r="K736" s="3" t="n">
        <f aca="false">IF(AND(H736="United Kingdom",G736&lt;&gt;"",COUNTIFS($G$2:G736,G736,$H$2:H736,"United Kingdom")=1),1,0)</f>
        <v>1</v>
      </c>
    </row>
    <row r="737" customFormat="false" ht="15" hidden="false" customHeight="false" outlineLevel="0" collapsed="false">
      <c r="A737" s="0" t="s">
        <v>214</v>
      </c>
      <c r="B737" s="0" t="s">
        <v>54</v>
      </c>
      <c r="C737" s="0" t="s">
        <v>55</v>
      </c>
      <c r="D737" s="0" t="n">
        <v>1</v>
      </c>
      <c r="E737" s="2" t="n">
        <v>40590.3638888889</v>
      </c>
      <c r="F737" s="0" t="n">
        <v>0.99</v>
      </c>
      <c r="G737" s="0" t="n">
        <v>17032</v>
      </c>
      <c r="H737" s="3" t="s">
        <v>14</v>
      </c>
      <c r="I737" s="4" t="n">
        <f aca="false">D737*F737</f>
        <v>0.99</v>
      </c>
      <c r="J737" s="3" t="n">
        <f aca="false">IF(AND(LEFT(A737,1)&lt;&gt;"C",D737&gt;0,F737&gt;0),1,0)</f>
        <v>1</v>
      </c>
      <c r="K737" s="3" t="n">
        <f aca="false">IF(AND(H737="United Kingdom",G737&lt;&gt;"",COUNTIFS($G$2:G737,G737,$H$2:H737,"United Kingdom")=1),1,0)</f>
        <v>0</v>
      </c>
    </row>
    <row r="738" customFormat="false" ht="15" hidden="false" customHeight="false" outlineLevel="0" collapsed="false">
      <c r="A738" s="0" t="s">
        <v>214</v>
      </c>
      <c r="B738" s="0" t="s">
        <v>22</v>
      </c>
      <c r="C738" s="0" t="s">
        <v>23</v>
      </c>
      <c r="D738" s="0" t="n">
        <v>2</v>
      </c>
      <c r="E738" s="2" t="n">
        <v>40590.3638888889</v>
      </c>
      <c r="F738" s="0" t="n">
        <v>3.18</v>
      </c>
      <c r="G738" s="0" t="n">
        <v>17032</v>
      </c>
      <c r="H738" s="3" t="s">
        <v>14</v>
      </c>
      <c r="I738" s="4" t="n">
        <f aca="false">D738*F738</f>
        <v>6.36</v>
      </c>
      <c r="J738" s="3" t="n">
        <f aca="false">IF(AND(LEFT(A738,1)&lt;&gt;"C",D738&gt;0,F738&gt;0),1,0)</f>
        <v>1</v>
      </c>
      <c r="K738" s="3" t="n">
        <f aca="false">IF(AND(H738="United Kingdom",G738&lt;&gt;"",COUNTIFS($G$2:G738,G738,$H$2:H738,"United Kingdom")=1),1,0)</f>
        <v>0</v>
      </c>
    </row>
    <row r="739" customFormat="false" ht="15" hidden="false" customHeight="false" outlineLevel="0" collapsed="false">
      <c r="A739" s="0" t="s">
        <v>215</v>
      </c>
      <c r="B739" s="0" t="s">
        <v>77</v>
      </c>
      <c r="C739" s="0" t="s">
        <v>78</v>
      </c>
      <c r="D739" s="0" t="n">
        <v>12</v>
      </c>
      <c r="E739" s="2" t="n">
        <v>40590.5319444445</v>
      </c>
      <c r="F739" s="0" t="n">
        <v>3.41</v>
      </c>
      <c r="G739" s="0" t="n">
        <v>16661</v>
      </c>
      <c r="H739" s="3" t="s">
        <v>14</v>
      </c>
      <c r="I739" s="4" t="n">
        <f aca="false">D739*F739</f>
        <v>40.92</v>
      </c>
      <c r="J739" s="3" t="n">
        <f aca="false">IF(AND(LEFT(A739,1)&lt;&gt;"C",D739&gt;0,F739&gt;0),1,0)</f>
        <v>1</v>
      </c>
      <c r="K739" s="3" t="n">
        <f aca="false">IF(AND(H739="United Kingdom",G739&lt;&gt;"",COUNTIFS($G$2:G739,G739,$H$2:H739,"United Kingdom")=1),1,0)</f>
        <v>0</v>
      </c>
    </row>
    <row r="740" customFormat="false" ht="15" hidden="false" customHeight="false" outlineLevel="0" collapsed="false">
      <c r="A740" s="0" t="s">
        <v>215</v>
      </c>
      <c r="B740" s="0" t="s">
        <v>68</v>
      </c>
      <c r="C740" s="0" t="s">
        <v>69</v>
      </c>
      <c r="D740" s="0" t="n">
        <v>1</v>
      </c>
      <c r="E740" s="2" t="n">
        <v>40590.5319444445</v>
      </c>
      <c r="F740" s="0" t="n">
        <v>1.26</v>
      </c>
      <c r="G740" s="0" t="n">
        <v>16661</v>
      </c>
      <c r="H740" s="3" t="s">
        <v>14</v>
      </c>
      <c r="I740" s="4" t="n">
        <f aca="false">D740*F740</f>
        <v>1.26</v>
      </c>
      <c r="J740" s="3" t="n">
        <f aca="false">IF(AND(LEFT(A740,1)&lt;&gt;"C",D740&gt;0,F740&gt;0),1,0)</f>
        <v>1</v>
      </c>
      <c r="K740" s="3" t="n">
        <f aca="false">IF(AND(H740="United Kingdom",G740&lt;&gt;"",COUNTIFS($G$2:G740,G740,$H$2:H740,"United Kingdom")=1),1,0)</f>
        <v>0</v>
      </c>
    </row>
    <row r="741" customFormat="false" ht="15" hidden="false" customHeight="false" outlineLevel="0" collapsed="false">
      <c r="A741" s="0" t="s">
        <v>215</v>
      </c>
      <c r="B741" s="0" t="s">
        <v>60</v>
      </c>
      <c r="C741" s="0" t="s">
        <v>61</v>
      </c>
      <c r="D741" s="0" t="n">
        <v>2</v>
      </c>
      <c r="E741" s="2" t="n">
        <v>40590.5319444445</v>
      </c>
      <c r="F741" s="0" t="n">
        <v>0.63</v>
      </c>
      <c r="G741" s="0" t="n">
        <v>16661</v>
      </c>
      <c r="H741" s="3" t="s">
        <v>14</v>
      </c>
      <c r="I741" s="4" t="n">
        <f aca="false">D741*F741</f>
        <v>1.26</v>
      </c>
      <c r="J741" s="3" t="n">
        <f aca="false">IF(AND(LEFT(A741,1)&lt;&gt;"C",D741&gt;0,F741&gt;0),1,0)</f>
        <v>1</v>
      </c>
      <c r="K741" s="3" t="n">
        <f aca="false">IF(AND(H741="United Kingdom",G741&lt;&gt;"",COUNTIFS($G$2:G741,G741,$H$2:H741,"United Kingdom")=1),1,0)</f>
        <v>0</v>
      </c>
    </row>
    <row r="742" customFormat="false" ht="15" hidden="false" customHeight="false" outlineLevel="0" collapsed="false">
      <c r="A742" s="0" t="s">
        <v>215</v>
      </c>
      <c r="B742" s="0" t="s">
        <v>90</v>
      </c>
      <c r="C742" s="0" t="s">
        <v>91</v>
      </c>
      <c r="D742" s="0" t="n">
        <v>4</v>
      </c>
      <c r="E742" s="2" t="n">
        <v>40590.5319444445</v>
      </c>
      <c r="F742" s="0" t="n">
        <v>3.04</v>
      </c>
      <c r="G742" s="0" t="n">
        <v>16661</v>
      </c>
      <c r="H742" s="3" t="s">
        <v>14</v>
      </c>
      <c r="I742" s="4" t="n">
        <f aca="false">D742*F742</f>
        <v>12.16</v>
      </c>
      <c r="J742" s="3" t="n">
        <f aca="false">IF(AND(LEFT(A742,1)&lt;&gt;"C",D742&gt;0,F742&gt;0),1,0)</f>
        <v>1</v>
      </c>
      <c r="K742" s="3" t="n">
        <f aca="false">IF(AND(H742="United Kingdom",G742&lt;&gt;"",COUNTIFS($G$2:G742,G742,$H$2:H742,"United Kingdom")=1),1,0)</f>
        <v>0</v>
      </c>
    </row>
    <row r="743" customFormat="false" ht="15" hidden="false" customHeight="false" outlineLevel="0" collapsed="false">
      <c r="A743" s="0" t="s">
        <v>215</v>
      </c>
      <c r="B743" s="0" t="s">
        <v>75</v>
      </c>
      <c r="C743" s="0" t="s">
        <v>76</v>
      </c>
      <c r="D743" s="0" t="n">
        <v>12</v>
      </c>
      <c r="E743" s="2" t="n">
        <v>40590.5319444445</v>
      </c>
      <c r="F743" s="0" t="n">
        <v>1.97</v>
      </c>
      <c r="G743" s="0" t="n">
        <v>16661</v>
      </c>
      <c r="H743" s="3" t="s">
        <v>14</v>
      </c>
      <c r="I743" s="4" t="n">
        <f aca="false">D743*F743</f>
        <v>23.64</v>
      </c>
      <c r="J743" s="3" t="n">
        <f aca="false">IF(AND(LEFT(A743,1)&lt;&gt;"C",D743&gt;0,F743&gt;0),1,0)</f>
        <v>1</v>
      </c>
      <c r="K743" s="3" t="n">
        <f aca="false">IF(AND(H743="United Kingdom",G743&lt;&gt;"",COUNTIFS($G$2:G743,G743,$H$2:H743,"United Kingdom")=1),1,0)</f>
        <v>0</v>
      </c>
    </row>
    <row r="744" customFormat="false" ht="15" hidden="false" customHeight="false" outlineLevel="0" collapsed="false">
      <c r="A744" s="0" t="s">
        <v>216</v>
      </c>
      <c r="B744" s="0" t="s">
        <v>34</v>
      </c>
      <c r="C744" s="0" t="s">
        <v>35</v>
      </c>
      <c r="D744" s="0" t="n">
        <v>8</v>
      </c>
      <c r="E744" s="2" t="n">
        <v>40590.7722222222</v>
      </c>
      <c r="F744" s="0" t="n">
        <v>2.38</v>
      </c>
      <c r="G744" s="0" t="n">
        <v>18261</v>
      </c>
      <c r="H744" s="3" t="s">
        <v>14</v>
      </c>
      <c r="I744" s="4" t="n">
        <f aca="false">D744*F744</f>
        <v>19.04</v>
      </c>
      <c r="J744" s="3" t="n">
        <f aca="false">IF(AND(LEFT(A744,1)&lt;&gt;"C",D744&gt;0,F744&gt;0),1,0)</f>
        <v>1</v>
      </c>
      <c r="K744" s="3" t="n">
        <f aca="false">IF(AND(H744="United Kingdom",G744&lt;&gt;"",COUNTIFS($G$2:G744,G744,$H$2:H744,"United Kingdom")=1),1,0)</f>
        <v>1</v>
      </c>
    </row>
    <row r="745" customFormat="false" ht="15" hidden="false" customHeight="false" outlineLevel="0" collapsed="false">
      <c r="A745" s="0" t="s">
        <v>217</v>
      </c>
      <c r="B745" s="0" t="s">
        <v>80</v>
      </c>
      <c r="C745" s="0" t="s">
        <v>81</v>
      </c>
      <c r="D745" s="0" t="n">
        <v>4</v>
      </c>
      <c r="E745" s="2" t="n">
        <v>40591.3972222222</v>
      </c>
      <c r="F745" s="0" t="n">
        <v>1.53</v>
      </c>
      <c r="G745" s="0" t="n">
        <v>14264</v>
      </c>
      <c r="H745" s="3" t="s">
        <v>14</v>
      </c>
      <c r="I745" s="4" t="n">
        <f aca="false">D745*F745</f>
        <v>6.12</v>
      </c>
      <c r="J745" s="3" t="n">
        <f aca="false">IF(AND(LEFT(A745,1)&lt;&gt;"C",D745&gt;0,F745&gt;0),1,0)</f>
        <v>1</v>
      </c>
      <c r="K745" s="3" t="n">
        <f aca="false">IF(AND(H745="United Kingdom",G745&lt;&gt;"",COUNTIFS($G$2:G745,G745,$H$2:H745,"United Kingdom")=1),1,0)</f>
        <v>0</v>
      </c>
    </row>
    <row r="746" customFormat="false" ht="15" hidden="false" customHeight="false" outlineLevel="0" collapsed="false">
      <c r="A746" s="0" t="s">
        <v>217</v>
      </c>
      <c r="B746" s="0" t="s">
        <v>32</v>
      </c>
      <c r="C746" s="0" t="s">
        <v>33</v>
      </c>
      <c r="D746" s="0" t="n">
        <v>12</v>
      </c>
      <c r="E746" s="2" t="n">
        <v>40591.3972222222</v>
      </c>
      <c r="F746" s="0" t="n">
        <v>1.19</v>
      </c>
      <c r="G746" s="0" t="n">
        <v>14264</v>
      </c>
      <c r="H746" s="3" t="s">
        <v>14</v>
      </c>
      <c r="I746" s="4" t="n">
        <f aca="false">D746*F746</f>
        <v>14.28</v>
      </c>
      <c r="J746" s="3" t="n">
        <f aca="false">IF(AND(LEFT(A746,1)&lt;&gt;"C",D746&gt;0,F746&gt;0),1,0)</f>
        <v>1</v>
      </c>
      <c r="K746" s="3" t="n">
        <f aca="false">IF(AND(H746="United Kingdom",G746&lt;&gt;"",COUNTIFS($G$2:G746,G746,$H$2:H746,"United Kingdom")=1),1,0)</f>
        <v>0</v>
      </c>
    </row>
    <row r="747" customFormat="false" ht="15" hidden="false" customHeight="false" outlineLevel="0" collapsed="false">
      <c r="A747" s="0" t="s">
        <v>217</v>
      </c>
      <c r="B747" s="0" t="s">
        <v>68</v>
      </c>
      <c r="C747" s="0" t="s">
        <v>69</v>
      </c>
      <c r="D747" s="0" t="n">
        <v>3</v>
      </c>
      <c r="E747" s="2" t="n">
        <v>40591.3972222222</v>
      </c>
      <c r="F747" s="0" t="n">
        <v>1.26</v>
      </c>
      <c r="G747" s="0" t="n">
        <v>14264</v>
      </c>
      <c r="H747" s="3" t="s">
        <v>14</v>
      </c>
      <c r="I747" s="4" t="n">
        <f aca="false">D747*F747</f>
        <v>3.78</v>
      </c>
      <c r="J747" s="3" t="n">
        <f aca="false">IF(AND(LEFT(A747,1)&lt;&gt;"C",D747&gt;0,F747&gt;0),1,0)</f>
        <v>1</v>
      </c>
      <c r="K747" s="3" t="n">
        <f aca="false">IF(AND(H747="United Kingdom",G747&lt;&gt;"",COUNTIFS($G$2:G747,G747,$H$2:H747,"United Kingdom")=1),1,0)</f>
        <v>0</v>
      </c>
    </row>
    <row r="748" customFormat="false" ht="15" hidden="false" customHeight="false" outlineLevel="0" collapsed="false">
      <c r="A748" s="0" t="s">
        <v>217</v>
      </c>
      <c r="B748" s="0" t="s">
        <v>41</v>
      </c>
      <c r="C748" s="0" t="s">
        <v>42</v>
      </c>
      <c r="D748" s="0" t="n">
        <v>3</v>
      </c>
      <c r="E748" s="2" t="n">
        <v>40591.3972222222</v>
      </c>
      <c r="F748" s="0" t="n">
        <v>3.28</v>
      </c>
      <c r="G748" s="0" t="n">
        <v>14264</v>
      </c>
      <c r="H748" s="3" t="s">
        <v>14</v>
      </c>
      <c r="I748" s="4" t="n">
        <f aca="false">D748*F748</f>
        <v>9.84</v>
      </c>
      <c r="J748" s="3" t="n">
        <f aca="false">IF(AND(LEFT(A748,1)&lt;&gt;"C",D748&gt;0,F748&gt;0),1,0)</f>
        <v>1</v>
      </c>
      <c r="K748" s="3" t="n">
        <f aca="false">IF(AND(H748="United Kingdom",G748&lt;&gt;"",COUNTIFS($G$2:G748,G748,$H$2:H748,"United Kingdom")=1),1,0)</f>
        <v>0</v>
      </c>
    </row>
    <row r="749" customFormat="false" ht="15" hidden="false" customHeight="false" outlineLevel="0" collapsed="false">
      <c r="A749" s="0" t="s">
        <v>217</v>
      </c>
      <c r="B749" s="0" t="s">
        <v>39</v>
      </c>
      <c r="C749" s="0" t="s">
        <v>40</v>
      </c>
      <c r="D749" s="0" t="n">
        <v>8</v>
      </c>
      <c r="E749" s="2" t="n">
        <v>40591.3972222222</v>
      </c>
      <c r="F749" s="0" t="n">
        <v>2.58</v>
      </c>
      <c r="G749" s="0" t="n">
        <v>14264</v>
      </c>
      <c r="H749" s="3" t="s">
        <v>14</v>
      </c>
      <c r="I749" s="4" t="n">
        <f aca="false">D749*F749</f>
        <v>20.64</v>
      </c>
      <c r="J749" s="3" t="n">
        <f aca="false">IF(AND(LEFT(A749,1)&lt;&gt;"C",D749&gt;0,F749&gt;0),1,0)</f>
        <v>1</v>
      </c>
      <c r="K749" s="3" t="n">
        <f aca="false">IF(AND(H749="United Kingdom",G749&lt;&gt;"",COUNTIFS($G$2:G749,G749,$H$2:H749,"United Kingdom")=1),1,0)</f>
        <v>0</v>
      </c>
    </row>
    <row r="750" customFormat="false" ht="15" hidden="false" customHeight="false" outlineLevel="0" collapsed="false">
      <c r="A750" s="0" t="s">
        <v>217</v>
      </c>
      <c r="B750" s="0" t="s">
        <v>52</v>
      </c>
      <c r="C750" s="0" t="s">
        <v>53</v>
      </c>
      <c r="D750" s="0" t="n">
        <v>4</v>
      </c>
      <c r="E750" s="2" t="n">
        <v>40591.3972222222</v>
      </c>
      <c r="F750" s="0" t="n">
        <v>4.16</v>
      </c>
      <c r="G750" s="0" t="n">
        <v>14264</v>
      </c>
      <c r="H750" s="3" t="s">
        <v>14</v>
      </c>
      <c r="I750" s="4" t="n">
        <f aca="false">D750*F750</f>
        <v>16.64</v>
      </c>
      <c r="J750" s="3" t="n">
        <f aca="false">IF(AND(LEFT(A750,1)&lt;&gt;"C",D750&gt;0,F750&gt;0),1,0)</f>
        <v>1</v>
      </c>
      <c r="K750" s="3" t="n">
        <f aca="false">IF(AND(H750="United Kingdom",G750&lt;&gt;"",COUNTIFS($G$2:G750,G750,$H$2:H750,"United Kingdom")=1),1,0)</f>
        <v>0</v>
      </c>
    </row>
    <row r="751" customFormat="false" ht="15" hidden="false" customHeight="false" outlineLevel="0" collapsed="false">
      <c r="A751" s="0" t="s">
        <v>217</v>
      </c>
      <c r="B751" s="0" t="s">
        <v>90</v>
      </c>
      <c r="C751" s="0" t="s">
        <v>91</v>
      </c>
      <c r="D751" s="0" t="n">
        <v>1</v>
      </c>
      <c r="E751" s="2" t="n">
        <v>40591.3972222222</v>
      </c>
      <c r="F751" s="0" t="n">
        <v>3.04</v>
      </c>
      <c r="G751" s="0" t="n">
        <v>14264</v>
      </c>
      <c r="H751" s="3" t="s">
        <v>14</v>
      </c>
      <c r="I751" s="4" t="n">
        <f aca="false">D751*F751</f>
        <v>3.04</v>
      </c>
      <c r="J751" s="3" t="n">
        <f aca="false">IF(AND(LEFT(A751,1)&lt;&gt;"C",D751&gt;0,F751&gt;0),1,0)</f>
        <v>1</v>
      </c>
      <c r="K751" s="3" t="n">
        <f aca="false">IF(AND(H751="United Kingdom",G751&lt;&gt;"",COUNTIFS($G$2:G751,G751,$H$2:H751,"United Kingdom")=1),1,0)</f>
        <v>0</v>
      </c>
    </row>
    <row r="752" customFormat="false" ht="15" hidden="false" customHeight="false" outlineLevel="0" collapsed="false">
      <c r="A752" s="0" t="s">
        <v>217</v>
      </c>
      <c r="B752" s="0" t="s">
        <v>12</v>
      </c>
      <c r="C752" s="0" t="s">
        <v>13</v>
      </c>
      <c r="D752" s="0" t="n">
        <v>3</v>
      </c>
      <c r="E752" s="2" t="n">
        <v>40591.3972222222</v>
      </c>
      <c r="F752" s="0" t="n">
        <v>3.33</v>
      </c>
      <c r="G752" s="0" t="n">
        <v>14264</v>
      </c>
      <c r="H752" s="3" t="s">
        <v>14</v>
      </c>
      <c r="I752" s="4" t="n">
        <f aca="false">D752*F752</f>
        <v>9.99</v>
      </c>
      <c r="J752" s="3" t="n">
        <f aca="false">IF(AND(LEFT(A752,1)&lt;&gt;"C",D752&gt;0,F752&gt;0),1,0)</f>
        <v>1</v>
      </c>
      <c r="K752" s="3" t="n">
        <f aca="false">IF(AND(H752="United Kingdom",G752&lt;&gt;"",COUNTIFS($G$2:G752,G752,$H$2:H752,"United Kingdom")=1),1,0)</f>
        <v>0</v>
      </c>
    </row>
    <row r="753" customFormat="false" ht="15" hidden="false" customHeight="false" outlineLevel="0" collapsed="false">
      <c r="A753" s="0" t="s">
        <v>218</v>
      </c>
      <c r="B753" s="0" t="s">
        <v>75</v>
      </c>
      <c r="C753" s="0" t="s">
        <v>76</v>
      </c>
      <c r="D753" s="0" t="n">
        <v>14</v>
      </c>
      <c r="E753" s="2" t="n">
        <v>40591.55</v>
      </c>
      <c r="F753" s="0" t="n">
        <v>1.97</v>
      </c>
      <c r="G753" s="0" t="n">
        <v>13710</v>
      </c>
      <c r="H753" s="3" t="s">
        <v>177</v>
      </c>
      <c r="I753" s="4" t="n">
        <f aca="false">D753*F753</f>
        <v>27.58</v>
      </c>
      <c r="J753" s="3" t="n">
        <f aca="false">IF(AND(LEFT(A753,1)&lt;&gt;"C",D753&gt;0,F753&gt;0),1,0)</f>
        <v>1</v>
      </c>
      <c r="K753" s="3" t="n">
        <f aca="false">IF(AND(H753="United Kingdom",G753&lt;&gt;"",COUNTIFS($G$2:G753,G753,$H$2:H753,"United Kingdom")=1),1,0)</f>
        <v>0</v>
      </c>
    </row>
    <row r="754" customFormat="false" ht="15" hidden="false" customHeight="false" outlineLevel="0" collapsed="false">
      <c r="A754" s="0" t="s">
        <v>218</v>
      </c>
      <c r="B754" s="0" t="s">
        <v>63</v>
      </c>
      <c r="C754" s="0" t="s">
        <v>64</v>
      </c>
      <c r="D754" s="0" t="n">
        <v>42</v>
      </c>
      <c r="E754" s="2" t="n">
        <v>40591.55</v>
      </c>
      <c r="F754" s="0" t="n">
        <v>2.43</v>
      </c>
      <c r="G754" s="0" t="n">
        <v>13710</v>
      </c>
      <c r="H754" s="3" t="s">
        <v>177</v>
      </c>
      <c r="I754" s="4" t="n">
        <f aca="false">D754*F754</f>
        <v>102.06</v>
      </c>
      <c r="J754" s="3" t="n">
        <f aca="false">IF(AND(LEFT(A754,1)&lt;&gt;"C",D754&gt;0,F754&gt;0),1,0)</f>
        <v>1</v>
      </c>
      <c r="K754" s="3" t="n">
        <f aca="false">IF(AND(H754="United Kingdom",G754&lt;&gt;"",COUNTIFS($G$2:G754,G754,$H$2:H754,"United Kingdom")=1),1,0)</f>
        <v>0</v>
      </c>
    </row>
    <row r="755" customFormat="false" ht="15" hidden="false" customHeight="false" outlineLevel="0" collapsed="false">
      <c r="A755" s="0" t="s">
        <v>219</v>
      </c>
      <c r="B755" s="0" t="s">
        <v>17</v>
      </c>
      <c r="C755" s="0" t="s">
        <v>18</v>
      </c>
      <c r="D755" s="0" t="n">
        <v>2</v>
      </c>
      <c r="E755" s="2" t="n">
        <v>40591.5618055556</v>
      </c>
      <c r="F755" s="0" t="n">
        <v>1.92</v>
      </c>
      <c r="G755" s="0" t="n">
        <v>16332</v>
      </c>
      <c r="H755" s="3" t="s">
        <v>14</v>
      </c>
      <c r="I755" s="4" t="n">
        <f aca="false">D755*F755</f>
        <v>3.84</v>
      </c>
      <c r="J755" s="3" t="n">
        <f aca="false">IF(AND(LEFT(A755,1)&lt;&gt;"C",D755&gt;0,F755&gt;0),1,0)</f>
        <v>1</v>
      </c>
      <c r="K755" s="3" t="n">
        <f aca="false">IF(AND(H755="United Kingdom",G755&lt;&gt;"",COUNTIFS($G$2:G755,G755,$H$2:H755,"United Kingdom")=1),1,0)</f>
        <v>1</v>
      </c>
    </row>
    <row r="756" customFormat="false" ht="15" hidden="false" customHeight="false" outlineLevel="0" collapsed="false">
      <c r="A756" s="0" t="s">
        <v>219</v>
      </c>
      <c r="B756" s="0" t="s">
        <v>77</v>
      </c>
      <c r="C756" s="0" t="s">
        <v>78</v>
      </c>
      <c r="D756" s="0" t="n">
        <v>8</v>
      </c>
      <c r="E756" s="2" t="n">
        <v>40591.5618055556</v>
      </c>
      <c r="F756" s="0" t="n">
        <v>3.41</v>
      </c>
      <c r="G756" s="0" t="n">
        <v>16332</v>
      </c>
      <c r="H756" s="3" t="s">
        <v>14</v>
      </c>
      <c r="I756" s="4" t="n">
        <f aca="false">D756*F756</f>
        <v>27.28</v>
      </c>
      <c r="J756" s="3" t="n">
        <f aca="false">IF(AND(LEFT(A756,1)&lt;&gt;"C",D756&gt;0,F756&gt;0),1,0)</f>
        <v>1</v>
      </c>
      <c r="K756" s="3" t="n">
        <f aca="false">IF(AND(H756="United Kingdom",G756&lt;&gt;"",COUNTIFS($G$2:G756,G756,$H$2:H756,"United Kingdom")=1),1,0)</f>
        <v>0</v>
      </c>
    </row>
    <row r="757" customFormat="false" ht="15" hidden="false" customHeight="false" outlineLevel="0" collapsed="false">
      <c r="A757" s="0" t="s">
        <v>219</v>
      </c>
      <c r="B757" s="0" t="s">
        <v>52</v>
      </c>
      <c r="C757" s="0" t="s">
        <v>53</v>
      </c>
      <c r="D757" s="0" t="n">
        <v>6</v>
      </c>
      <c r="E757" s="2" t="n">
        <v>40591.5618055556</v>
      </c>
      <c r="F757" s="0" t="n">
        <v>4.16</v>
      </c>
      <c r="G757" s="0" t="n">
        <v>16332</v>
      </c>
      <c r="H757" s="3" t="s">
        <v>14</v>
      </c>
      <c r="I757" s="4" t="n">
        <f aca="false">D757*F757</f>
        <v>24.96</v>
      </c>
      <c r="J757" s="3" t="n">
        <f aca="false">IF(AND(LEFT(A757,1)&lt;&gt;"C",D757&gt;0,F757&gt;0),1,0)</f>
        <v>1</v>
      </c>
      <c r="K757" s="3" t="n">
        <f aca="false">IF(AND(H757="United Kingdom",G757&lt;&gt;"",COUNTIFS($G$2:G757,G757,$H$2:H757,"United Kingdom")=1),1,0)</f>
        <v>0</v>
      </c>
    </row>
    <row r="758" customFormat="false" ht="15" hidden="false" customHeight="false" outlineLevel="0" collapsed="false">
      <c r="A758" s="0" t="s">
        <v>219</v>
      </c>
      <c r="B758" s="0" t="s">
        <v>41</v>
      </c>
      <c r="C758" s="0" t="s">
        <v>42</v>
      </c>
      <c r="D758" s="0" t="n">
        <v>12</v>
      </c>
      <c r="E758" s="2" t="n">
        <v>40591.5618055556</v>
      </c>
      <c r="F758" s="0" t="n">
        <v>3.28</v>
      </c>
      <c r="G758" s="0" t="n">
        <v>16332</v>
      </c>
      <c r="H758" s="3" t="s">
        <v>14</v>
      </c>
      <c r="I758" s="4" t="n">
        <f aca="false">D758*F758</f>
        <v>39.36</v>
      </c>
      <c r="J758" s="3" t="n">
        <f aca="false">IF(AND(LEFT(A758,1)&lt;&gt;"C",D758&gt;0,F758&gt;0),1,0)</f>
        <v>1</v>
      </c>
      <c r="K758" s="3" t="n">
        <f aca="false">IF(AND(H758="United Kingdom",G758&lt;&gt;"",COUNTIFS($G$2:G758,G758,$H$2:H758,"United Kingdom")=1),1,0)</f>
        <v>0</v>
      </c>
    </row>
    <row r="759" customFormat="false" ht="15" hidden="false" customHeight="false" outlineLevel="0" collapsed="false">
      <c r="A759" s="0" t="s">
        <v>219</v>
      </c>
      <c r="B759" s="0" t="s">
        <v>12</v>
      </c>
      <c r="C759" s="0" t="s">
        <v>13</v>
      </c>
      <c r="D759" s="0" t="n">
        <v>4</v>
      </c>
      <c r="E759" s="2" t="n">
        <v>40591.5618055556</v>
      </c>
      <c r="F759" s="0" t="n">
        <v>3.33</v>
      </c>
      <c r="G759" s="0" t="n">
        <v>16332</v>
      </c>
      <c r="H759" s="3" t="s">
        <v>14</v>
      </c>
      <c r="I759" s="4" t="n">
        <f aca="false">D759*F759</f>
        <v>13.32</v>
      </c>
      <c r="J759" s="3" t="n">
        <f aca="false">IF(AND(LEFT(A759,1)&lt;&gt;"C",D759&gt;0,F759&gt;0),1,0)</f>
        <v>1</v>
      </c>
      <c r="K759" s="3" t="n">
        <f aca="false">IF(AND(H759="United Kingdom",G759&lt;&gt;"",COUNTIFS($G$2:G759,G759,$H$2:H759,"United Kingdom")=1),1,0)</f>
        <v>0</v>
      </c>
    </row>
    <row r="760" customFormat="false" ht="15" hidden="false" customHeight="false" outlineLevel="0" collapsed="false">
      <c r="A760" s="0" t="s">
        <v>219</v>
      </c>
      <c r="B760" s="0" t="s">
        <v>43</v>
      </c>
      <c r="C760" s="0" t="s">
        <v>44</v>
      </c>
      <c r="D760" s="0" t="n">
        <v>1</v>
      </c>
      <c r="E760" s="2" t="n">
        <v>40591.5618055556</v>
      </c>
      <c r="F760" s="0" t="n">
        <v>1.35</v>
      </c>
      <c r="G760" s="0" t="n">
        <v>16332</v>
      </c>
      <c r="H760" s="3" t="s">
        <v>14</v>
      </c>
      <c r="I760" s="4" t="n">
        <f aca="false">D760*F760</f>
        <v>1.35</v>
      </c>
      <c r="J760" s="3" t="n">
        <f aca="false">IF(AND(LEFT(A760,1)&lt;&gt;"C",D760&gt;0,F760&gt;0),1,0)</f>
        <v>1</v>
      </c>
      <c r="K760" s="3" t="n">
        <f aca="false">IF(AND(H760="United Kingdom",G760&lt;&gt;"",COUNTIFS($G$2:G760,G760,$H$2:H760,"United Kingdom")=1),1,0)</f>
        <v>0</v>
      </c>
    </row>
    <row r="761" customFormat="false" ht="15" hidden="false" customHeight="false" outlineLevel="0" collapsed="false">
      <c r="A761" s="0" t="s">
        <v>219</v>
      </c>
      <c r="B761" s="0" t="s">
        <v>45</v>
      </c>
      <c r="C761" s="0" t="s">
        <v>46</v>
      </c>
      <c r="D761" s="0" t="n">
        <v>6</v>
      </c>
      <c r="E761" s="2" t="n">
        <v>40591.5618055556</v>
      </c>
      <c r="F761" s="0" t="n">
        <v>4.55</v>
      </c>
      <c r="G761" s="0" t="n">
        <v>16332</v>
      </c>
      <c r="H761" s="3" t="s">
        <v>14</v>
      </c>
      <c r="I761" s="4" t="n">
        <f aca="false">D761*F761</f>
        <v>27.3</v>
      </c>
      <c r="J761" s="3" t="n">
        <f aca="false">IF(AND(LEFT(A761,1)&lt;&gt;"C",D761&gt;0,F761&gt;0),1,0)</f>
        <v>1</v>
      </c>
      <c r="K761" s="3" t="n">
        <f aca="false">IF(AND(H761="United Kingdom",G761&lt;&gt;"",COUNTIFS($G$2:G761,G761,$H$2:H761,"United Kingdom")=1),1,0)</f>
        <v>0</v>
      </c>
    </row>
    <row r="762" customFormat="false" ht="15" hidden="false" customHeight="false" outlineLevel="0" collapsed="false">
      <c r="A762" s="0" t="s">
        <v>219</v>
      </c>
      <c r="B762" s="0" t="s">
        <v>32</v>
      </c>
      <c r="C762" s="0" t="s">
        <v>33</v>
      </c>
      <c r="D762" s="0" t="n">
        <v>24</v>
      </c>
      <c r="E762" s="2" t="n">
        <v>40591.5618055556</v>
      </c>
      <c r="F762" s="0" t="n">
        <v>1.19</v>
      </c>
      <c r="G762" s="0" t="n">
        <v>16332</v>
      </c>
      <c r="H762" s="3" t="s">
        <v>14</v>
      </c>
      <c r="I762" s="4" t="n">
        <f aca="false">D762*F762</f>
        <v>28.56</v>
      </c>
      <c r="J762" s="3" t="n">
        <f aca="false">IF(AND(LEFT(A762,1)&lt;&gt;"C",D762&gt;0,F762&gt;0),1,0)</f>
        <v>1</v>
      </c>
      <c r="K762" s="3" t="n">
        <f aca="false">IF(AND(H762="United Kingdom",G762&lt;&gt;"",COUNTIFS($G$2:G762,G762,$H$2:H762,"United Kingdom")=1),1,0)</f>
        <v>0</v>
      </c>
    </row>
    <row r="763" customFormat="false" ht="15" hidden="false" customHeight="false" outlineLevel="0" collapsed="false">
      <c r="A763" s="0" t="s">
        <v>219</v>
      </c>
      <c r="B763" s="0" t="s">
        <v>29</v>
      </c>
      <c r="C763" s="0" t="s">
        <v>30</v>
      </c>
      <c r="D763" s="0" t="n">
        <v>4</v>
      </c>
      <c r="E763" s="2" t="n">
        <v>40591.5618055556</v>
      </c>
      <c r="F763" s="0" t="n">
        <v>5.79</v>
      </c>
      <c r="G763" s="0" t="n">
        <v>16332</v>
      </c>
      <c r="H763" s="3" t="s">
        <v>14</v>
      </c>
      <c r="I763" s="4" t="n">
        <f aca="false">D763*F763</f>
        <v>23.16</v>
      </c>
      <c r="J763" s="3" t="n">
        <f aca="false">IF(AND(LEFT(A763,1)&lt;&gt;"C",D763&gt;0,F763&gt;0),1,0)</f>
        <v>1</v>
      </c>
      <c r="K763" s="3" t="n">
        <f aca="false">IF(AND(H763="United Kingdom",G763&lt;&gt;"",COUNTIFS($G$2:G763,G763,$H$2:H763,"United Kingdom")=1),1,0)</f>
        <v>0</v>
      </c>
    </row>
    <row r="764" customFormat="false" ht="15" hidden="false" customHeight="false" outlineLevel="0" collapsed="false">
      <c r="A764" s="0" t="s">
        <v>219</v>
      </c>
      <c r="B764" s="0" t="s">
        <v>68</v>
      </c>
      <c r="C764" s="0" t="s">
        <v>69</v>
      </c>
      <c r="D764" s="0" t="n">
        <v>3</v>
      </c>
      <c r="E764" s="2" t="n">
        <v>40591.5618055556</v>
      </c>
      <c r="F764" s="0" t="n">
        <v>1.26</v>
      </c>
      <c r="G764" s="0" t="n">
        <v>16332</v>
      </c>
      <c r="H764" s="3" t="s">
        <v>14</v>
      </c>
      <c r="I764" s="4" t="n">
        <f aca="false">D764*F764</f>
        <v>3.78</v>
      </c>
      <c r="J764" s="3" t="n">
        <f aca="false">IF(AND(LEFT(A764,1)&lt;&gt;"C",D764&gt;0,F764&gt;0),1,0)</f>
        <v>1</v>
      </c>
      <c r="K764" s="3" t="n">
        <f aca="false">IF(AND(H764="United Kingdom",G764&lt;&gt;"",COUNTIFS($G$2:G764,G764,$H$2:H764,"United Kingdom")=1),1,0)</f>
        <v>0</v>
      </c>
    </row>
    <row r="765" customFormat="false" ht="15" hidden="false" customHeight="false" outlineLevel="0" collapsed="false">
      <c r="A765" s="0" t="s">
        <v>220</v>
      </c>
      <c r="B765" s="0" t="s">
        <v>54</v>
      </c>
      <c r="C765" s="0" t="s">
        <v>55</v>
      </c>
      <c r="D765" s="0" t="n">
        <v>2</v>
      </c>
      <c r="E765" s="2" t="n">
        <v>40591.7319444444</v>
      </c>
      <c r="F765" s="0" t="n">
        <v>0.99</v>
      </c>
      <c r="G765" s="0" t="n">
        <v>16079</v>
      </c>
      <c r="H765" s="3" t="s">
        <v>14</v>
      </c>
      <c r="I765" s="4" t="n">
        <f aca="false">D765*F765</f>
        <v>1.98</v>
      </c>
      <c r="J765" s="3" t="n">
        <f aca="false">IF(AND(LEFT(A765,1)&lt;&gt;"C",D765&gt;0,F765&gt;0),1,0)</f>
        <v>1</v>
      </c>
      <c r="K765" s="3" t="n">
        <f aca="false">IF(AND(H765="United Kingdom",G765&lt;&gt;"",COUNTIFS($G$2:G765,G765,$H$2:H765,"United Kingdom")=1),1,0)</f>
        <v>1</v>
      </c>
    </row>
    <row r="766" customFormat="false" ht="15" hidden="false" customHeight="false" outlineLevel="0" collapsed="false">
      <c r="A766" s="0" t="s">
        <v>221</v>
      </c>
      <c r="B766" s="0" t="s">
        <v>63</v>
      </c>
      <c r="C766" s="0" t="s">
        <v>64</v>
      </c>
      <c r="D766" s="0" t="n">
        <v>46</v>
      </c>
      <c r="E766" s="2" t="n">
        <v>40594.4090277778</v>
      </c>
      <c r="F766" s="0" t="n">
        <v>2.43</v>
      </c>
      <c r="G766" s="0" t="n">
        <v>12747</v>
      </c>
      <c r="H766" s="3" t="s">
        <v>120</v>
      </c>
      <c r="I766" s="4" t="n">
        <f aca="false">D766*F766</f>
        <v>111.78</v>
      </c>
      <c r="J766" s="3" t="n">
        <f aca="false">IF(AND(LEFT(A766,1)&lt;&gt;"C",D766&gt;0,F766&gt;0),1,0)</f>
        <v>1</v>
      </c>
      <c r="K766" s="3" t="n">
        <f aca="false">IF(AND(H766="United Kingdom",G766&lt;&gt;"",COUNTIFS($G$2:G766,G766,$H$2:H766,"United Kingdom")=1),1,0)</f>
        <v>0</v>
      </c>
    </row>
    <row r="767" customFormat="false" ht="15" hidden="false" customHeight="false" outlineLevel="0" collapsed="false">
      <c r="A767" s="0" t="s">
        <v>221</v>
      </c>
      <c r="B767" s="0" t="s">
        <v>17</v>
      </c>
      <c r="C767" s="0" t="s">
        <v>18</v>
      </c>
      <c r="D767" s="0" t="n">
        <v>374</v>
      </c>
      <c r="E767" s="2" t="n">
        <v>40594.4090277778</v>
      </c>
      <c r="F767" s="0" t="n">
        <v>1.92</v>
      </c>
      <c r="G767" s="0" t="n">
        <v>12747</v>
      </c>
      <c r="H767" s="3" t="s">
        <v>120</v>
      </c>
      <c r="I767" s="4" t="n">
        <f aca="false">D767*F767</f>
        <v>718.08</v>
      </c>
      <c r="J767" s="3" t="n">
        <f aca="false">IF(AND(LEFT(A767,1)&lt;&gt;"C",D767&gt;0,F767&gt;0),1,0)</f>
        <v>1</v>
      </c>
      <c r="K767" s="3" t="n">
        <f aca="false">IF(AND(H767="United Kingdom",G767&lt;&gt;"",COUNTIFS($G$2:G767,G767,$H$2:H767,"United Kingdom")=1),1,0)</f>
        <v>0</v>
      </c>
    </row>
    <row r="768" customFormat="false" ht="15" hidden="false" customHeight="false" outlineLevel="0" collapsed="false">
      <c r="A768" s="0" t="s">
        <v>221</v>
      </c>
      <c r="B768" s="0" t="s">
        <v>37</v>
      </c>
      <c r="C768" s="0" t="s">
        <v>38</v>
      </c>
      <c r="D768" s="0" t="n">
        <v>31</v>
      </c>
      <c r="E768" s="2" t="n">
        <v>40594.4090277778</v>
      </c>
      <c r="F768" s="0" t="n">
        <v>1.82</v>
      </c>
      <c r="G768" s="0" t="n">
        <v>12747</v>
      </c>
      <c r="H768" s="3" t="s">
        <v>120</v>
      </c>
      <c r="I768" s="4" t="n">
        <f aca="false">D768*F768</f>
        <v>56.42</v>
      </c>
      <c r="J768" s="3" t="n">
        <f aca="false">IF(AND(LEFT(A768,1)&lt;&gt;"C",D768&gt;0,F768&gt;0),1,0)</f>
        <v>1</v>
      </c>
      <c r="K768" s="3" t="n">
        <f aca="false">IF(AND(H768="United Kingdom",G768&lt;&gt;"",COUNTIFS($G$2:G768,G768,$H$2:H768,"United Kingdom")=1),1,0)</f>
        <v>0</v>
      </c>
    </row>
    <row r="769" customFormat="false" ht="15" hidden="false" customHeight="false" outlineLevel="0" collapsed="false">
      <c r="A769" s="0" t="s">
        <v>221</v>
      </c>
      <c r="B769" s="0" t="s">
        <v>39</v>
      </c>
      <c r="C769" s="0" t="s">
        <v>40</v>
      </c>
      <c r="D769" s="0" t="n">
        <v>46</v>
      </c>
      <c r="E769" s="2" t="n">
        <v>40594.4090277778</v>
      </c>
      <c r="F769" s="0" t="n">
        <v>2.58</v>
      </c>
      <c r="G769" s="0" t="n">
        <v>12747</v>
      </c>
      <c r="H769" s="3" t="s">
        <v>120</v>
      </c>
      <c r="I769" s="4" t="n">
        <f aca="false">D769*F769</f>
        <v>118.68</v>
      </c>
      <c r="J769" s="3" t="n">
        <f aca="false">IF(AND(LEFT(A769,1)&lt;&gt;"C",D769&gt;0,F769&gt;0),1,0)</f>
        <v>1</v>
      </c>
      <c r="K769" s="3" t="n">
        <f aca="false">IF(AND(H769="United Kingdom",G769&lt;&gt;"",COUNTIFS($G$2:G769,G769,$H$2:H769,"United Kingdom")=1),1,0)</f>
        <v>0</v>
      </c>
    </row>
    <row r="770" customFormat="false" ht="15" hidden="false" customHeight="false" outlineLevel="0" collapsed="false">
      <c r="A770" s="0" t="s">
        <v>221</v>
      </c>
      <c r="B770" s="0" t="s">
        <v>22</v>
      </c>
      <c r="C770" s="0" t="s">
        <v>23</v>
      </c>
      <c r="D770" s="0" t="n">
        <v>62</v>
      </c>
      <c r="E770" s="2" t="n">
        <v>40594.4090277778</v>
      </c>
      <c r="F770" s="0" t="n">
        <v>3.18</v>
      </c>
      <c r="G770" s="0" t="n">
        <v>12747</v>
      </c>
      <c r="H770" s="3" t="s">
        <v>120</v>
      </c>
      <c r="I770" s="4" t="n">
        <f aca="false">D770*F770</f>
        <v>197.16</v>
      </c>
      <c r="J770" s="3" t="n">
        <f aca="false">IF(AND(LEFT(A770,1)&lt;&gt;"C",D770&gt;0,F770&gt;0),1,0)</f>
        <v>1</v>
      </c>
      <c r="K770" s="3" t="n">
        <f aca="false">IF(AND(H770="United Kingdom",G770&lt;&gt;"",COUNTIFS($G$2:G770,G770,$H$2:H770,"United Kingdom")=1),1,0)</f>
        <v>0</v>
      </c>
    </row>
    <row r="771" customFormat="false" ht="15" hidden="false" customHeight="false" outlineLevel="0" collapsed="false">
      <c r="A771" s="0" t="s">
        <v>221</v>
      </c>
      <c r="B771" s="0" t="s">
        <v>15</v>
      </c>
      <c r="C771" s="0" t="s">
        <v>16</v>
      </c>
      <c r="D771" s="0" t="n">
        <v>62</v>
      </c>
      <c r="E771" s="2" t="n">
        <v>40594.4090277778</v>
      </c>
      <c r="F771" s="0" t="n">
        <v>3.18</v>
      </c>
      <c r="G771" s="0" t="n">
        <v>12747</v>
      </c>
      <c r="H771" s="3" t="s">
        <v>120</v>
      </c>
      <c r="I771" s="4" t="n">
        <f aca="false">D771*F771</f>
        <v>197.16</v>
      </c>
      <c r="J771" s="3" t="n">
        <f aca="false">IF(AND(LEFT(A771,1)&lt;&gt;"C",D771&gt;0,F771&gt;0),1,0)</f>
        <v>1</v>
      </c>
      <c r="K771" s="3" t="n">
        <f aca="false">IF(AND(H771="United Kingdom",G771&lt;&gt;"",COUNTIFS($G$2:G771,G771,$H$2:H771,"United Kingdom")=1),1,0)</f>
        <v>0</v>
      </c>
    </row>
    <row r="772" customFormat="false" ht="15" hidden="false" customHeight="false" outlineLevel="0" collapsed="false">
      <c r="A772" s="0" t="s">
        <v>221</v>
      </c>
      <c r="B772" s="0" t="s">
        <v>12</v>
      </c>
      <c r="C772" s="0" t="s">
        <v>13</v>
      </c>
      <c r="D772" s="0" t="n">
        <v>31</v>
      </c>
      <c r="E772" s="2" t="n">
        <v>40594.4090277778</v>
      </c>
      <c r="F772" s="0" t="n">
        <v>3.33</v>
      </c>
      <c r="G772" s="0" t="n">
        <v>12747</v>
      </c>
      <c r="H772" s="3" t="s">
        <v>120</v>
      </c>
      <c r="I772" s="4" t="n">
        <f aca="false">D772*F772</f>
        <v>103.23</v>
      </c>
      <c r="J772" s="3" t="n">
        <f aca="false">IF(AND(LEFT(A772,1)&lt;&gt;"C",D772&gt;0,F772&gt;0),1,0)</f>
        <v>1</v>
      </c>
      <c r="K772" s="3" t="n">
        <f aca="false">IF(AND(H772="United Kingdom",G772&lt;&gt;"",COUNTIFS($G$2:G772,G772,$H$2:H772,"United Kingdom")=1),1,0)</f>
        <v>0</v>
      </c>
    </row>
    <row r="773" customFormat="false" ht="15" hidden="false" customHeight="false" outlineLevel="0" collapsed="false">
      <c r="A773" s="0" t="s">
        <v>221</v>
      </c>
      <c r="B773" s="0" t="s">
        <v>25</v>
      </c>
      <c r="C773" s="0" t="s">
        <v>26</v>
      </c>
      <c r="D773" s="0" t="n">
        <v>93</v>
      </c>
      <c r="E773" s="2" t="n">
        <v>40594.4090277778</v>
      </c>
      <c r="F773" s="0" t="n">
        <v>2.21</v>
      </c>
      <c r="G773" s="0" t="n">
        <v>12747</v>
      </c>
      <c r="H773" s="3" t="s">
        <v>120</v>
      </c>
      <c r="I773" s="4" t="n">
        <f aca="false">D773*F773</f>
        <v>205.53</v>
      </c>
      <c r="J773" s="3" t="n">
        <f aca="false">IF(AND(LEFT(A773,1)&lt;&gt;"C",D773&gt;0,F773&gt;0),1,0)</f>
        <v>1</v>
      </c>
      <c r="K773" s="3" t="n">
        <f aca="false">IF(AND(H773="United Kingdom",G773&lt;&gt;"",COUNTIFS($G$2:G773,G773,$H$2:H773,"United Kingdom")=1),1,0)</f>
        <v>0</v>
      </c>
    </row>
    <row r="774" customFormat="false" ht="15" hidden="false" customHeight="false" outlineLevel="0" collapsed="false">
      <c r="A774" s="0" t="s">
        <v>221</v>
      </c>
      <c r="B774" s="0" t="s">
        <v>34</v>
      </c>
      <c r="C774" s="0" t="s">
        <v>35</v>
      </c>
      <c r="D774" s="0" t="n">
        <v>15</v>
      </c>
      <c r="E774" s="2" t="n">
        <v>40594.4090277778</v>
      </c>
      <c r="F774" s="0" t="n">
        <v>2.38</v>
      </c>
      <c r="G774" s="0" t="n">
        <v>12747</v>
      </c>
      <c r="H774" s="3" t="s">
        <v>120</v>
      </c>
      <c r="I774" s="4" t="n">
        <f aca="false">D774*F774</f>
        <v>35.7</v>
      </c>
      <c r="J774" s="3" t="n">
        <f aca="false">IF(AND(LEFT(A774,1)&lt;&gt;"C",D774&gt;0,F774&gt;0),1,0)</f>
        <v>1</v>
      </c>
      <c r="K774" s="3" t="n">
        <f aca="false">IF(AND(H774="United Kingdom",G774&lt;&gt;"",COUNTIFS($G$2:G774,G774,$H$2:H774,"United Kingdom")=1),1,0)</f>
        <v>0</v>
      </c>
    </row>
    <row r="775" customFormat="false" ht="15" hidden="false" customHeight="false" outlineLevel="0" collapsed="false">
      <c r="A775" s="0" t="s">
        <v>222</v>
      </c>
      <c r="B775" s="0" t="s">
        <v>17</v>
      </c>
      <c r="C775" s="0" t="s">
        <v>18</v>
      </c>
      <c r="D775" s="0" t="n">
        <v>16</v>
      </c>
      <c r="E775" s="2" t="n">
        <v>40594.58125</v>
      </c>
      <c r="F775" s="0" t="n">
        <v>1.92</v>
      </c>
      <c r="G775" s="0" t="n">
        <v>15061</v>
      </c>
      <c r="H775" s="3" t="s">
        <v>14</v>
      </c>
      <c r="I775" s="4" t="n">
        <f aca="false">D775*F775</f>
        <v>30.72</v>
      </c>
      <c r="J775" s="3" t="n">
        <f aca="false">IF(AND(LEFT(A775,1)&lt;&gt;"C",D775&gt;0,F775&gt;0),1,0)</f>
        <v>1</v>
      </c>
      <c r="K775" s="3" t="n">
        <f aca="false">IF(AND(H775="United Kingdom",G775&lt;&gt;"",COUNTIFS($G$2:G775,G775,$H$2:H775,"United Kingdom")=1),1,0)</f>
        <v>0</v>
      </c>
    </row>
    <row r="776" customFormat="false" ht="15" hidden="false" customHeight="false" outlineLevel="0" collapsed="false">
      <c r="A776" s="0" t="s">
        <v>222</v>
      </c>
      <c r="B776" s="0" t="s">
        <v>32</v>
      </c>
      <c r="C776" s="0" t="s">
        <v>33</v>
      </c>
      <c r="D776" s="0" t="n">
        <v>12</v>
      </c>
      <c r="E776" s="2" t="n">
        <v>40594.58125</v>
      </c>
      <c r="F776" s="0" t="n">
        <v>1.19</v>
      </c>
      <c r="G776" s="0" t="n">
        <v>15061</v>
      </c>
      <c r="H776" s="3" t="s">
        <v>14</v>
      </c>
      <c r="I776" s="4" t="n">
        <f aca="false">D776*F776</f>
        <v>14.28</v>
      </c>
      <c r="J776" s="3" t="n">
        <f aca="false">IF(AND(LEFT(A776,1)&lt;&gt;"C",D776&gt;0,F776&gt;0),1,0)</f>
        <v>1</v>
      </c>
      <c r="K776" s="3" t="n">
        <f aca="false">IF(AND(H776="United Kingdom",G776&lt;&gt;"",COUNTIFS($G$2:G776,G776,$H$2:H776,"United Kingdom")=1),1,0)</f>
        <v>0</v>
      </c>
    </row>
    <row r="777" customFormat="false" ht="15" hidden="false" customHeight="false" outlineLevel="0" collapsed="false">
      <c r="A777" s="0" t="s">
        <v>222</v>
      </c>
      <c r="B777" s="0" t="s">
        <v>25</v>
      </c>
      <c r="C777" s="0" t="s">
        <v>26</v>
      </c>
      <c r="D777" s="0" t="n">
        <v>6</v>
      </c>
      <c r="E777" s="2" t="n">
        <v>40594.58125</v>
      </c>
      <c r="F777" s="0" t="n">
        <v>2.21</v>
      </c>
      <c r="G777" s="0" t="n">
        <v>15061</v>
      </c>
      <c r="H777" s="3" t="s">
        <v>14</v>
      </c>
      <c r="I777" s="4" t="n">
        <f aca="false">D777*F777</f>
        <v>13.26</v>
      </c>
      <c r="J777" s="3" t="n">
        <f aca="false">IF(AND(LEFT(A777,1)&lt;&gt;"C",D777&gt;0,F777&gt;0),1,0)</f>
        <v>1</v>
      </c>
      <c r="K777" s="3" t="n">
        <f aca="false">IF(AND(H777="United Kingdom",G777&lt;&gt;"",COUNTIFS($G$2:G777,G777,$H$2:H777,"United Kingdom")=1),1,0)</f>
        <v>0</v>
      </c>
    </row>
    <row r="778" customFormat="false" ht="15" hidden="false" customHeight="false" outlineLevel="0" collapsed="false">
      <c r="A778" s="0" t="s">
        <v>222</v>
      </c>
      <c r="B778" s="0" t="s">
        <v>77</v>
      </c>
      <c r="C778" s="0" t="s">
        <v>78</v>
      </c>
      <c r="D778" s="0" t="n">
        <v>8</v>
      </c>
      <c r="E778" s="2" t="n">
        <v>40594.58125</v>
      </c>
      <c r="F778" s="0" t="n">
        <v>3.41</v>
      </c>
      <c r="G778" s="0" t="n">
        <v>15061</v>
      </c>
      <c r="H778" s="3" t="s">
        <v>14</v>
      </c>
      <c r="I778" s="4" t="n">
        <f aca="false">D778*F778</f>
        <v>27.28</v>
      </c>
      <c r="J778" s="3" t="n">
        <f aca="false">IF(AND(LEFT(A778,1)&lt;&gt;"C",D778&gt;0,F778&gt;0),1,0)</f>
        <v>1</v>
      </c>
      <c r="K778" s="3" t="n">
        <f aca="false">IF(AND(H778="United Kingdom",G778&lt;&gt;"",COUNTIFS($G$2:G778,G778,$H$2:H778,"United Kingdom")=1),1,0)</f>
        <v>0</v>
      </c>
    </row>
    <row r="779" customFormat="false" ht="15" hidden="false" customHeight="false" outlineLevel="0" collapsed="false">
      <c r="A779" s="0" t="s">
        <v>222</v>
      </c>
      <c r="B779" s="0" t="s">
        <v>54</v>
      </c>
      <c r="C779" s="0" t="s">
        <v>55</v>
      </c>
      <c r="D779" s="0" t="n">
        <v>1</v>
      </c>
      <c r="E779" s="2" t="n">
        <v>40594.58125</v>
      </c>
      <c r="F779" s="0" t="n">
        <v>0.99</v>
      </c>
      <c r="G779" s="0" t="n">
        <v>15061</v>
      </c>
      <c r="H779" s="3" t="s">
        <v>14</v>
      </c>
      <c r="I779" s="4" t="n">
        <f aca="false">D779*F779</f>
        <v>0.99</v>
      </c>
      <c r="J779" s="3" t="n">
        <f aca="false">IF(AND(LEFT(A779,1)&lt;&gt;"C",D779&gt;0,F779&gt;0),1,0)</f>
        <v>1</v>
      </c>
      <c r="K779" s="3" t="n">
        <f aca="false">IF(AND(H779="United Kingdom",G779&lt;&gt;"",COUNTIFS($G$2:G779,G779,$H$2:H779,"United Kingdom")=1),1,0)</f>
        <v>0</v>
      </c>
    </row>
    <row r="780" customFormat="false" ht="15" hidden="false" customHeight="false" outlineLevel="0" collapsed="false">
      <c r="A780" s="0" t="s">
        <v>222</v>
      </c>
      <c r="B780" s="0" t="s">
        <v>12</v>
      </c>
      <c r="C780" s="0" t="s">
        <v>13</v>
      </c>
      <c r="D780" s="0" t="n">
        <v>8</v>
      </c>
      <c r="E780" s="2" t="n">
        <v>40594.58125</v>
      </c>
      <c r="F780" s="0" t="n">
        <v>3.33</v>
      </c>
      <c r="G780" s="0" t="n">
        <v>15061</v>
      </c>
      <c r="H780" s="3" t="s">
        <v>14</v>
      </c>
      <c r="I780" s="4" t="n">
        <f aca="false">D780*F780</f>
        <v>26.64</v>
      </c>
      <c r="J780" s="3" t="n">
        <f aca="false">IF(AND(LEFT(A780,1)&lt;&gt;"C",D780&gt;0,F780&gt;0),1,0)</f>
        <v>1</v>
      </c>
      <c r="K780" s="3" t="n">
        <f aca="false">IF(AND(H780="United Kingdom",G780&lt;&gt;"",COUNTIFS($G$2:G780,G780,$H$2:H780,"United Kingdom")=1),1,0)</f>
        <v>0</v>
      </c>
    </row>
    <row r="781" customFormat="false" ht="15" hidden="false" customHeight="false" outlineLevel="0" collapsed="false">
      <c r="A781" s="0" t="s">
        <v>222</v>
      </c>
      <c r="B781" s="0" t="s">
        <v>48</v>
      </c>
      <c r="C781" s="0" t="s">
        <v>49</v>
      </c>
      <c r="D781" s="0" t="n">
        <v>6</v>
      </c>
      <c r="E781" s="2" t="n">
        <v>40594.58125</v>
      </c>
      <c r="F781" s="0" t="n">
        <v>1.35</v>
      </c>
      <c r="G781" s="0" t="n">
        <v>15061</v>
      </c>
      <c r="H781" s="3" t="s">
        <v>14</v>
      </c>
      <c r="I781" s="4" t="n">
        <f aca="false">D781*F781</f>
        <v>8.1</v>
      </c>
      <c r="J781" s="3" t="n">
        <f aca="false">IF(AND(LEFT(A781,1)&lt;&gt;"C",D781&gt;0,F781&gt;0),1,0)</f>
        <v>1</v>
      </c>
      <c r="K781" s="3" t="n">
        <f aca="false">IF(AND(H781="United Kingdom",G781&lt;&gt;"",COUNTIFS($G$2:G781,G781,$H$2:H781,"United Kingdom")=1),1,0)</f>
        <v>0</v>
      </c>
    </row>
    <row r="782" customFormat="false" ht="15" hidden="false" customHeight="false" outlineLevel="0" collapsed="false">
      <c r="A782" s="0" t="s">
        <v>222</v>
      </c>
      <c r="B782" s="0" t="s">
        <v>60</v>
      </c>
      <c r="C782" s="0" t="s">
        <v>61</v>
      </c>
      <c r="D782" s="0" t="n">
        <v>2</v>
      </c>
      <c r="E782" s="2" t="n">
        <v>40594.58125</v>
      </c>
      <c r="F782" s="0" t="n">
        <v>0.63</v>
      </c>
      <c r="G782" s="0" t="n">
        <v>15061</v>
      </c>
      <c r="H782" s="3" t="s">
        <v>14</v>
      </c>
      <c r="I782" s="4" t="n">
        <f aca="false">D782*F782</f>
        <v>1.26</v>
      </c>
      <c r="J782" s="3" t="n">
        <f aca="false">IF(AND(LEFT(A782,1)&lt;&gt;"C",D782&gt;0,F782&gt;0),1,0)</f>
        <v>1</v>
      </c>
      <c r="K782" s="3" t="n">
        <f aca="false">IF(AND(H782="United Kingdom",G782&lt;&gt;"",COUNTIFS($G$2:G782,G782,$H$2:H782,"United Kingdom")=1),1,0)</f>
        <v>0</v>
      </c>
    </row>
    <row r="783" customFormat="false" ht="15" hidden="false" customHeight="false" outlineLevel="0" collapsed="false">
      <c r="A783" s="0" t="s">
        <v>222</v>
      </c>
      <c r="B783" s="0" t="s">
        <v>29</v>
      </c>
      <c r="C783" s="0" t="s">
        <v>30</v>
      </c>
      <c r="D783" s="0" t="n">
        <v>2</v>
      </c>
      <c r="E783" s="2" t="n">
        <v>40594.58125</v>
      </c>
      <c r="F783" s="0" t="n">
        <v>5.79</v>
      </c>
      <c r="G783" s="0" t="n">
        <v>15061</v>
      </c>
      <c r="H783" s="3" t="s">
        <v>14</v>
      </c>
      <c r="I783" s="4" t="n">
        <f aca="false">D783*F783</f>
        <v>11.58</v>
      </c>
      <c r="J783" s="3" t="n">
        <f aca="false">IF(AND(LEFT(A783,1)&lt;&gt;"C",D783&gt;0,F783&gt;0),1,0)</f>
        <v>1</v>
      </c>
      <c r="K783" s="3" t="n">
        <f aca="false">IF(AND(H783="United Kingdom",G783&lt;&gt;"",COUNTIFS($G$2:G783,G783,$H$2:H783,"United Kingdom")=1),1,0)</f>
        <v>0</v>
      </c>
    </row>
    <row r="784" customFormat="false" ht="15" hidden="false" customHeight="false" outlineLevel="0" collapsed="false">
      <c r="A784" s="0" t="s">
        <v>222</v>
      </c>
      <c r="B784" s="0" t="s">
        <v>65</v>
      </c>
      <c r="C784" s="0" t="s">
        <v>66</v>
      </c>
      <c r="D784" s="0" t="n">
        <v>2</v>
      </c>
      <c r="E784" s="2" t="n">
        <v>40594.58125</v>
      </c>
      <c r="F784" s="0" t="n">
        <v>4.75</v>
      </c>
      <c r="G784" s="0" t="n">
        <v>15061</v>
      </c>
      <c r="H784" s="3" t="s">
        <v>14</v>
      </c>
      <c r="I784" s="4" t="n">
        <f aca="false">D784*F784</f>
        <v>9.5</v>
      </c>
      <c r="J784" s="3" t="n">
        <f aca="false">IF(AND(LEFT(A784,1)&lt;&gt;"C",D784&gt;0,F784&gt;0),1,0)</f>
        <v>1</v>
      </c>
      <c r="K784" s="3" t="n">
        <f aca="false">IF(AND(H784="United Kingdom",G784&lt;&gt;"",COUNTIFS($G$2:G784,G784,$H$2:H784,"United Kingdom")=1),1,0)</f>
        <v>0</v>
      </c>
    </row>
    <row r="785" customFormat="false" ht="15" hidden="false" customHeight="false" outlineLevel="0" collapsed="false">
      <c r="A785" s="0" t="s">
        <v>222</v>
      </c>
      <c r="B785" s="0" t="s">
        <v>113</v>
      </c>
      <c r="C785" s="0" t="s">
        <v>114</v>
      </c>
      <c r="D785" s="0" t="n">
        <v>4</v>
      </c>
      <c r="E785" s="2" t="n">
        <v>40594.58125</v>
      </c>
      <c r="F785" s="0" t="n">
        <v>3.57</v>
      </c>
      <c r="G785" s="0" t="n">
        <v>15061</v>
      </c>
      <c r="H785" s="3" t="s">
        <v>14</v>
      </c>
      <c r="I785" s="4" t="n">
        <f aca="false">D785*F785</f>
        <v>14.28</v>
      </c>
      <c r="J785" s="3" t="n">
        <f aca="false">IF(AND(LEFT(A785,1)&lt;&gt;"C",D785&gt;0,F785&gt;0),1,0)</f>
        <v>1</v>
      </c>
      <c r="K785" s="3" t="n">
        <f aca="false">IF(AND(H785="United Kingdom",G785&lt;&gt;"",COUNTIFS($G$2:G785,G785,$H$2:H785,"United Kingdom")=1),1,0)</f>
        <v>0</v>
      </c>
    </row>
    <row r="786" customFormat="false" ht="15" hidden="false" customHeight="false" outlineLevel="0" collapsed="false">
      <c r="A786" s="0" t="s">
        <v>222</v>
      </c>
      <c r="B786" s="0" t="s">
        <v>39</v>
      </c>
      <c r="C786" s="0" t="s">
        <v>40</v>
      </c>
      <c r="D786" s="0" t="n">
        <v>4</v>
      </c>
      <c r="E786" s="2" t="n">
        <v>40594.58125</v>
      </c>
      <c r="F786" s="0" t="n">
        <v>2.58</v>
      </c>
      <c r="G786" s="0" t="n">
        <v>15061</v>
      </c>
      <c r="H786" s="3" t="s">
        <v>14</v>
      </c>
      <c r="I786" s="4" t="n">
        <f aca="false">D786*F786</f>
        <v>10.32</v>
      </c>
      <c r="J786" s="3" t="n">
        <f aca="false">IF(AND(LEFT(A786,1)&lt;&gt;"C",D786&gt;0,F786&gt;0),1,0)</f>
        <v>1</v>
      </c>
      <c r="K786" s="3" t="n">
        <f aca="false">IF(AND(H786="United Kingdom",G786&lt;&gt;"",COUNTIFS($G$2:G786,G786,$H$2:H786,"United Kingdom")=1),1,0)</f>
        <v>0</v>
      </c>
    </row>
    <row r="787" customFormat="false" ht="15" hidden="false" customHeight="false" outlineLevel="0" collapsed="false">
      <c r="A787" s="0" t="s">
        <v>222</v>
      </c>
      <c r="B787" s="0" t="s">
        <v>58</v>
      </c>
      <c r="C787" s="0" t="s">
        <v>59</v>
      </c>
      <c r="D787" s="0" t="n">
        <v>1</v>
      </c>
      <c r="E787" s="2" t="n">
        <v>40594.58125</v>
      </c>
      <c r="F787" s="0" t="n">
        <v>2.16</v>
      </c>
      <c r="G787" s="0" t="n">
        <v>15061</v>
      </c>
      <c r="H787" s="3" t="s">
        <v>14</v>
      </c>
      <c r="I787" s="4" t="n">
        <f aca="false">D787*F787</f>
        <v>2.16</v>
      </c>
      <c r="J787" s="3" t="n">
        <f aca="false">IF(AND(LEFT(A787,1)&lt;&gt;"C",D787&gt;0,F787&gt;0),1,0)</f>
        <v>1</v>
      </c>
      <c r="K787" s="3" t="n">
        <f aca="false">IF(AND(H787="United Kingdom",G787&lt;&gt;"",COUNTIFS($G$2:G787,G787,$H$2:H787,"United Kingdom")=1),1,0)</f>
        <v>0</v>
      </c>
    </row>
    <row r="788" customFormat="false" ht="15" hidden="false" customHeight="false" outlineLevel="0" collapsed="false">
      <c r="A788" s="0" t="s">
        <v>222</v>
      </c>
      <c r="B788" s="0" t="s">
        <v>75</v>
      </c>
      <c r="C788" s="0" t="s">
        <v>76</v>
      </c>
      <c r="D788" s="0" t="n">
        <v>8</v>
      </c>
      <c r="E788" s="2" t="n">
        <v>40594.58125</v>
      </c>
      <c r="F788" s="0" t="n">
        <v>1.97</v>
      </c>
      <c r="G788" s="0" t="n">
        <v>15061</v>
      </c>
      <c r="H788" s="3" t="s">
        <v>14</v>
      </c>
      <c r="I788" s="4" t="n">
        <f aca="false">D788*F788</f>
        <v>15.76</v>
      </c>
      <c r="J788" s="3" t="n">
        <f aca="false">IF(AND(LEFT(A788,1)&lt;&gt;"C",D788&gt;0,F788&gt;0),1,0)</f>
        <v>1</v>
      </c>
      <c r="K788" s="3" t="n">
        <f aca="false">IF(AND(H788="United Kingdom",G788&lt;&gt;"",COUNTIFS($G$2:G788,G788,$H$2:H788,"United Kingdom")=1),1,0)</f>
        <v>0</v>
      </c>
    </row>
    <row r="789" customFormat="false" ht="15" hidden="false" customHeight="false" outlineLevel="0" collapsed="false">
      <c r="A789" s="0" t="s">
        <v>222</v>
      </c>
      <c r="B789" s="0" t="s">
        <v>27</v>
      </c>
      <c r="C789" s="0" t="s">
        <v>28</v>
      </c>
      <c r="D789" s="0" t="n">
        <v>3</v>
      </c>
      <c r="E789" s="2" t="n">
        <v>40594.58125</v>
      </c>
      <c r="F789" s="0" t="n">
        <v>4.55</v>
      </c>
      <c r="G789" s="0" t="n">
        <v>15061</v>
      </c>
      <c r="H789" s="3" t="s">
        <v>14</v>
      </c>
      <c r="I789" s="4" t="n">
        <f aca="false">D789*F789</f>
        <v>13.65</v>
      </c>
      <c r="J789" s="3" t="n">
        <f aca="false">IF(AND(LEFT(A789,1)&lt;&gt;"C",D789&gt;0,F789&gt;0),1,0)</f>
        <v>1</v>
      </c>
      <c r="K789" s="3" t="n">
        <f aca="false">IF(AND(H789="United Kingdom",G789&lt;&gt;"",COUNTIFS($G$2:G789,G789,$H$2:H789,"United Kingdom")=1),1,0)</f>
        <v>0</v>
      </c>
    </row>
    <row r="790" customFormat="false" ht="15" hidden="false" customHeight="false" outlineLevel="0" collapsed="false">
      <c r="A790" s="0" t="s">
        <v>222</v>
      </c>
      <c r="B790" s="0" t="s">
        <v>72</v>
      </c>
      <c r="C790" s="0" t="s">
        <v>73</v>
      </c>
      <c r="D790" s="0" t="n">
        <v>4</v>
      </c>
      <c r="E790" s="2" t="n">
        <v>40594.58125</v>
      </c>
      <c r="F790" s="0" t="n">
        <v>2.69</v>
      </c>
      <c r="G790" s="0" t="n">
        <v>15061</v>
      </c>
      <c r="H790" s="3" t="s">
        <v>14</v>
      </c>
      <c r="I790" s="4" t="n">
        <f aca="false">D790*F790</f>
        <v>10.76</v>
      </c>
      <c r="J790" s="3" t="n">
        <f aca="false">IF(AND(LEFT(A790,1)&lt;&gt;"C",D790&gt;0,F790&gt;0),1,0)</f>
        <v>1</v>
      </c>
      <c r="K790" s="3" t="n">
        <f aca="false">IF(AND(H790="United Kingdom",G790&lt;&gt;"",COUNTIFS($G$2:G790,G790,$H$2:H790,"United Kingdom")=1),1,0)</f>
        <v>0</v>
      </c>
    </row>
    <row r="791" customFormat="false" ht="15" hidden="false" customHeight="false" outlineLevel="0" collapsed="false">
      <c r="A791" s="0" t="s">
        <v>222</v>
      </c>
      <c r="B791" s="0" t="s">
        <v>68</v>
      </c>
      <c r="C791" s="0" t="s">
        <v>69</v>
      </c>
      <c r="D791" s="0" t="n">
        <v>4</v>
      </c>
      <c r="E791" s="2" t="n">
        <v>40594.58125</v>
      </c>
      <c r="F791" s="0" t="n">
        <v>1.26</v>
      </c>
      <c r="G791" s="0" t="n">
        <v>15061</v>
      </c>
      <c r="H791" s="3" t="s">
        <v>14</v>
      </c>
      <c r="I791" s="4" t="n">
        <f aca="false">D791*F791</f>
        <v>5.04</v>
      </c>
      <c r="J791" s="3" t="n">
        <f aca="false">IF(AND(LEFT(A791,1)&lt;&gt;"C",D791&gt;0,F791&gt;0),1,0)</f>
        <v>1</v>
      </c>
      <c r="K791" s="3" t="n">
        <f aca="false">IF(AND(H791="United Kingdom",G791&lt;&gt;"",COUNTIFS($G$2:G791,G791,$H$2:H791,"United Kingdom")=1),1,0)</f>
        <v>0</v>
      </c>
    </row>
    <row r="792" customFormat="false" ht="15" hidden="false" customHeight="false" outlineLevel="0" collapsed="false">
      <c r="A792" s="0" t="s">
        <v>222</v>
      </c>
      <c r="B792" s="0" t="s">
        <v>34</v>
      </c>
      <c r="C792" s="0" t="s">
        <v>35</v>
      </c>
      <c r="D792" s="0" t="n">
        <v>12</v>
      </c>
      <c r="E792" s="2" t="n">
        <v>40594.58125</v>
      </c>
      <c r="F792" s="0" t="n">
        <v>2.38</v>
      </c>
      <c r="G792" s="0" t="n">
        <v>15061</v>
      </c>
      <c r="H792" s="3" t="s">
        <v>14</v>
      </c>
      <c r="I792" s="4" t="n">
        <f aca="false">D792*F792</f>
        <v>28.56</v>
      </c>
      <c r="J792" s="3" t="n">
        <f aca="false">IF(AND(LEFT(A792,1)&lt;&gt;"C",D792&gt;0,F792&gt;0),1,0)</f>
        <v>1</v>
      </c>
      <c r="K792" s="3" t="n">
        <f aca="false">IF(AND(H792="United Kingdom",G792&lt;&gt;"",COUNTIFS($G$2:G792,G792,$H$2:H792,"United Kingdom")=1),1,0)</f>
        <v>0</v>
      </c>
    </row>
    <row r="793" customFormat="false" ht="15" hidden="false" customHeight="false" outlineLevel="0" collapsed="false">
      <c r="A793" s="0" t="s">
        <v>222</v>
      </c>
      <c r="B793" s="0" t="s">
        <v>22</v>
      </c>
      <c r="C793" s="0" t="s">
        <v>23</v>
      </c>
      <c r="D793" s="0" t="n">
        <v>2</v>
      </c>
      <c r="E793" s="2" t="n">
        <v>40594.58125</v>
      </c>
      <c r="F793" s="0" t="n">
        <v>3.18</v>
      </c>
      <c r="G793" s="0" t="n">
        <v>15061</v>
      </c>
      <c r="H793" s="3" t="s">
        <v>14</v>
      </c>
      <c r="I793" s="4" t="n">
        <f aca="false">D793*F793</f>
        <v>6.36</v>
      </c>
      <c r="J793" s="3" t="n">
        <f aca="false">IF(AND(LEFT(A793,1)&lt;&gt;"C",D793&gt;0,F793&gt;0),1,0)</f>
        <v>1</v>
      </c>
      <c r="K793" s="3" t="n">
        <f aca="false">IF(AND(H793="United Kingdom",G793&lt;&gt;"",COUNTIFS($G$2:G793,G793,$H$2:H793,"United Kingdom")=1),1,0)</f>
        <v>0</v>
      </c>
    </row>
    <row r="794" customFormat="false" ht="15" hidden="false" customHeight="false" outlineLevel="0" collapsed="false">
      <c r="A794" s="0" t="s">
        <v>222</v>
      </c>
      <c r="B794" s="0" t="s">
        <v>20</v>
      </c>
      <c r="C794" s="0" t="s">
        <v>21</v>
      </c>
      <c r="D794" s="0" t="n">
        <v>1</v>
      </c>
      <c r="E794" s="2" t="n">
        <v>40594.58125</v>
      </c>
      <c r="F794" s="0" t="n">
        <v>4.24</v>
      </c>
      <c r="G794" s="0" t="n">
        <v>15061</v>
      </c>
      <c r="H794" s="3" t="s">
        <v>14</v>
      </c>
      <c r="I794" s="4" t="n">
        <f aca="false">D794*F794</f>
        <v>4.24</v>
      </c>
      <c r="J794" s="3" t="n">
        <f aca="false">IF(AND(LEFT(A794,1)&lt;&gt;"C",D794&gt;0,F794&gt;0),1,0)</f>
        <v>1</v>
      </c>
      <c r="K794" s="3" t="n">
        <f aca="false">IF(AND(H794="United Kingdom",G794&lt;&gt;"",COUNTIFS($G$2:G794,G794,$H$2:H794,"United Kingdom")=1),1,0)</f>
        <v>0</v>
      </c>
    </row>
    <row r="795" customFormat="false" ht="15" hidden="false" customHeight="false" outlineLevel="0" collapsed="false">
      <c r="A795" s="0" t="s">
        <v>222</v>
      </c>
      <c r="B795" s="0" t="s">
        <v>50</v>
      </c>
      <c r="C795" s="0" t="s">
        <v>51</v>
      </c>
      <c r="D795" s="0" t="n">
        <v>4</v>
      </c>
      <c r="E795" s="2" t="n">
        <v>40594.58125</v>
      </c>
      <c r="F795" s="0" t="n">
        <v>5.41</v>
      </c>
      <c r="G795" s="0" t="n">
        <v>15061</v>
      </c>
      <c r="H795" s="3" t="s">
        <v>14</v>
      </c>
      <c r="I795" s="4" t="n">
        <f aca="false">D795*F795</f>
        <v>21.64</v>
      </c>
      <c r="J795" s="3" t="n">
        <f aca="false">IF(AND(LEFT(A795,1)&lt;&gt;"C",D795&gt;0,F795&gt;0),1,0)</f>
        <v>1</v>
      </c>
      <c r="K795" s="3" t="n">
        <f aca="false">IF(AND(H795="United Kingdom",G795&lt;&gt;"",COUNTIFS($G$2:G795,G795,$H$2:H795,"United Kingdom")=1),1,0)</f>
        <v>0</v>
      </c>
    </row>
    <row r="796" customFormat="false" ht="15" hidden="false" customHeight="false" outlineLevel="0" collapsed="false">
      <c r="A796" s="0" t="s">
        <v>222</v>
      </c>
      <c r="B796" s="0" t="s">
        <v>41</v>
      </c>
      <c r="C796" s="0" t="s">
        <v>42</v>
      </c>
      <c r="D796" s="0" t="n">
        <v>4</v>
      </c>
      <c r="E796" s="2" t="n">
        <v>40594.58125</v>
      </c>
      <c r="F796" s="0" t="n">
        <v>3.28</v>
      </c>
      <c r="G796" s="0" t="n">
        <v>15061</v>
      </c>
      <c r="H796" s="3" t="s">
        <v>14</v>
      </c>
      <c r="I796" s="4" t="n">
        <f aca="false">D796*F796</f>
        <v>13.12</v>
      </c>
      <c r="J796" s="3" t="n">
        <f aca="false">IF(AND(LEFT(A796,1)&lt;&gt;"C",D796&gt;0,F796&gt;0),1,0)</f>
        <v>1</v>
      </c>
      <c r="K796" s="3" t="n">
        <f aca="false">IF(AND(H796="United Kingdom",G796&lt;&gt;"",COUNTIFS($G$2:G796,G796,$H$2:H796,"United Kingdom")=1),1,0)</f>
        <v>0</v>
      </c>
    </row>
    <row r="797" customFormat="false" ht="15" hidden="false" customHeight="false" outlineLevel="0" collapsed="false">
      <c r="A797" s="0" t="s">
        <v>222</v>
      </c>
      <c r="B797" s="0" t="s">
        <v>80</v>
      </c>
      <c r="C797" s="0" t="s">
        <v>81</v>
      </c>
      <c r="D797" s="0" t="n">
        <v>6</v>
      </c>
      <c r="E797" s="2" t="n">
        <v>40594.58125</v>
      </c>
      <c r="F797" s="0" t="n">
        <v>1.53</v>
      </c>
      <c r="G797" s="0" t="n">
        <v>15061</v>
      </c>
      <c r="H797" s="3" t="s">
        <v>14</v>
      </c>
      <c r="I797" s="4" t="n">
        <f aca="false">D797*F797</f>
        <v>9.18</v>
      </c>
      <c r="J797" s="3" t="n">
        <f aca="false">IF(AND(LEFT(A797,1)&lt;&gt;"C",D797&gt;0,F797&gt;0),1,0)</f>
        <v>1</v>
      </c>
      <c r="K797" s="3" t="n">
        <f aca="false">IF(AND(H797="United Kingdom",G797&lt;&gt;"",COUNTIFS($G$2:G797,G797,$H$2:H797,"United Kingdom")=1),1,0)</f>
        <v>0</v>
      </c>
    </row>
    <row r="798" customFormat="false" ht="15" hidden="false" customHeight="false" outlineLevel="0" collapsed="false">
      <c r="A798" s="0" t="s">
        <v>222</v>
      </c>
      <c r="B798" s="0" t="s">
        <v>52</v>
      </c>
      <c r="C798" s="0" t="s">
        <v>53</v>
      </c>
      <c r="D798" s="0" t="n">
        <v>8</v>
      </c>
      <c r="E798" s="2" t="n">
        <v>40594.58125</v>
      </c>
      <c r="F798" s="0" t="n">
        <v>4.16</v>
      </c>
      <c r="G798" s="0" t="n">
        <v>15061</v>
      </c>
      <c r="H798" s="3" t="s">
        <v>14</v>
      </c>
      <c r="I798" s="4" t="n">
        <f aca="false">D798*F798</f>
        <v>33.28</v>
      </c>
      <c r="J798" s="3" t="n">
        <f aca="false">IF(AND(LEFT(A798,1)&lt;&gt;"C",D798&gt;0,F798&gt;0),1,0)</f>
        <v>1</v>
      </c>
      <c r="K798" s="3" t="n">
        <f aca="false">IF(AND(H798="United Kingdom",G798&lt;&gt;"",COUNTIFS($G$2:G798,G798,$H$2:H798,"United Kingdom")=1),1,0)</f>
        <v>0</v>
      </c>
    </row>
    <row r="799" customFormat="false" ht="15" hidden="false" customHeight="false" outlineLevel="0" collapsed="false">
      <c r="A799" s="0" t="s">
        <v>222</v>
      </c>
      <c r="B799" s="0" t="s">
        <v>45</v>
      </c>
      <c r="C799" s="0" t="s">
        <v>46</v>
      </c>
      <c r="D799" s="0" t="n">
        <v>8</v>
      </c>
      <c r="E799" s="2" t="n">
        <v>40594.58125</v>
      </c>
      <c r="F799" s="0" t="n">
        <v>4.55</v>
      </c>
      <c r="G799" s="0" t="n">
        <v>15061</v>
      </c>
      <c r="H799" s="3" t="s">
        <v>14</v>
      </c>
      <c r="I799" s="4" t="n">
        <f aca="false">D799*F799</f>
        <v>36.4</v>
      </c>
      <c r="J799" s="3" t="n">
        <f aca="false">IF(AND(LEFT(A799,1)&lt;&gt;"C",D799&gt;0,F799&gt;0),1,0)</f>
        <v>1</v>
      </c>
      <c r="K799" s="3" t="n">
        <f aca="false">IF(AND(H799="United Kingdom",G799&lt;&gt;"",COUNTIFS($G$2:G799,G799,$H$2:H799,"United Kingdom")=1),1,0)</f>
        <v>0</v>
      </c>
    </row>
    <row r="800" customFormat="false" ht="15" hidden="false" customHeight="false" outlineLevel="0" collapsed="false">
      <c r="A800" s="0" t="s">
        <v>222</v>
      </c>
      <c r="B800" s="0" t="s">
        <v>63</v>
      </c>
      <c r="C800" s="0" t="s">
        <v>64</v>
      </c>
      <c r="D800" s="0" t="n">
        <v>12</v>
      </c>
      <c r="E800" s="2" t="n">
        <v>40594.58125</v>
      </c>
      <c r="F800" s="0" t="n">
        <v>2.43</v>
      </c>
      <c r="G800" s="0" t="n">
        <v>15061</v>
      </c>
      <c r="H800" s="3" t="s">
        <v>14</v>
      </c>
      <c r="I800" s="4" t="n">
        <f aca="false">D800*F800</f>
        <v>29.16</v>
      </c>
      <c r="J800" s="3" t="n">
        <f aca="false">IF(AND(LEFT(A800,1)&lt;&gt;"C",D800&gt;0,F800&gt;0),1,0)</f>
        <v>1</v>
      </c>
      <c r="K800" s="3" t="n">
        <f aca="false">IF(AND(H800="United Kingdom",G800&lt;&gt;"",COUNTIFS($G$2:G800,G800,$H$2:H800,"United Kingdom")=1),1,0)</f>
        <v>0</v>
      </c>
    </row>
    <row r="801" customFormat="false" ht="15" hidden="false" customHeight="false" outlineLevel="0" collapsed="false">
      <c r="A801" s="0" t="s">
        <v>222</v>
      </c>
      <c r="B801" s="0" t="s">
        <v>90</v>
      </c>
      <c r="C801" s="0" t="s">
        <v>91</v>
      </c>
      <c r="D801" s="0" t="n">
        <v>4</v>
      </c>
      <c r="E801" s="2" t="n">
        <v>40594.58125</v>
      </c>
      <c r="F801" s="0" t="n">
        <v>3.04</v>
      </c>
      <c r="G801" s="0" t="n">
        <v>15061</v>
      </c>
      <c r="H801" s="3" t="s">
        <v>14</v>
      </c>
      <c r="I801" s="4" t="n">
        <f aca="false">D801*F801</f>
        <v>12.16</v>
      </c>
      <c r="J801" s="3" t="n">
        <f aca="false">IF(AND(LEFT(A801,1)&lt;&gt;"C",D801&gt;0,F801&gt;0),1,0)</f>
        <v>1</v>
      </c>
      <c r="K801" s="3" t="n">
        <f aca="false">IF(AND(H801="United Kingdom",G801&lt;&gt;"",COUNTIFS($G$2:G801,G801,$H$2:H801,"United Kingdom")=1),1,0)</f>
        <v>0</v>
      </c>
    </row>
    <row r="802" customFormat="false" ht="15" hidden="false" customHeight="false" outlineLevel="0" collapsed="false">
      <c r="A802" s="0" t="s">
        <v>222</v>
      </c>
      <c r="B802" s="0" t="s">
        <v>15</v>
      </c>
      <c r="C802" s="0" t="s">
        <v>16</v>
      </c>
      <c r="D802" s="0" t="n">
        <v>4</v>
      </c>
      <c r="E802" s="2" t="n">
        <v>40594.58125</v>
      </c>
      <c r="F802" s="0" t="n">
        <v>3.18</v>
      </c>
      <c r="G802" s="0" t="n">
        <v>15061</v>
      </c>
      <c r="H802" s="3" t="s">
        <v>14</v>
      </c>
      <c r="I802" s="4" t="n">
        <f aca="false">D802*F802</f>
        <v>12.72</v>
      </c>
      <c r="J802" s="3" t="n">
        <f aca="false">IF(AND(LEFT(A802,1)&lt;&gt;"C",D802&gt;0,F802&gt;0),1,0)</f>
        <v>1</v>
      </c>
      <c r="K802" s="3" t="n">
        <f aca="false">IF(AND(H802="United Kingdom",G802&lt;&gt;"",COUNTIFS($G$2:G802,G802,$H$2:H802,"United Kingdom")=1),1,0)</f>
        <v>0</v>
      </c>
    </row>
    <row r="803" customFormat="false" ht="15" hidden="false" customHeight="false" outlineLevel="0" collapsed="false">
      <c r="A803" s="0" t="s">
        <v>223</v>
      </c>
      <c r="B803" s="0" t="s">
        <v>39</v>
      </c>
      <c r="C803" s="0" t="s">
        <v>40</v>
      </c>
      <c r="D803" s="0" t="n">
        <v>12</v>
      </c>
      <c r="E803" s="2" t="n">
        <v>40594.6493055556</v>
      </c>
      <c r="F803" s="0" t="n">
        <v>2.58</v>
      </c>
      <c r="G803" s="0" t="n">
        <v>17203</v>
      </c>
      <c r="H803" s="3" t="s">
        <v>14</v>
      </c>
      <c r="I803" s="4" t="n">
        <f aca="false">D803*F803</f>
        <v>30.96</v>
      </c>
      <c r="J803" s="3" t="n">
        <f aca="false">IF(AND(LEFT(A803,1)&lt;&gt;"C",D803&gt;0,F803&gt;0),1,0)</f>
        <v>1</v>
      </c>
      <c r="K803" s="3" t="n">
        <f aca="false">IF(AND(H803="United Kingdom",G803&lt;&gt;"",COUNTIFS($G$2:G803,G803,$H$2:H803,"United Kingdom")=1),1,0)</f>
        <v>0</v>
      </c>
    </row>
    <row r="804" customFormat="false" ht="15" hidden="false" customHeight="false" outlineLevel="0" collapsed="false">
      <c r="A804" s="0" t="s">
        <v>223</v>
      </c>
      <c r="B804" s="0" t="s">
        <v>17</v>
      </c>
      <c r="C804" s="0" t="s">
        <v>18</v>
      </c>
      <c r="D804" s="0" t="n">
        <v>12</v>
      </c>
      <c r="E804" s="2" t="n">
        <v>40594.6493055556</v>
      </c>
      <c r="F804" s="0" t="n">
        <v>1.92</v>
      </c>
      <c r="G804" s="0" t="n">
        <v>17203</v>
      </c>
      <c r="H804" s="3" t="s">
        <v>14</v>
      </c>
      <c r="I804" s="4" t="n">
        <f aca="false">D804*F804</f>
        <v>23.04</v>
      </c>
      <c r="J804" s="3" t="n">
        <f aca="false">IF(AND(LEFT(A804,1)&lt;&gt;"C",D804&gt;0,F804&gt;0),1,0)</f>
        <v>1</v>
      </c>
      <c r="K804" s="3" t="n">
        <f aca="false">IF(AND(H804="United Kingdom",G804&lt;&gt;"",COUNTIFS($G$2:G804,G804,$H$2:H804,"United Kingdom")=1),1,0)</f>
        <v>0</v>
      </c>
    </row>
    <row r="805" customFormat="false" ht="15" hidden="false" customHeight="false" outlineLevel="0" collapsed="false">
      <c r="A805" s="0" t="s">
        <v>224</v>
      </c>
      <c r="B805" s="0" t="s">
        <v>15</v>
      </c>
      <c r="C805" s="0" t="s">
        <v>16</v>
      </c>
      <c r="D805" s="0" t="n">
        <v>48</v>
      </c>
      <c r="E805" s="2" t="n">
        <v>40594.7270833333</v>
      </c>
      <c r="F805" s="0" t="n">
        <v>3.18</v>
      </c>
      <c r="G805" s="0" t="n">
        <v>15061</v>
      </c>
      <c r="H805" s="3" t="s">
        <v>14</v>
      </c>
      <c r="I805" s="4" t="n">
        <f aca="false">D805*F805</f>
        <v>152.64</v>
      </c>
      <c r="J805" s="3" t="n">
        <f aca="false">IF(AND(LEFT(A805,1)&lt;&gt;"C",D805&gt;0,F805&gt;0),1,0)</f>
        <v>1</v>
      </c>
      <c r="K805" s="3" t="n">
        <f aca="false">IF(AND(H805="United Kingdom",G805&lt;&gt;"",COUNTIFS($G$2:G805,G805,$H$2:H805,"United Kingdom")=1),1,0)</f>
        <v>0</v>
      </c>
    </row>
    <row r="806" customFormat="false" ht="15" hidden="false" customHeight="false" outlineLevel="0" collapsed="false">
      <c r="A806" s="0" t="s">
        <v>224</v>
      </c>
      <c r="B806" s="0" t="s">
        <v>54</v>
      </c>
      <c r="C806" s="0" t="s">
        <v>55</v>
      </c>
      <c r="D806" s="0" t="n">
        <v>12</v>
      </c>
      <c r="E806" s="2" t="n">
        <v>40594.7270833333</v>
      </c>
      <c r="F806" s="0" t="n">
        <v>0.99</v>
      </c>
      <c r="G806" s="0" t="n">
        <v>15061</v>
      </c>
      <c r="H806" s="3" t="s">
        <v>14</v>
      </c>
      <c r="I806" s="4" t="n">
        <f aca="false">D806*F806</f>
        <v>11.88</v>
      </c>
      <c r="J806" s="3" t="n">
        <f aca="false">IF(AND(LEFT(A806,1)&lt;&gt;"C",D806&gt;0,F806&gt;0),1,0)</f>
        <v>1</v>
      </c>
      <c r="K806" s="3" t="n">
        <f aca="false">IF(AND(H806="United Kingdom",G806&lt;&gt;"",COUNTIFS($G$2:G806,G806,$H$2:H806,"United Kingdom")=1),1,0)</f>
        <v>0</v>
      </c>
    </row>
    <row r="807" customFormat="false" ht="15" hidden="false" customHeight="false" outlineLevel="0" collapsed="false">
      <c r="A807" s="0" t="s">
        <v>225</v>
      </c>
      <c r="B807" s="0" t="s">
        <v>72</v>
      </c>
      <c r="C807" s="0" t="s">
        <v>73</v>
      </c>
      <c r="D807" s="0" t="n">
        <v>1</v>
      </c>
      <c r="E807" s="2" t="n">
        <v>40595.5291666667</v>
      </c>
      <c r="F807" s="0" t="n">
        <v>2.69</v>
      </c>
      <c r="G807" s="0" t="n">
        <v>15028</v>
      </c>
      <c r="H807" s="3" t="s">
        <v>14</v>
      </c>
      <c r="I807" s="4" t="n">
        <f aca="false">D807*F807</f>
        <v>2.69</v>
      </c>
      <c r="J807" s="3" t="n">
        <f aca="false">IF(AND(LEFT(A807,1)&lt;&gt;"C",D807&gt;0,F807&gt;0),1,0)</f>
        <v>1</v>
      </c>
      <c r="K807" s="3" t="n">
        <f aca="false">IF(AND(H807="United Kingdom",G807&lt;&gt;"",COUNTIFS($G$2:G807,G807,$H$2:H807,"United Kingdom")=1),1,0)</f>
        <v>0</v>
      </c>
    </row>
    <row r="808" customFormat="false" ht="15" hidden="false" customHeight="false" outlineLevel="0" collapsed="false">
      <c r="A808" s="0" t="s">
        <v>225</v>
      </c>
      <c r="B808" s="0" t="s">
        <v>25</v>
      </c>
      <c r="C808" s="0" t="s">
        <v>26</v>
      </c>
      <c r="D808" s="0" t="n">
        <v>8</v>
      </c>
      <c r="E808" s="2" t="n">
        <v>40595.5291666667</v>
      </c>
      <c r="F808" s="0" t="n">
        <v>2.21</v>
      </c>
      <c r="G808" s="0" t="n">
        <v>15028</v>
      </c>
      <c r="H808" s="3" t="s">
        <v>14</v>
      </c>
      <c r="I808" s="4" t="n">
        <f aca="false">D808*F808</f>
        <v>17.68</v>
      </c>
      <c r="J808" s="3" t="n">
        <f aca="false">IF(AND(LEFT(A808,1)&lt;&gt;"C",D808&gt;0,F808&gt;0),1,0)</f>
        <v>1</v>
      </c>
      <c r="K808" s="3" t="n">
        <f aca="false">IF(AND(H808="United Kingdom",G808&lt;&gt;"",COUNTIFS($G$2:G808,G808,$H$2:H808,"United Kingdom")=1),1,0)</f>
        <v>0</v>
      </c>
    </row>
    <row r="809" customFormat="false" ht="15" hidden="false" customHeight="false" outlineLevel="0" collapsed="false">
      <c r="A809" s="0" t="s">
        <v>225</v>
      </c>
      <c r="B809" s="0" t="s">
        <v>27</v>
      </c>
      <c r="C809" s="0" t="s">
        <v>28</v>
      </c>
      <c r="D809" s="0" t="n">
        <v>1</v>
      </c>
      <c r="E809" s="2" t="n">
        <v>40595.5291666667</v>
      </c>
      <c r="F809" s="0" t="n">
        <v>4.55</v>
      </c>
      <c r="G809" s="0" t="n">
        <v>15028</v>
      </c>
      <c r="H809" s="3" t="s">
        <v>14</v>
      </c>
      <c r="I809" s="4" t="n">
        <f aca="false">D809*F809</f>
        <v>4.55</v>
      </c>
      <c r="J809" s="3" t="n">
        <f aca="false">IF(AND(LEFT(A809,1)&lt;&gt;"C",D809&gt;0,F809&gt;0),1,0)</f>
        <v>1</v>
      </c>
      <c r="K809" s="3" t="n">
        <f aca="false">IF(AND(H809="United Kingdom",G809&lt;&gt;"",COUNTIFS($G$2:G809,G809,$H$2:H809,"United Kingdom")=1),1,0)</f>
        <v>0</v>
      </c>
    </row>
    <row r="810" customFormat="false" ht="15" hidden="false" customHeight="false" outlineLevel="0" collapsed="false">
      <c r="A810" s="0" t="s">
        <v>225</v>
      </c>
      <c r="B810" s="0" t="s">
        <v>54</v>
      </c>
      <c r="C810" s="0" t="s">
        <v>55</v>
      </c>
      <c r="D810" s="0" t="n">
        <v>6</v>
      </c>
      <c r="E810" s="2" t="n">
        <v>40595.5291666667</v>
      </c>
      <c r="F810" s="0" t="n">
        <v>0.99</v>
      </c>
      <c r="G810" s="0" t="n">
        <v>15028</v>
      </c>
      <c r="H810" s="3" t="s">
        <v>14</v>
      </c>
      <c r="I810" s="4" t="n">
        <f aca="false">D810*F810</f>
        <v>5.94</v>
      </c>
      <c r="J810" s="3" t="n">
        <f aca="false">IF(AND(LEFT(A810,1)&lt;&gt;"C",D810&gt;0,F810&gt;0),1,0)</f>
        <v>1</v>
      </c>
      <c r="K810" s="3" t="n">
        <f aca="false">IF(AND(H810="United Kingdom",G810&lt;&gt;"",COUNTIFS($G$2:G810,G810,$H$2:H810,"United Kingdom")=1),1,0)</f>
        <v>0</v>
      </c>
    </row>
    <row r="811" customFormat="false" ht="15" hidden="false" customHeight="false" outlineLevel="0" collapsed="false">
      <c r="A811" s="0" t="s">
        <v>225</v>
      </c>
      <c r="B811" s="0" t="s">
        <v>22</v>
      </c>
      <c r="C811" s="0" t="s">
        <v>23</v>
      </c>
      <c r="D811" s="0" t="n">
        <v>1</v>
      </c>
      <c r="E811" s="2" t="n">
        <v>40595.5291666667</v>
      </c>
      <c r="F811" s="0" t="n">
        <v>3.18</v>
      </c>
      <c r="G811" s="0" t="n">
        <v>15028</v>
      </c>
      <c r="H811" s="3" t="s">
        <v>14</v>
      </c>
      <c r="I811" s="4" t="n">
        <f aca="false">D811*F811</f>
        <v>3.18</v>
      </c>
      <c r="J811" s="3" t="n">
        <f aca="false">IF(AND(LEFT(A811,1)&lt;&gt;"C",D811&gt;0,F811&gt;0),1,0)</f>
        <v>1</v>
      </c>
      <c r="K811" s="3" t="n">
        <f aca="false">IF(AND(H811="United Kingdom",G811&lt;&gt;"",COUNTIFS($G$2:G811,G811,$H$2:H811,"United Kingdom")=1),1,0)</f>
        <v>0</v>
      </c>
    </row>
    <row r="812" customFormat="false" ht="15" hidden="false" customHeight="false" outlineLevel="0" collapsed="false">
      <c r="A812" s="0" t="s">
        <v>226</v>
      </c>
      <c r="B812" s="0" t="s">
        <v>72</v>
      </c>
      <c r="C812" s="0" t="s">
        <v>73</v>
      </c>
      <c r="D812" s="0" t="n">
        <v>6</v>
      </c>
      <c r="E812" s="2" t="n">
        <v>40596.4097222222</v>
      </c>
      <c r="F812" s="0" t="n">
        <v>2.69</v>
      </c>
      <c r="G812" s="0" t="n">
        <v>12480</v>
      </c>
      <c r="H812" s="3" t="s">
        <v>14</v>
      </c>
      <c r="I812" s="4" t="n">
        <f aca="false">D812*F812</f>
        <v>16.14</v>
      </c>
      <c r="J812" s="3" t="n">
        <f aca="false">IF(AND(LEFT(A812,1)&lt;&gt;"C",D812&gt;0,F812&gt;0),1,0)</f>
        <v>1</v>
      </c>
      <c r="K812" s="3" t="n">
        <f aca="false">IF(AND(H812="United Kingdom",G812&lt;&gt;"",COUNTIFS($G$2:G812,G812,$H$2:H812,"United Kingdom")=1),1,0)</f>
        <v>0</v>
      </c>
    </row>
    <row r="813" customFormat="false" ht="15" hidden="false" customHeight="false" outlineLevel="0" collapsed="false">
      <c r="A813" s="0" t="s">
        <v>226</v>
      </c>
      <c r="B813" s="0" t="s">
        <v>50</v>
      </c>
      <c r="C813" s="0" t="s">
        <v>51</v>
      </c>
      <c r="D813" s="0" t="n">
        <v>1</v>
      </c>
      <c r="E813" s="2" t="n">
        <v>40596.4097222222</v>
      </c>
      <c r="F813" s="0" t="n">
        <v>5.41</v>
      </c>
      <c r="G813" s="0" t="n">
        <v>12480</v>
      </c>
      <c r="H813" s="3" t="s">
        <v>14</v>
      </c>
      <c r="I813" s="4" t="n">
        <f aca="false">D813*F813</f>
        <v>5.41</v>
      </c>
      <c r="J813" s="3" t="n">
        <f aca="false">IF(AND(LEFT(A813,1)&lt;&gt;"C",D813&gt;0,F813&gt;0),1,0)</f>
        <v>1</v>
      </c>
      <c r="K813" s="3" t="n">
        <f aca="false">IF(AND(H813="United Kingdom",G813&lt;&gt;"",COUNTIFS($G$2:G813,G813,$H$2:H813,"United Kingdom")=1),1,0)</f>
        <v>0</v>
      </c>
    </row>
    <row r="814" customFormat="false" ht="15" hidden="false" customHeight="false" outlineLevel="0" collapsed="false">
      <c r="A814" s="0" t="s">
        <v>227</v>
      </c>
      <c r="B814" s="0" t="s">
        <v>32</v>
      </c>
      <c r="C814" s="0" t="s">
        <v>33</v>
      </c>
      <c r="D814" s="0" t="n">
        <v>2</v>
      </c>
      <c r="E814" s="2" t="n">
        <v>40597.79375</v>
      </c>
      <c r="F814" s="0" t="n">
        <v>1.19</v>
      </c>
      <c r="G814" s="0" t="n">
        <v>15284</v>
      </c>
      <c r="H814" s="3" t="s">
        <v>14</v>
      </c>
      <c r="I814" s="4" t="n">
        <f aca="false">D814*F814</f>
        <v>2.38</v>
      </c>
      <c r="J814" s="3" t="n">
        <f aca="false">IF(AND(LEFT(A814,1)&lt;&gt;"C",D814&gt;0,F814&gt;0),1,0)</f>
        <v>1</v>
      </c>
      <c r="K814" s="3" t="n">
        <f aca="false">IF(AND(H814="United Kingdom",G814&lt;&gt;"",COUNTIFS($G$2:G814,G814,$H$2:H814,"United Kingdom")=1),1,0)</f>
        <v>0</v>
      </c>
    </row>
    <row r="815" customFormat="false" ht="15" hidden="false" customHeight="false" outlineLevel="0" collapsed="false">
      <c r="A815" s="0" t="s">
        <v>228</v>
      </c>
      <c r="B815" s="0" t="s">
        <v>63</v>
      </c>
      <c r="C815" s="0" t="s">
        <v>64</v>
      </c>
      <c r="D815" s="0" t="n">
        <v>20</v>
      </c>
      <c r="E815" s="2" t="n">
        <v>40598.4923611111</v>
      </c>
      <c r="F815" s="0" t="n">
        <v>2.43</v>
      </c>
      <c r="G815" s="0" t="n">
        <v>17907</v>
      </c>
      <c r="H815" s="3" t="s">
        <v>120</v>
      </c>
      <c r="I815" s="4" t="n">
        <f aca="false">D815*F815</f>
        <v>48.6</v>
      </c>
      <c r="J815" s="3" t="n">
        <f aca="false">IF(AND(LEFT(A815,1)&lt;&gt;"C",D815&gt;0,F815&gt;0),1,0)</f>
        <v>1</v>
      </c>
      <c r="K815" s="3" t="n">
        <f aca="false">IF(AND(H815="United Kingdom",G815&lt;&gt;"",COUNTIFS($G$2:G815,G815,$H$2:H815,"United Kingdom")=1),1,0)</f>
        <v>0</v>
      </c>
    </row>
    <row r="816" customFormat="false" ht="15" hidden="false" customHeight="false" outlineLevel="0" collapsed="false">
      <c r="A816" s="0" t="s">
        <v>228</v>
      </c>
      <c r="B816" s="0" t="s">
        <v>72</v>
      </c>
      <c r="C816" s="0" t="s">
        <v>73</v>
      </c>
      <c r="D816" s="0" t="n">
        <v>2</v>
      </c>
      <c r="E816" s="2" t="n">
        <v>40598.4923611111</v>
      </c>
      <c r="F816" s="0" t="n">
        <v>2.69</v>
      </c>
      <c r="G816" s="0" t="n">
        <v>17907</v>
      </c>
      <c r="H816" s="3" t="s">
        <v>120</v>
      </c>
      <c r="I816" s="4" t="n">
        <f aca="false">D816*F816</f>
        <v>5.38</v>
      </c>
      <c r="J816" s="3" t="n">
        <f aca="false">IF(AND(LEFT(A816,1)&lt;&gt;"C",D816&gt;0,F816&gt;0),1,0)</f>
        <v>1</v>
      </c>
      <c r="K816" s="3" t="n">
        <f aca="false">IF(AND(H816="United Kingdom",G816&lt;&gt;"",COUNTIFS($G$2:G816,G816,$H$2:H816,"United Kingdom")=1),1,0)</f>
        <v>0</v>
      </c>
    </row>
    <row r="817" customFormat="false" ht="15" hidden="false" customHeight="false" outlineLevel="0" collapsed="false">
      <c r="A817" s="0" t="s">
        <v>228</v>
      </c>
      <c r="B817" s="0" t="s">
        <v>90</v>
      </c>
      <c r="C817" s="0" t="s">
        <v>91</v>
      </c>
      <c r="D817" s="0" t="n">
        <v>7</v>
      </c>
      <c r="E817" s="2" t="n">
        <v>40598.4923611111</v>
      </c>
      <c r="F817" s="0" t="n">
        <v>3.04</v>
      </c>
      <c r="G817" s="0" t="n">
        <v>17907</v>
      </c>
      <c r="H817" s="3" t="s">
        <v>120</v>
      </c>
      <c r="I817" s="4" t="n">
        <f aca="false">D817*F817</f>
        <v>21.28</v>
      </c>
      <c r="J817" s="3" t="n">
        <f aca="false">IF(AND(LEFT(A817,1)&lt;&gt;"C",D817&gt;0,F817&gt;0),1,0)</f>
        <v>1</v>
      </c>
      <c r="K817" s="3" t="n">
        <f aca="false">IF(AND(H817="United Kingdom",G817&lt;&gt;"",COUNTIFS($G$2:G817,G817,$H$2:H817,"United Kingdom")=1),1,0)</f>
        <v>0</v>
      </c>
    </row>
    <row r="818" customFormat="false" ht="15" hidden="false" customHeight="false" outlineLevel="0" collapsed="false">
      <c r="A818" s="0" t="s">
        <v>229</v>
      </c>
      <c r="B818" s="0" t="s">
        <v>72</v>
      </c>
      <c r="C818" s="0" t="s">
        <v>73</v>
      </c>
      <c r="D818" s="0" t="n">
        <v>1</v>
      </c>
      <c r="E818" s="2" t="n">
        <v>40598.6569444445</v>
      </c>
      <c r="F818" s="0" t="n">
        <v>2.69</v>
      </c>
      <c r="G818" s="0" t="n">
        <v>14026</v>
      </c>
      <c r="H818" s="3" t="s">
        <v>14</v>
      </c>
      <c r="I818" s="4" t="n">
        <f aca="false">D818*F818</f>
        <v>2.69</v>
      </c>
      <c r="J818" s="3" t="n">
        <f aca="false">IF(AND(LEFT(A818,1)&lt;&gt;"C",D818&gt;0,F818&gt;0),1,0)</f>
        <v>1</v>
      </c>
      <c r="K818" s="3" t="n">
        <f aca="false">IF(AND(H818="United Kingdom",G818&lt;&gt;"",COUNTIFS($G$2:G818,G818,$H$2:H818,"United Kingdom")=1),1,0)</f>
        <v>1</v>
      </c>
    </row>
    <row r="819" customFormat="false" ht="15" hidden="false" customHeight="false" outlineLevel="0" collapsed="false">
      <c r="A819" s="0" t="s">
        <v>229</v>
      </c>
      <c r="B819" s="0" t="s">
        <v>68</v>
      </c>
      <c r="C819" s="0" t="s">
        <v>69</v>
      </c>
      <c r="D819" s="0" t="n">
        <v>2</v>
      </c>
      <c r="E819" s="2" t="n">
        <v>40598.6569444445</v>
      </c>
      <c r="F819" s="0" t="n">
        <v>1.26</v>
      </c>
      <c r="G819" s="0" t="n">
        <v>14026</v>
      </c>
      <c r="H819" s="3" t="s">
        <v>14</v>
      </c>
      <c r="I819" s="4" t="n">
        <f aca="false">D819*F819</f>
        <v>2.52</v>
      </c>
      <c r="J819" s="3" t="n">
        <f aca="false">IF(AND(LEFT(A819,1)&lt;&gt;"C",D819&gt;0,F819&gt;0),1,0)</f>
        <v>1</v>
      </c>
      <c r="K819" s="3" t="n">
        <f aca="false">IF(AND(H819="United Kingdom",G819&lt;&gt;"",COUNTIFS($G$2:G819,G819,$H$2:H819,"United Kingdom")=1),1,0)</f>
        <v>0</v>
      </c>
    </row>
    <row r="820" customFormat="false" ht="15" hidden="false" customHeight="false" outlineLevel="0" collapsed="false">
      <c r="A820" s="0" t="s">
        <v>229</v>
      </c>
      <c r="B820" s="0" t="s">
        <v>58</v>
      </c>
      <c r="C820" s="0" t="s">
        <v>59</v>
      </c>
      <c r="D820" s="0" t="n">
        <v>3</v>
      </c>
      <c r="E820" s="2" t="n">
        <v>40598.6569444445</v>
      </c>
      <c r="F820" s="0" t="n">
        <v>2.16</v>
      </c>
      <c r="G820" s="0" t="n">
        <v>14026</v>
      </c>
      <c r="H820" s="3" t="s">
        <v>14</v>
      </c>
      <c r="I820" s="4" t="n">
        <f aca="false">D820*F820</f>
        <v>6.48</v>
      </c>
      <c r="J820" s="3" t="n">
        <f aca="false">IF(AND(LEFT(A820,1)&lt;&gt;"C",D820&gt;0,F820&gt;0),1,0)</f>
        <v>1</v>
      </c>
      <c r="K820" s="3" t="n">
        <f aca="false">IF(AND(H820="United Kingdom",G820&lt;&gt;"",COUNTIFS($G$2:G820,G820,$H$2:H820,"United Kingdom")=1),1,0)</f>
        <v>0</v>
      </c>
    </row>
    <row r="821" customFormat="false" ht="15" hidden="false" customHeight="false" outlineLevel="0" collapsed="false">
      <c r="A821" s="0" t="s">
        <v>229</v>
      </c>
      <c r="B821" s="0" t="s">
        <v>65</v>
      </c>
      <c r="C821" s="0" t="s">
        <v>66</v>
      </c>
      <c r="D821" s="0" t="n">
        <v>4</v>
      </c>
      <c r="E821" s="2" t="n">
        <v>40598.6569444445</v>
      </c>
      <c r="F821" s="0" t="n">
        <v>4.75</v>
      </c>
      <c r="G821" s="0" t="n">
        <v>14026</v>
      </c>
      <c r="H821" s="3" t="s">
        <v>14</v>
      </c>
      <c r="I821" s="4" t="n">
        <f aca="false">D821*F821</f>
        <v>19</v>
      </c>
      <c r="J821" s="3" t="n">
        <f aca="false">IF(AND(LEFT(A821,1)&lt;&gt;"C",D821&gt;0,F821&gt;0),1,0)</f>
        <v>1</v>
      </c>
      <c r="K821" s="3" t="n">
        <f aca="false">IF(AND(H821="United Kingdom",G821&lt;&gt;"",COUNTIFS($G$2:G821,G821,$H$2:H821,"United Kingdom")=1),1,0)</f>
        <v>0</v>
      </c>
    </row>
    <row r="822" customFormat="false" ht="15" hidden="false" customHeight="false" outlineLevel="0" collapsed="false">
      <c r="A822" s="0" t="s">
        <v>229</v>
      </c>
      <c r="B822" s="0" t="s">
        <v>113</v>
      </c>
      <c r="C822" s="0" t="s">
        <v>114</v>
      </c>
      <c r="D822" s="0" t="n">
        <v>6</v>
      </c>
      <c r="E822" s="2" t="n">
        <v>40598.6569444445</v>
      </c>
      <c r="F822" s="0" t="n">
        <v>3.57</v>
      </c>
      <c r="G822" s="0" t="n">
        <v>14026</v>
      </c>
      <c r="H822" s="3" t="s">
        <v>14</v>
      </c>
      <c r="I822" s="4" t="n">
        <f aca="false">D822*F822</f>
        <v>21.42</v>
      </c>
      <c r="J822" s="3" t="n">
        <f aca="false">IF(AND(LEFT(A822,1)&lt;&gt;"C",D822&gt;0,F822&gt;0),1,0)</f>
        <v>1</v>
      </c>
      <c r="K822" s="3" t="n">
        <f aca="false">IF(AND(H822="United Kingdom",G822&lt;&gt;"",COUNTIFS($G$2:G822,G822,$H$2:H822,"United Kingdom")=1),1,0)</f>
        <v>0</v>
      </c>
    </row>
    <row r="823" customFormat="false" ht="15" hidden="false" customHeight="false" outlineLevel="0" collapsed="false">
      <c r="A823" s="0" t="s">
        <v>230</v>
      </c>
      <c r="B823" s="0" t="s">
        <v>50</v>
      </c>
      <c r="C823" s="0" t="s">
        <v>51</v>
      </c>
      <c r="D823" s="0" t="n">
        <v>6</v>
      </c>
      <c r="E823" s="2" t="n">
        <v>40599.5402777778</v>
      </c>
      <c r="F823" s="0" t="n">
        <v>5.41</v>
      </c>
      <c r="G823" s="0" t="n">
        <v>16228</v>
      </c>
      <c r="H823" s="3" t="s">
        <v>14</v>
      </c>
      <c r="I823" s="4" t="n">
        <f aca="false">D823*F823</f>
        <v>32.46</v>
      </c>
      <c r="J823" s="3" t="n">
        <f aca="false">IF(AND(LEFT(A823,1)&lt;&gt;"C",D823&gt;0,F823&gt;0),1,0)</f>
        <v>1</v>
      </c>
      <c r="K823" s="3" t="n">
        <f aca="false">IF(AND(H823="United Kingdom",G823&lt;&gt;"",COUNTIFS($G$2:G823,G823,$H$2:H823,"United Kingdom")=1),1,0)</f>
        <v>1</v>
      </c>
    </row>
    <row r="824" customFormat="false" ht="15" hidden="false" customHeight="false" outlineLevel="0" collapsed="false">
      <c r="A824" s="0" t="s">
        <v>230</v>
      </c>
      <c r="B824" s="0" t="s">
        <v>80</v>
      </c>
      <c r="C824" s="0" t="s">
        <v>81</v>
      </c>
      <c r="D824" s="0" t="n">
        <v>12</v>
      </c>
      <c r="E824" s="2" t="n">
        <v>40599.5402777778</v>
      </c>
      <c r="F824" s="0" t="n">
        <v>1.53</v>
      </c>
      <c r="G824" s="0" t="n">
        <v>16228</v>
      </c>
      <c r="H824" s="3" t="s">
        <v>14</v>
      </c>
      <c r="I824" s="4" t="n">
        <f aca="false">D824*F824</f>
        <v>18.36</v>
      </c>
      <c r="J824" s="3" t="n">
        <f aca="false">IF(AND(LEFT(A824,1)&lt;&gt;"C",D824&gt;0,F824&gt;0),1,0)</f>
        <v>1</v>
      </c>
      <c r="K824" s="3" t="n">
        <f aca="false">IF(AND(H824="United Kingdom",G824&lt;&gt;"",COUNTIFS($G$2:G824,G824,$H$2:H824,"United Kingdom")=1),1,0)</f>
        <v>0</v>
      </c>
    </row>
    <row r="825" customFormat="false" ht="15" hidden="false" customHeight="false" outlineLevel="0" collapsed="false">
      <c r="A825" s="0" t="s">
        <v>230</v>
      </c>
      <c r="B825" s="0" t="s">
        <v>43</v>
      </c>
      <c r="C825" s="0" t="s">
        <v>44</v>
      </c>
      <c r="D825" s="0" t="n">
        <v>6</v>
      </c>
      <c r="E825" s="2" t="n">
        <v>40599.5402777778</v>
      </c>
      <c r="F825" s="0" t="n">
        <v>1.35</v>
      </c>
      <c r="G825" s="0" t="n">
        <v>16228</v>
      </c>
      <c r="H825" s="3" t="s">
        <v>14</v>
      </c>
      <c r="I825" s="4" t="n">
        <f aca="false">D825*F825</f>
        <v>8.1</v>
      </c>
      <c r="J825" s="3" t="n">
        <f aca="false">IF(AND(LEFT(A825,1)&lt;&gt;"C",D825&gt;0,F825&gt;0),1,0)</f>
        <v>1</v>
      </c>
      <c r="K825" s="3" t="n">
        <f aca="false">IF(AND(H825="United Kingdom",G825&lt;&gt;"",COUNTIFS($G$2:G825,G825,$H$2:H825,"United Kingdom")=1),1,0)</f>
        <v>0</v>
      </c>
    </row>
    <row r="826" customFormat="false" ht="15" hidden="false" customHeight="false" outlineLevel="0" collapsed="false">
      <c r="A826" s="0" t="s">
        <v>231</v>
      </c>
      <c r="B826" s="0" t="s">
        <v>65</v>
      </c>
      <c r="C826" s="0" t="s">
        <v>66</v>
      </c>
      <c r="D826" s="0" t="n">
        <v>-7</v>
      </c>
      <c r="E826" s="2" t="n">
        <v>40600.3340277778</v>
      </c>
      <c r="F826" s="0" t="n">
        <v>4.75</v>
      </c>
      <c r="G826" s="0" t="n">
        <v>16828</v>
      </c>
      <c r="H826" s="3" t="s">
        <v>14</v>
      </c>
      <c r="I826" s="4" t="n">
        <f aca="false">D826*F826</f>
        <v>-33.25</v>
      </c>
      <c r="J826" s="3" t="n">
        <f aca="false">IF(AND(LEFT(A826,1)&lt;&gt;"C",D826&gt;0,F826&gt;0),1,0)</f>
        <v>0</v>
      </c>
      <c r="K826" s="3" t="n">
        <f aca="false">IF(AND(H826="United Kingdom",G826&lt;&gt;"",COUNTIFS($G$2:G826,G826,$H$2:H826,"United Kingdom")=1),1,0)</f>
        <v>0</v>
      </c>
    </row>
    <row r="827" customFormat="false" ht="15" hidden="false" customHeight="false" outlineLevel="0" collapsed="false">
      <c r="A827" s="0" t="s">
        <v>232</v>
      </c>
      <c r="B827" s="0" t="s">
        <v>90</v>
      </c>
      <c r="C827" s="0" t="s">
        <v>91</v>
      </c>
      <c r="D827" s="0" t="n">
        <v>24</v>
      </c>
      <c r="E827" s="2" t="n">
        <v>40600.6930555556</v>
      </c>
      <c r="F827" s="0" t="n">
        <v>3.04</v>
      </c>
      <c r="G827" s="0" t="n">
        <v>15671</v>
      </c>
      <c r="H827" s="3" t="s">
        <v>14</v>
      </c>
      <c r="I827" s="4" t="n">
        <f aca="false">D827*F827</f>
        <v>72.96</v>
      </c>
      <c r="J827" s="3" t="n">
        <f aca="false">IF(AND(LEFT(A827,1)&lt;&gt;"C",D827&gt;0,F827&gt;0),1,0)</f>
        <v>1</v>
      </c>
      <c r="K827" s="3" t="n">
        <f aca="false">IF(AND(H827="United Kingdom",G827&lt;&gt;"",COUNTIFS($G$2:G827,G827,$H$2:H827,"United Kingdom")=1),1,0)</f>
        <v>0</v>
      </c>
    </row>
    <row r="828" customFormat="false" ht="15" hidden="false" customHeight="false" outlineLevel="0" collapsed="false">
      <c r="A828" s="0" t="s">
        <v>232</v>
      </c>
      <c r="B828" s="0" t="s">
        <v>72</v>
      </c>
      <c r="C828" s="0" t="s">
        <v>73</v>
      </c>
      <c r="D828" s="0" t="n">
        <v>12</v>
      </c>
      <c r="E828" s="2" t="n">
        <v>40600.6930555556</v>
      </c>
      <c r="F828" s="0" t="n">
        <v>2.69</v>
      </c>
      <c r="G828" s="0" t="n">
        <v>15671</v>
      </c>
      <c r="H828" s="3" t="s">
        <v>14</v>
      </c>
      <c r="I828" s="4" t="n">
        <f aca="false">D828*F828</f>
        <v>32.28</v>
      </c>
      <c r="J828" s="3" t="n">
        <f aca="false">IF(AND(LEFT(A828,1)&lt;&gt;"C",D828&gt;0,F828&gt;0),1,0)</f>
        <v>1</v>
      </c>
      <c r="K828" s="3" t="n">
        <f aca="false">IF(AND(H828="United Kingdom",G828&lt;&gt;"",COUNTIFS($G$2:G828,G828,$H$2:H828,"United Kingdom")=1),1,0)</f>
        <v>0</v>
      </c>
    </row>
    <row r="829" customFormat="false" ht="15" hidden="false" customHeight="false" outlineLevel="0" collapsed="false">
      <c r="A829" s="0" t="s">
        <v>232</v>
      </c>
      <c r="B829" s="0" t="s">
        <v>34</v>
      </c>
      <c r="C829" s="0" t="s">
        <v>35</v>
      </c>
      <c r="D829" s="0" t="n">
        <v>6</v>
      </c>
      <c r="E829" s="2" t="n">
        <v>40600.6930555556</v>
      </c>
      <c r="F829" s="0" t="n">
        <v>2.38</v>
      </c>
      <c r="G829" s="0" t="n">
        <v>15671</v>
      </c>
      <c r="H829" s="3" t="s">
        <v>14</v>
      </c>
      <c r="I829" s="4" t="n">
        <f aca="false">D829*F829</f>
        <v>14.28</v>
      </c>
      <c r="J829" s="3" t="n">
        <f aca="false">IF(AND(LEFT(A829,1)&lt;&gt;"C",D829&gt;0,F829&gt;0),1,0)</f>
        <v>1</v>
      </c>
      <c r="K829" s="3" t="n">
        <f aca="false">IF(AND(H829="United Kingdom",G829&lt;&gt;"",COUNTIFS($G$2:G829,G829,$H$2:H829,"United Kingdom")=1),1,0)</f>
        <v>0</v>
      </c>
    </row>
    <row r="830" customFormat="false" ht="15" hidden="false" customHeight="false" outlineLevel="0" collapsed="false">
      <c r="A830" s="0" t="s">
        <v>232</v>
      </c>
      <c r="B830" s="0" t="s">
        <v>43</v>
      </c>
      <c r="C830" s="0" t="s">
        <v>44</v>
      </c>
      <c r="D830" s="0" t="n">
        <v>24</v>
      </c>
      <c r="E830" s="2" t="n">
        <v>40600.6930555556</v>
      </c>
      <c r="F830" s="0" t="n">
        <v>1.35</v>
      </c>
      <c r="G830" s="0" t="n">
        <v>15671</v>
      </c>
      <c r="H830" s="3" t="s">
        <v>14</v>
      </c>
      <c r="I830" s="4" t="n">
        <f aca="false">D830*F830</f>
        <v>32.4</v>
      </c>
      <c r="J830" s="3" t="n">
        <f aca="false">IF(AND(LEFT(A830,1)&lt;&gt;"C",D830&gt;0,F830&gt;0),1,0)</f>
        <v>1</v>
      </c>
      <c r="K830" s="3" t="n">
        <f aca="false">IF(AND(H830="United Kingdom",G830&lt;&gt;"",COUNTIFS($G$2:G830,G830,$H$2:H830,"United Kingdom")=1),1,0)</f>
        <v>0</v>
      </c>
    </row>
    <row r="831" customFormat="false" ht="15" hidden="false" customHeight="false" outlineLevel="0" collapsed="false">
      <c r="A831" s="0" t="s">
        <v>232</v>
      </c>
      <c r="B831" s="0" t="s">
        <v>75</v>
      </c>
      <c r="C831" s="0" t="s">
        <v>76</v>
      </c>
      <c r="D831" s="0" t="n">
        <v>48</v>
      </c>
      <c r="E831" s="2" t="n">
        <v>40600.6930555556</v>
      </c>
      <c r="F831" s="0" t="n">
        <v>1.97</v>
      </c>
      <c r="G831" s="0" t="n">
        <v>15671</v>
      </c>
      <c r="H831" s="3" t="s">
        <v>14</v>
      </c>
      <c r="I831" s="4" t="n">
        <f aca="false">D831*F831</f>
        <v>94.56</v>
      </c>
      <c r="J831" s="3" t="n">
        <f aca="false">IF(AND(LEFT(A831,1)&lt;&gt;"C",D831&gt;0,F831&gt;0),1,0)</f>
        <v>1</v>
      </c>
      <c r="K831" s="3" t="n">
        <f aca="false">IF(AND(H831="United Kingdom",G831&lt;&gt;"",COUNTIFS($G$2:G831,G831,$H$2:H831,"United Kingdom")=1),1,0)</f>
        <v>0</v>
      </c>
    </row>
    <row r="832" customFormat="false" ht="15" hidden="false" customHeight="false" outlineLevel="0" collapsed="false">
      <c r="A832" s="0" t="s">
        <v>233</v>
      </c>
      <c r="B832" s="0" t="s">
        <v>50</v>
      </c>
      <c r="C832" s="0" t="s">
        <v>51</v>
      </c>
      <c r="D832" s="0" t="n">
        <v>1</v>
      </c>
      <c r="E832" s="2" t="n">
        <v>40600.6958333333</v>
      </c>
      <c r="F832" s="0" t="n">
        <v>5.41</v>
      </c>
      <c r="G832" s="0" t="n">
        <v>16079</v>
      </c>
      <c r="H832" s="3" t="s">
        <v>14</v>
      </c>
      <c r="I832" s="4" t="n">
        <f aca="false">D832*F832</f>
        <v>5.41</v>
      </c>
      <c r="J832" s="3" t="n">
        <f aca="false">IF(AND(LEFT(A832,1)&lt;&gt;"C",D832&gt;0,F832&gt;0),1,0)</f>
        <v>1</v>
      </c>
      <c r="K832" s="3" t="n">
        <f aca="false">IF(AND(H832="United Kingdom",G832&lt;&gt;"",COUNTIFS($G$2:G832,G832,$H$2:H832,"United Kingdom")=1),1,0)</f>
        <v>0</v>
      </c>
    </row>
    <row r="833" customFormat="false" ht="15" hidden="false" customHeight="false" outlineLevel="0" collapsed="false">
      <c r="A833" s="0" t="s">
        <v>233</v>
      </c>
      <c r="B833" s="0" t="s">
        <v>20</v>
      </c>
      <c r="C833" s="0" t="s">
        <v>21</v>
      </c>
      <c r="D833" s="0" t="n">
        <v>2</v>
      </c>
      <c r="E833" s="2" t="n">
        <v>40600.6958333333</v>
      </c>
      <c r="F833" s="0" t="n">
        <v>4.24</v>
      </c>
      <c r="G833" s="0" t="n">
        <v>16079</v>
      </c>
      <c r="H833" s="3" t="s">
        <v>14</v>
      </c>
      <c r="I833" s="4" t="n">
        <f aca="false">D833*F833</f>
        <v>8.48</v>
      </c>
      <c r="J833" s="3" t="n">
        <f aca="false">IF(AND(LEFT(A833,1)&lt;&gt;"C",D833&gt;0,F833&gt;0),1,0)</f>
        <v>1</v>
      </c>
      <c r="K833" s="3" t="n">
        <f aca="false">IF(AND(H833="United Kingdom",G833&lt;&gt;"",COUNTIFS($G$2:G833,G833,$H$2:H833,"United Kingdom")=1),1,0)</f>
        <v>0</v>
      </c>
    </row>
    <row r="834" customFormat="false" ht="15" hidden="false" customHeight="false" outlineLevel="0" collapsed="false">
      <c r="A834" s="0" t="s">
        <v>234</v>
      </c>
      <c r="B834" s="0" t="s">
        <v>52</v>
      </c>
      <c r="C834" s="0" t="s">
        <v>53</v>
      </c>
      <c r="D834" s="0" t="n">
        <v>2</v>
      </c>
      <c r="E834" s="2" t="n">
        <v>40601.4847222222</v>
      </c>
      <c r="F834" s="0" t="n">
        <v>4.16</v>
      </c>
      <c r="G834" s="0" t="n">
        <v>13299</v>
      </c>
      <c r="H834" s="3" t="s">
        <v>14</v>
      </c>
      <c r="I834" s="4" t="n">
        <f aca="false">D834*F834</f>
        <v>8.32</v>
      </c>
      <c r="J834" s="3" t="n">
        <f aca="false">IF(AND(LEFT(A834,1)&lt;&gt;"C",D834&gt;0,F834&gt;0),1,0)</f>
        <v>1</v>
      </c>
      <c r="K834" s="3" t="n">
        <f aca="false">IF(AND(H834="United Kingdom",G834&lt;&gt;"",COUNTIFS($G$2:G834,G834,$H$2:H834,"United Kingdom")=1),1,0)</f>
        <v>1</v>
      </c>
    </row>
    <row r="835" customFormat="false" ht="15" hidden="false" customHeight="false" outlineLevel="0" collapsed="false">
      <c r="A835" s="0" t="s">
        <v>235</v>
      </c>
      <c r="B835" s="0" t="s">
        <v>32</v>
      </c>
      <c r="C835" s="0" t="s">
        <v>33</v>
      </c>
      <c r="D835" s="0" t="n">
        <v>4</v>
      </c>
      <c r="E835" s="2" t="n">
        <v>40601.5631944445</v>
      </c>
      <c r="F835" s="0" t="n">
        <v>1.19</v>
      </c>
      <c r="G835" s="0" t="n">
        <v>14880</v>
      </c>
      <c r="H835" s="3" t="s">
        <v>14</v>
      </c>
      <c r="I835" s="4" t="n">
        <f aca="false">D835*F835</f>
        <v>4.76</v>
      </c>
      <c r="J835" s="3" t="n">
        <f aca="false">IF(AND(LEFT(A835,1)&lt;&gt;"C",D835&gt;0,F835&gt;0),1,0)</f>
        <v>1</v>
      </c>
      <c r="K835" s="3" t="n">
        <f aca="false">IF(AND(H835="United Kingdom",G835&lt;&gt;"",COUNTIFS($G$2:G835,G835,$H$2:H835,"United Kingdom")=1),1,0)</f>
        <v>1</v>
      </c>
    </row>
    <row r="836" customFormat="false" ht="15" hidden="false" customHeight="false" outlineLevel="0" collapsed="false">
      <c r="A836" s="0" t="s">
        <v>235</v>
      </c>
      <c r="B836" s="0" t="s">
        <v>60</v>
      </c>
      <c r="C836" s="0" t="s">
        <v>61</v>
      </c>
      <c r="D836" s="0" t="n">
        <v>16</v>
      </c>
      <c r="E836" s="2" t="n">
        <v>40601.5631944445</v>
      </c>
      <c r="F836" s="0" t="n">
        <v>0.63</v>
      </c>
      <c r="G836" s="0" t="n">
        <v>14880</v>
      </c>
      <c r="H836" s="3" t="s">
        <v>14</v>
      </c>
      <c r="I836" s="4" t="n">
        <f aca="false">D836*F836</f>
        <v>10.08</v>
      </c>
      <c r="J836" s="3" t="n">
        <f aca="false">IF(AND(LEFT(A836,1)&lt;&gt;"C",D836&gt;0,F836&gt;0),1,0)</f>
        <v>1</v>
      </c>
      <c r="K836" s="3" t="n">
        <f aca="false">IF(AND(H836="United Kingdom",G836&lt;&gt;"",COUNTIFS($G$2:G836,G836,$H$2:H836,"United Kingdom")=1),1,0)</f>
        <v>0</v>
      </c>
    </row>
    <row r="837" customFormat="false" ht="15" hidden="false" customHeight="false" outlineLevel="0" collapsed="false">
      <c r="A837" s="0" t="s">
        <v>235</v>
      </c>
      <c r="B837" s="0" t="s">
        <v>72</v>
      </c>
      <c r="C837" s="0" t="s">
        <v>73</v>
      </c>
      <c r="D837" s="0" t="n">
        <v>4</v>
      </c>
      <c r="E837" s="2" t="n">
        <v>40601.5631944445</v>
      </c>
      <c r="F837" s="0" t="n">
        <v>2.69</v>
      </c>
      <c r="G837" s="0" t="n">
        <v>14880</v>
      </c>
      <c r="H837" s="3" t="s">
        <v>14</v>
      </c>
      <c r="I837" s="4" t="n">
        <f aca="false">D837*F837</f>
        <v>10.76</v>
      </c>
      <c r="J837" s="3" t="n">
        <f aca="false">IF(AND(LEFT(A837,1)&lt;&gt;"C",D837&gt;0,F837&gt;0),1,0)</f>
        <v>1</v>
      </c>
      <c r="K837" s="3" t="n">
        <f aca="false">IF(AND(H837="United Kingdom",G837&lt;&gt;"",COUNTIFS($G$2:G837,G837,$H$2:H837,"United Kingdom")=1),1,0)</f>
        <v>0</v>
      </c>
    </row>
    <row r="838" customFormat="false" ht="15" hidden="false" customHeight="false" outlineLevel="0" collapsed="false">
      <c r="A838" s="0" t="s">
        <v>235</v>
      </c>
      <c r="B838" s="0" t="s">
        <v>41</v>
      </c>
      <c r="C838" s="0" t="s">
        <v>42</v>
      </c>
      <c r="D838" s="0" t="n">
        <v>3</v>
      </c>
      <c r="E838" s="2" t="n">
        <v>40601.5631944445</v>
      </c>
      <c r="F838" s="0" t="n">
        <v>3.28</v>
      </c>
      <c r="G838" s="0" t="n">
        <v>14880</v>
      </c>
      <c r="H838" s="3" t="s">
        <v>14</v>
      </c>
      <c r="I838" s="4" t="n">
        <f aca="false">D838*F838</f>
        <v>9.84</v>
      </c>
      <c r="J838" s="3" t="n">
        <f aca="false">IF(AND(LEFT(A838,1)&lt;&gt;"C",D838&gt;0,F838&gt;0),1,0)</f>
        <v>1</v>
      </c>
      <c r="K838" s="3" t="n">
        <f aca="false">IF(AND(H838="United Kingdom",G838&lt;&gt;"",COUNTIFS($G$2:G838,G838,$H$2:H838,"United Kingdom")=1),1,0)</f>
        <v>0</v>
      </c>
    </row>
    <row r="839" customFormat="false" ht="15" hidden="false" customHeight="false" outlineLevel="0" collapsed="false">
      <c r="A839" s="0" t="s">
        <v>235</v>
      </c>
      <c r="B839" s="0" t="s">
        <v>27</v>
      </c>
      <c r="C839" s="0" t="s">
        <v>28</v>
      </c>
      <c r="D839" s="0" t="n">
        <v>1</v>
      </c>
      <c r="E839" s="2" t="n">
        <v>40601.5631944445</v>
      </c>
      <c r="F839" s="0" t="n">
        <v>4.55</v>
      </c>
      <c r="G839" s="0" t="n">
        <v>14880</v>
      </c>
      <c r="H839" s="3" t="s">
        <v>14</v>
      </c>
      <c r="I839" s="4" t="n">
        <f aca="false">D839*F839</f>
        <v>4.55</v>
      </c>
      <c r="J839" s="3" t="n">
        <f aca="false">IF(AND(LEFT(A839,1)&lt;&gt;"C",D839&gt;0,F839&gt;0),1,0)</f>
        <v>1</v>
      </c>
      <c r="K839" s="3" t="n">
        <f aca="false">IF(AND(H839="United Kingdom",G839&lt;&gt;"",COUNTIFS($G$2:G839,G839,$H$2:H839,"United Kingdom")=1),1,0)</f>
        <v>0</v>
      </c>
    </row>
    <row r="840" customFormat="false" ht="15" hidden="false" customHeight="false" outlineLevel="0" collapsed="false">
      <c r="A840" s="0" t="s">
        <v>235</v>
      </c>
      <c r="B840" s="0" t="s">
        <v>63</v>
      </c>
      <c r="C840" s="0" t="s">
        <v>64</v>
      </c>
      <c r="D840" s="0" t="n">
        <v>2</v>
      </c>
      <c r="E840" s="2" t="n">
        <v>40601.5631944445</v>
      </c>
      <c r="F840" s="0" t="n">
        <v>2.43</v>
      </c>
      <c r="G840" s="0" t="n">
        <v>14880</v>
      </c>
      <c r="H840" s="3" t="s">
        <v>14</v>
      </c>
      <c r="I840" s="4" t="n">
        <f aca="false">D840*F840</f>
        <v>4.86</v>
      </c>
      <c r="J840" s="3" t="n">
        <f aca="false">IF(AND(LEFT(A840,1)&lt;&gt;"C",D840&gt;0,F840&gt;0),1,0)</f>
        <v>1</v>
      </c>
      <c r="K840" s="3" t="n">
        <f aca="false">IF(AND(H840="United Kingdom",G840&lt;&gt;"",COUNTIFS($G$2:G840,G840,$H$2:H840,"United Kingdom")=1),1,0)</f>
        <v>0</v>
      </c>
    </row>
    <row r="841" customFormat="false" ht="15" hidden="false" customHeight="false" outlineLevel="0" collapsed="false">
      <c r="A841" s="0" t="s">
        <v>235</v>
      </c>
      <c r="B841" s="0" t="s">
        <v>75</v>
      </c>
      <c r="C841" s="0" t="s">
        <v>76</v>
      </c>
      <c r="D841" s="0" t="n">
        <v>3</v>
      </c>
      <c r="E841" s="2" t="n">
        <v>40601.5631944445</v>
      </c>
      <c r="F841" s="0" t="n">
        <v>1.97</v>
      </c>
      <c r="G841" s="0" t="n">
        <v>14880</v>
      </c>
      <c r="H841" s="3" t="s">
        <v>14</v>
      </c>
      <c r="I841" s="4" t="n">
        <f aca="false">D841*F841</f>
        <v>5.91</v>
      </c>
      <c r="J841" s="3" t="n">
        <f aca="false">IF(AND(LEFT(A841,1)&lt;&gt;"C",D841&gt;0,F841&gt;0),1,0)</f>
        <v>1</v>
      </c>
      <c r="K841" s="3" t="n">
        <f aca="false">IF(AND(H841="United Kingdom",G841&lt;&gt;"",COUNTIFS($G$2:G841,G841,$H$2:H841,"United Kingdom")=1),1,0)</f>
        <v>0</v>
      </c>
    </row>
    <row r="842" customFormat="false" ht="15" hidden="false" customHeight="false" outlineLevel="0" collapsed="false">
      <c r="A842" s="0" t="s">
        <v>235</v>
      </c>
      <c r="B842" s="0" t="s">
        <v>17</v>
      </c>
      <c r="C842" s="0" t="s">
        <v>18</v>
      </c>
      <c r="D842" s="0" t="n">
        <v>4</v>
      </c>
      <c r="E842" s="2" t="n">
        <v>40601.5631944445</v>
      </c>
      <c r="F842" s="0" t="n">
        <v>1.92</v>
      </c>
      <c r="G842" s="0" t="n">
        <v>14880</v>
      </c>
      <c r="H842" s="3" t="s">
        <v>14</v>
      </c>
      <c r="I842" s="4" t="n">
        <f aca="false">D842*F842</f>
        <v>7.68</v>
      </c>
      <c r="J842" s="3" t="n">
        <f aca="false">IF(AND(LEFT(A842,1)&lt;&gt;"C",D842&gt;0,F842&gt;0),1,0)</f>
        <v>1</v>
      </c>
      <c r="K842" s="3" t="n">
        <f aca="false">IF(AND(H842="United Kingdom",G842&lt;&gt;"",COUNTIFS($G$2:G842,G842,$H$2:H842,"United Kingdom")=1),1,0)</f>
        <v>0</v>
      </c>
    </row>
    <row r="843" customFormat="false" ht="15" hidden="false" customHeight="false" outlineLevel="0" collapsed="false">
      <c r="A843" s="0" t="s">
        <v>235</v>
      </c>
      <c r="B843" s="0" t="s">
        <v>58</v>
      </c>
      <c r="C843" s="0" t="s">
        <v>59</v>
      </c>
      <c r="D843" s="0" t="n">
        <v>1</v>
      </c>
      <c r="E843" s="2" t="n">
        <v>40601.5631944445</v>
      </c>
      <c r="F843" s="0" t="n">
        <v>2.16</v>
      </c>
      <c r="G843" s="0" t="n">
        <v>14880</v>
      </c>
      <c r="H843" s="3" t="s">
        <v>14</v>
      </c>
      <c r="I843" s="4" t="n">
        <f aca="false">D843*F843</f>
        <v>2.16</v>
      </c>
      <c r="J843" s="3" t="n">
        <f aca="false">IF(AND(LEFT(A843,1)&lt;&gt;"C",D843&gt;0,F843&gt;0),1,0)</f>
        <v>1</v>
      </c>
      <c r="K843" s="3" t="n">
        <f aca="false">IF(AND(H843="United Kingdom",G843&lt;&gt;"",COUNTIFS($G$2:G843,G843,$H$2:H843,"United Kingdom")=1),1,0)</f>
        <v>0</v>
      </c>
    </row>
    <row r="844" customFormat="false" ht="15" hidden="false" customHeight="false" outlineLevel="0" collapsed="false">
      <c r="A844" s="0" t="s">
        <v>236</v>
      </c>
      <c r="B844" s="0" t="s">
        <v>113</v>
      </c>
      <c r="C844" s="0" t="s">
        <v>114</v>
      </c>
      <c r="D844" s="0" t="n">
        <v>12</v>
      </c>
      <c r="E844" s="2" t="n">
        <v>40602.6631944445</v>
      </c>
      <c r="F844" s="0" t="n">
        <v>3.57</v>
      </c>
      <c r="G844" s="0" t="n">
        <v>15321</v>
      </c>
      <c r="H844" s="3" t="s">
        <v>14</v>
      </c>
      <c r="I844" s="4" t="n">
        <f aca="false">D844*F844</f>
        <v>42.84</v>
      </c>
      <c r="J844" s="3" t="n">
        <f aca="false">IF(AND(LEFT(A844,1)&lt;&gt;"C",D844&gt;0,F844&gt;0),1,0)</f>
        <v>1</v>
      </c>
      <c r="K844" s="3" t="n">
        <f aca="false">IF(AND(H844="United Kingdom",G844&lt;&gt;"",COUNTIFS($G$2:G844,G844,$H$2:H844,"United Kingdom")=1),1,0)</f>
        <v>0</v>
      </c>
    </row>
    <row r="845" customFormat="false" ht="15" hidden="false" customHeight="false" outlineLevel="0" collapsed="false">
      <c r="A845" s="0" t="s">
        <v>236</v>
      </c>
      <c r="B845" s="0" t="s">
        <v>75</v>
      </c>
      <c r="C845" s="0" t="s">
        <v>76</v>
      </c>
      <c r="D845" s="0" t="n">
        <v>8</v>
      </c>
      <c r="E845" s="2" t="n">
        <v>40602.6631944445</v>
      </c>
      <c r="F845" s="0" t="n">
        <v>1.97</v>
      </c>
      <c r="G845" s="0" t="n">
        <v>15321</v>
      </c>
      <c r="H845" s="3" t="s">
        <v>14</v>
      </c>
      <c r="I845" s="4" t="n">
        <f aca="false">D845*F845</f>
        <v>15.76</v>
      </c>
      <c r="J845" s="3" t="n">
        <f aca="false">IF(AND(LEFT(A845,1)&lt;&gt;"C",D845&gt;0,F845&gt;0),1,0)</f>
        <v>1</v>
      </c>
      <c r="K845" s="3" t="n">
        <f aca="false">IF(AND(H845="United Kingdom",G845&lt;&gt;"",COUNTIFS($G$2:G845,G845,$H$2:H845,"United Kingdom")=1),1,0)</f>
        <v>0</v>
      </c>
    </row>
    <row r="846" customFormat="false" ht="15" hidden="false" customHeight="false" outlineLevel="0" collapsed="false">
      <c r="A846" s="0" t="s">
        <v>237</v>
      </c>
      <c r="B846" s="0" t="s">
        <v>60</v>
      </c>
      <c r="C846" s="0" t="s">
        <v>61</v>
      </c>
      <c r="D846" s="0" t="n">
        <v>12</v>
      </c>
      <c r="E846" s="2" t="n">
        <v>40603.6618055556</v>
      </c>
      <c r="F846" s="0" t="n">
        <v>0.63</v>
      </c>
      <c r="G846" s="0" t="n">
        <v>12688</v>
      </c>
      <c r="H846" s="3" t="s">
        <v>14</v>
      </c>
      <c r="I846" s="4" t="n">
        <f aca="false">D846*F846</f>
        <v>7.56</v>
      </c>
      <c r="J846" s="3" t="n">
        <f aca="false">IF(AND(LEFT(A846,1)&lt;&gt;"C",D846&gt;0,F846&gt;0),1,0)</f>
        <v>1</v>
      </c>
      <c r="K846" s="3" t="n">
        <f aca="false">IF(AND(H846="United Kingdom",G846&lt;&gt;"",COUNTIFS($G$2:G846,G846,$H$2:H846,"United Kingdom")=1),1,0)</f>
        <v>1</v>
      </c>
    </row>
    <row r="847" customFormat="false" ht="15" hidden="false" customHeight="false" outlineLevel="0" collapsed="false">
      <c r="A847" s="0" t="s">
        <v>237</v>
      </c>
      <c r="B847" s="0" t="s">
        <v>29</v>
      </c>
      <c r="C847" s="0" t="s">
        <v>30</v>
      </c>
      <c r="D847" s="0" t="n">
        <v>2</v>
      </c>
      <c r="E847" s="2" t="n">
        <v>40603.6618055556</v>
      </c>
      <c r="F847" s="0" t="n">
        <v>5.79</v>
      </c>
      <c r="G847" s="0" t="n">
        <v>12688</v>
      </c>
      <c r="H847" s="3" t="s">
        <v>14</v>
      </c>
      <c r="I847" s="4" t="n">
        <f aca="false">D847*F847</f>
        <v>11.58</v>
      </c>
      <c r="J847" s="3" t="n">
        <f aca="false">IF(AND(LEFT(A847,1)&lt;&gt;"C",D847&gt;0,F847&gt;0),1,0)</f>
        <v>1</v>
      </c>
      <c r="K847" s="3" t="n">
        <f aca="false">IF(AND(H847="United Kingdom",G847&lt;&gt;"",COUNTIFS($G$2:G847,G847,$H$2:H847,"United Kingdom")=1),1,0)</f>
        <v>0</v>
      </c>
    </row>
    <row r="848" customFormat="false" ht="15" hidden="false" customHeight="false" outlineLevel="0" collapsed="false">
      <c r="A848" s="0" t="s">
        <v>237</v>
      </c>
      <c r="B848" s="0" t="s">
        <v>65</v>
      </c>
      <c r="C848" s="0" t="s">
        <v>66</v>
      </c>
      <c r="D848" s="0" t="n">
        <v>3</v>
      </c>
      <c r="E848" s="2" t="n">
        <v>40603.6618055556</v>
      </c>
      <c r="F848" s="0" t="n">
        <v>4.75</v>
      </c>
      <c r="G848" s="0" t="n">
        <v>12688</v>
      </c>
      <c r="H848" s="3" t="s">
        <v>14</v>
      </c>
      <c r="I848" s="4" t="n">
        <f aca="false">D848*F848</f>
        <v>14.25</v>
      </c>
      <c r="J848" s="3" t="n">
        <f aca="false">IF(AND(LEFT(A848,1)&lt;&gt;"C",D848&gt;0,F848&gt;0),1,0)</f>
        <v>1</v>
      </c>
      <c r="K848" s="3" t="n">
        <f aca="false">IF(AND(H848="United Kingdom",G848&lt;&gt;"",COUNTIFS($G$2:G848,G848,$H$2:H848,"United Kingdom")=1),1,0)</f>
        <v>0</v>
      </c>
    </row>
    <row r="849" customFormat="false" ht="15" hidden="false" customHeight="false" outlineLevel="0" collapsed="false">
      <c r="A849" s="0" t="s">
        <v>237</v>
      </c>
      <c r="B849" s="0" t="s">
        <v>63</v>
      </c>
      <c r="C849" s="0" t="s">
        <v>64</v>
      </c>
      <c r="D849" s="0" t="n">
        <v>16</v>
      </c>
      <c r="E849" s="2" t="n">
        <v>40603.6618055556</v>
      </c>
      <c r="F849" s="0" t="n">
        <v>2.43</v>
      </c>
      <c r="G849" s="0" t="n">
        <v>12688</v>
      </c>
      <c r="H849" s="3" t="s">
        <v>14</v>
      </c>
      <c r="I849" s="4" t="n">
        <f aca="false">D849*F849</f>
        <v>38.88</v>
      </c>
      <c r="J849" s="3" t="n">
        <f aca="false">IF(AND(LEFT(A849,1)&lt;&gt;"C",D849&gt;0,F849&gt;0),1,0)</f>
        <v>1</v>
      </c>
      <c r="K849" s="3" t="n">
        <f aca="false">IF(AND(H849="United Kingdom",G849&lt;&gt;"",COUNTIFS($G$2:G849,G849,$H$2:H849,"United Kingdom")=1),1,0)</f>
        <v>0</v>
      </c>
    </row>
    <row r="850" customFormat="false" ht="15" hidden="false" customHeight="false" outlineLevel="0" collapsed="false">
      <c r="A850" s="0" t="s">
        <v>237</v>
      </c>
      <c r="B850" s="0" t="s">
        <v>80</v>
      </c>
      <c r="C850" s="0" t="s">
        <v>81</v>
      </c>
      <c r="D850" s="0" t="n">
        <v>1</v>
      </c>
      <c r="E850" s="2" t="n">
        <v>40603.6618055556</v>
      </c>
      <c r="F850" s="0" t="n">
        <v>1.53</v>
      </c>
      <c r="G850" s="0" t="n">
        <v>12688</v>
      </c>
      <c r="H850" s="3" t="s">
        <v>14</v>
      </c>
      <c r="I850" s="4" t="n">
        <f aca="false">D850*F850</f>
        <v>1.53</v>
      </c>
      <c r="J850" s="3" t="n">
        <f aca="false">IF(AND(LEFT(A850,1)&lt;&gt;"C",D850&gt;0,F850&gt;0),1,0)</f>
        <v>1</v>
      </c>
      <c r="K850" s="3" t="n">
        <f aca="false">IF(AND(H850="United Kingdom",G850&lt;&gt;"",COUNTIFS($G$2:G850,G850,$H$2:H850,"United Kingdom")=1),1,0)</f>
        <v>0</v>
      </c>
    </row>
    <row r="851" customFormat="false" ht="15" hidden="false" customHeight="false" outlineLevel="0" collapsed="false">
      <c r="A851" s="0" t="s">
        <v>238</v>
      </c>
      <c r="B851" s="0" t="s">
        <v>54</v>
      </c>
      <c r="C851" s="0" t="s">
        <v>55</v>
      </c>
      <c r="D851" s="0" t="n">
        <v>4</v>
      </c>
      <c r="E851" s="2" t="n">
        <v>40605.6326388889</v>
      </c>
      <c r="F851" s="0" t="n">
        <v>0.99</v>
      </c>
      <c r="G851" s="0" t="n">
        <v>14470</v>
      </c>
      <c r="H851" s="3" t="s">
        <v>14</v>
      </c>
      <c r="I851" s="4" t="n">
        <f aca="false">D851*F851</f>
        <v>3.96</v>
      </c>
      <c r="J851" s="3" t="n">
        <f aca="false">IF(AND(LEFT(A851,1)&lt;&gt;"C",D851&gt;0,F851&gt;0),1,0)</f>
        <v>1</v>
      </c>
      <c r="K851" s="3" t="n">
        <f aca="false">IF(AND(H851="United Kingdom",G851&lt;&gt;"",COUNTIFS($G$2:G851,G851,$H$2:H851,"United Kingdom")=1),1,0)</f>
        <v>1</v>
      </c>
    </row>
    <row r="852" customFormat="false" ht="15" hidden="false" customHeight="false" outlineLevel="0" collapsed="false">
      <c r="A852" s="0" t="s">
        <v>238</v>
      </c>
      <c r="B852" s="0" t="s">
        <v>80</v>
      </c>
      <c r="C852" s="0" t="s">
        <v>81</v>
      </c>
      <c r="D852" s="0" t="n">
        <v>8</v>
      </c>
      <c r="E852" s="2" t="n">
        <v>40605.6326388889</v>
      </c>
      <c r="F852" s="0" t="n">
        <v>1.53</v>
      </c>
      <c r="G852" s="0" t="n">
        <v>14470</v>
      </c>
      <c r="H852" s="3" t="s">
        <v>14</v>
      </c>
      <c r="I852" s="4" t="n">
        <f aca="false">D852*F852</f>
        <v>12.24</v>
      </c>
      <c r="J852" s="3" t="n">
        <f aca="false">IF(AND(LEFT(A852,1)&lt;&gt;"C",D852&gt;0,F852&gt;0),1,0)</f>
        <v>1</v>
      </c>
      <c r="K852" s="3" t="n">
        <f aca="false">IF(AND(H852="United Kingdom",G852&lt;&gt;"",COUNTIFS($G$2:G852,G852,$H$2:H852,"United Kingdom")=1),1,0)</f>
        <v>0</v>
      </c>
    </row>
    <row r="853" customFormat="false" ht="15" hidden="false" customHeight="false" outlineLevel="0" collapsed="false">
      <c r="A853" s="0" t="s">
        <v>238</v>
      </c>
      <c r="B853" s="0" t="s">
        <v>37</v>
      </c>
      <c r="C853" s="0" t="s">
        <v>38</v>
      </c>
      <c r="D853" s="0" t="n">
        <v>1</v>
      </c>
      <c r="E853" s="2" t="n">
        <v>40605.6326388889</v>
      </c>
      <c r="F853" s="0" t="n">
        <v>1.82</v>
      </c>
      <c r="G853" s="0" t="n">
        <v>14470</v>
      </c>
      <c r="H853" s="3" t="s">
        <v>14</v>
      </c>
      <c r="I853" s="4" t="n">
        <f aca="false">D853*F853</f>
        <v>1.82</v>
      </c>
      <c r="J853" s="3" t="n">
        <f aca="false">IF(AND(LEFT(A853,1)&lt;&gt;"C",D853&gt;0,F853&gt;0),1,0)</f>
        <v>1</v>
      </c>
      <c r="K853" s="3" t="n">
        <f aca="false">IF(AND(H853="United Kingdom",G853&lt;&gt;"",COUNTIFS($G$2:G853,G853,$H$2:H853,"United Kingdom")=1),1,0)</f>
        <v>0</v>
      </c>
    </row>
    <row r="854" customFormat="false" ht="15" hidden="false" customHeight="false" outlineLevel="0" collapsed="false">
      <c r="A854" s="0" t="s">
        <v>238</v>
      </c>
      <c r="B854" s="0" t="s">
        <v>20</v>
      </c>
      <c r="C854" s="0" t="s">
        <v>21</v>
      </c>
      <c r="D854" s="0" t="n">
        <v>3</v>
      </c>
      <c r="E854" s="2" t="n">
        <v>40605.6326388889</v>
      </c>
      <c r="F854" s="0" t="n">
        <v>4.24</v>
      </c>
      <c r="G854" s="0" t="n">
        <v>14470</v>
      </c>
      <c r="H854" s="3" t="s">
        <v>14</v>
      </c>
      <c r="I854" s="4" t="n">
        <f aca="false">D854*F854</f>
        <v>12.72</v>
      </c>
      <c r="J854" s="3" t="n">
        <f aca="false">IF(AND(LEFT(A854,1)&lt;&gt;"C",D854&gt;0,F854&gt;0),1,0)</f>
        <v>1</v>
      </c>
      <c r="K854" s="3" t="n">
        <f aca="false">IF(AND(H854="United Kingdom",G854&lt;&gt;"",COUNTIFS($G$2:G854,G854,$H$2:H854,"United Kingdom")=1),1,0)</f>
        <v>0</v>
      </c>
    </row>
    <row r="855" customFormat="false" ht="15" hidden="false" customHeight="false" outlineLevel="0" collapsed="false">
      <c r="A855" s="0" t="s">
        <v>239</v>
      </c>
      <c r="B855" s="0" t="s">
        <v>58</v>
      </c>
      <c r="C855" s="0" t="s">
        <v>59</v>
      </c>
      <c r="D855" s="0" t="n">
        <v>4</v>
      </c>
      <c r="E855" s="2" t="n">
        <v>40606.3694444444</v>
      </c>
      <c r="F855" s="0" t="n">
        <v>2.16</v>
      </c>
      <c r="G855" s="0" t="n">
        <v>17746</v>
      </c>
      <c r="H855" s="3" t="s">
        <v>14</v>
      </c>
      <c r="I855" s="4" t="n">
        <f aca="false">D855*F855</f>
        <v>8.64</v>
      </c>
      <c r="J855" s="3" t="n">
        <f aca="false">IF(AND(LEFT(A855,1)&lt;&gt;"C",D855&gt;0,F855&gt;0),1,0)</f>
        <v>1</v>
      </c>
      <c r="K855" s="3" t="n">
        <f aca="false">IF(AND(H855="United Kingdom",G855&lt;&gt;"",COUNTIFS($G$2:G855,G855,$H$2:H855,"United Kingdom")=1),1,0)</f>
        <v>1</v>
      </c>
    </row>
    <row r="856" customFormat="false" ht="15" hidden="false" customHeight="false" outlineLevel="0" collapsed="false">
      <c r="A856" s="0" t="s">
        <v>239</v>
      </c>
      <c r="B856" s="0" t="s">
        <v>43</v>
      </c>
      <c r="C856" s="0" t="s">
        <v>44</v>
      </c>
      <c r="D856" s="0" t="n">
        <v>3</v>
      </c>
      <c r="E856" s="2" t="n">
        <v>40606.3694444444</v>
      </c>
      <c r="F856" s="0" t="n">
        <v>1.35</v>
      </c>
      <c r="G856" s="0" t="n">
        <v>17746</v>
      </c>
      <c r="H856" s="3" t="s">
        <v>14</v>
      </c>
      <c r="I856" s="4" t="n">
        <f aca="false">D856*F856</f>
        <v>4.05</v>
      </c>
      <c r="J856" s="3" t="n">
        <f aca="false">IF(AND(LEFT(A856,1)&lt;&gt;"C",D856&gt;0,F856&gt;0),1,0)</f>
        <v>1</v>
      </c>
      <c r="K856" s="3" t="n">
        <f aca="false">IF(AND(H856="United Kingdom",G856&lt;&gt;"",COUNTIFS($G$2:G856,G856,$H$2:H856,"United Kingdom")=1),1,0)</f>
        <v>0</v>
      </c>
    </row>
    <row r="857" customFormat="false" ht="15" hidden="false" customHeight="false" outlineLevel="0" collapsed="false">
      <c r="A857" s="0" t="s">
        <v>239</v>
      </c>
      <c r="B857" s="0" t="s">
        <v>25</v>
      </c>
      <c r="C857" s="0" t="s">
        <v>26</v>
      </c>
      <c r="D857" s="0" t="n">
        <v>8</v>
      </c>
      <c r="E857" s="2" t="n">
        <v>40606.3694444444</v>
      </c>
      <c r="F857" s="0" t="n">
        <v>2.21</v>
      </c>
      <c r="G857" s="0" t="n">
        <v>17746</v>
      </c>
      <c r="H857" s="3" t="s">
        <v>14</v>
      </c>
      <c r="I857" s="4" t="n">
        <f aca="false">D857*F857</f>
        <v>17.68</v>
      </c>
      <c r="J857" s="3" t="n">
        <f aca="false">IF(AND(LEFT(A857,1)&lt;&gt;"C",D857&gt;0,F857&gt;0),1,0)</f>
        <v>1</v>
      </c>
      <c r="K857" s="3" t="n">
        <f aca="false">IF(AND(H857="United Kingdom",G857&lt;&gt;"",COUNTIFS($G$2:G857,G857,$H$2:H857,"United Kingdom")=1),1,0)</f>
        <v>0</v>
      </c>
    </row>
    <row r="858" customFormat="false" ht="15" hidden="false" customHeight="false" outlineLevel="0" collapsed="false">
      <c r="A858" s="0" t="s">
        <v>239</v>
      </c>
      <c r="B858" s="0" t="s">
        <v>27</v>
      </c>
      <c r="C858" s="0" t="s">
        <v>28</v>
      </c>
      <c r="D858" s="0" t="n">
        <v>1</v>
      </c>
      <c r="E858" s="2" t="n">
        <v>40606.3694444444</v>
      </c>
      <c r="F858" s="0" t="n">
        <v>4.55</v>
      </c>
      <c r="G858" s="0" t="n">
        <v>17746</v>
      </c>
      <c r="H858" s="3" t="s">
        <v>14</v>
      </c>
      <c r="I858" s="4" t="n">
        <f aca="false">D858*F858</f>
        <v>4.55</v>
      </c>
      <c r="J858" s="3" t="n">
        <f aca="false">IF(AND(LEFT(A858,1)&lt;&gt;"C",D858&gt;0,F858&gt;0),1,0)</f>
        <v>1</v>
      </c>
      <c r="K858" s="3" t="n">
        <f aca="false">IF(AND(H858="United Kingdom",G858&lt;&gt;"",COUNTIFS($G$2:G858,G858,$H$2:H858,"United Kingdom")=1),1,0)</f>
        <v>0</v>
      </c>
    </row>
    <row r="859" customFormat="false" ht="15" hidden="false" customHeight="false" outlineLevel="0" collapsed="false">
      <c r="A859" s="0" t="s">
        <v>239</v>
      </c>
      <c r="B859" s="0" t="s">
        <v>80</v>
      </c>
      <c r="C859" s="0" t="s">
        <v>81</v>
      </c>
      <c r="D859" s="0" t="n">
        <v>1</v>
      </c>
      <c r="E859" s="2" t="n">
        <v>40606.3694444444</v>
      </c>
      <c r="F859" s="0" t="n">
        <v>1.53</v>
      </c>
      <c r="G859" s="0" t="n">
        <v>17746</v>
      </c>
      <c r="H859" s="3" t="s">
        <v>14</v>
      </c>
      <c r="I859" s="4" t="n">
        <f aca="false">D859*F859</f>
        <v>1.53</v>
      </c>
      <c r="J859" s="3" t="n">
        <f aca="false">IF(AND(LEFT(A859,1)&lt;&gt;"C",D859&gt;0,F859&gt;0),1,0)</f>
        <v>1</v>
      </c>
      <c r="K859" s="3" t="n">
        <f aca="false">IF(AND(H859="United Kingdom",G859&lt;&gt;"",COUNTIFS($G$2:G859,G859,$H$2:H859,"United Kingdom")=1),1,0)</f>
        <v>0</v>
      </c>
    </row>
    <row r="860" customFormat="false" ht="15" hidden="false" customHeight="false" outlineLevel="0" collapsed="false">
      <c r="A860" s="0" t="s">
        <v>239</v>
      </c>
      <c r="B860" s="0" t="s">
        <v>34</v>
      </c>
      <c r="C860" s="0" t="s">
        <v>35</v>
      </c>
      <c r="D860" s="0" t="n">
        <v>12</v>
      </c>
      <c r="E860" s="2" t="n">
        <v>40606.3694444444</v>
      </c>
      <c r="F860" s="0" t="n">
        <v>2.38</v>
      </c>
      <c r="G860" s="0" t="n">
        <v>17746</v>
      </c>
      <c r="H860" s="3" t="s">
        <v>14</v>
      </c>
      <c r="I860" s="4" t="n">
        <f aca="false">D860*F860</f>
        <v>28.56</v>
      </c>
      <c r="J860" s="3" t="n">
        <f aca="false">IF(AND(LEFT(A860,1)&lt;&gt;"C",D860&gt;0,F860&gt;0),1,0)</f>
        <v>1</v>
      </c>
      <c r="K860" s="3" t="n">
        <f aca="false">IF(AND(H860="United Kingdom",G860&lt;&gt;"",COUNTIFS($G$2:G860,G860,$H$2:H860,"United Kingdom")=1),1,0)</f>
        <v>0</v>
      </c>
    </row>
    <row r="861" customFormat="false" ht="15" hidden="false" customHeight="false" outlineLevel="0" collapsed="false">
      <c r="A861" s="0" t="s">
        <v>239</v>
      </c>
      <c r="B861" s="0" t="s">
        <v>68</v>
      </c>
      <c r="C861" s="0" t="s">
        <v>69</v>
      </c>
      <c r="D861" s="0" t="n">
        <v>2</v>
      </c>
      <c r="E861" s="2" t="n">
        <v>40606.3694444444</v>
      </c>
      <c r="F861" s="0" t="n">
        <v>1.26</v>
      </c>
      <c r="G861" s="0" t="n">
        <v>17746</v>
      </c>
      <c r="H861" s="3" t="s">
        <v>14</v>
      </c>
      <c r="I861" s="4" t="n">
        <f aca="false">D861*F861</f>
        <v>2.52</v>
      </c>
      <c r="J861" s="3" t="n">
        <f aca="false">IF(AND(LEFT(A861,1)&lt;&gt;"C",D861&gt;0,F861&gt;0),1,0)</f>
        <v>1</v>
      </c>
      <c r="K861" s="3" t="n">
        <f aca="false">IF(AND(H861="United Kingdom",G861&lt;&gt;"",COUNTIFS($G$2:G861,G861,$H$2:H861,"United Kingdom")=1),1,0)</f>
        <v>0</v>
      </c>
    </row>
    <row r="862" customFormat="false" ht="15" hidden="false" customHeight="false" outlineLevel="0" collapsed="false">
      <c r="A862" s="0" t="s">
        <v>239</v>
      </c>
      <c r="B862" s="0" t="s">
        <v>32</v>
      </c>
      <c r="C862" s="0" t="s">
        <v>33</v>
      </c>
      <c r="D862" s="0" t="n">
        <v>12</v>
      </c>
      <c r="E862" s="2" t="n">
        <v>40606.3694444444</v>
      </c>
      <c r="F862" s="0" t="n">
        <v>1.19</v>
      </c>
      <c r="G862" s="0" t="n">
        <v>17746</v>
      </c>
      <c r="H862" s="3" t="s">
        <v>14</v>
      </c>
      <c r="I862" s="4" t="n">
        <f aca="false">D862*F862</f>
        <v>14.28</v>
      </c>
      <c r="J862" s="3" t="n">
        <f aca="false">IF(AND(LEFT(A862,1)&lt;&gt;"C",D862&gt;0,F862&gt;0),1,0)</f>
        <v>1</v>
      </c>
      <c r="K862" s="3" t="n">
        <f aca="false">IF(AND(H862="United Kingdom",G862&lt;&gt;"",COUNTIFS($G$2:G862,G862,$H$2:H862,"United Kingdom")=1),1,0)</f>
        <v>0</v>
      </c>
    </row>
    <row r="863" customFormat="false" ht="15" hidden="false" customHeight="false" outlineLevel="0" collapsed="false">
      <c r="A863" s="0" t="s">
        <v>239</v>
      </c>
      <c r="B863" s="0" t="s">
        <v>90</v>
      </c>
      <c r="C863" s="0" t="s">
        <v>91</v>
      </c>
      <c r="D863" s="0" t="n">
        <v>6</v>
      </c>
      <c r="E863" s="2" t="n">
        <v>40606.3694444444</v>
      </c>
      <c r="F863" s="0" t="n">
        <v>3.04</v>
      </c>
      <c r="G863" s="0" t="n">
        <v>17746</v>
      </c>
      <c r="H863" s="3" t="s">
        <v>14</v>
      </c>
      <c r="I863" s="4" t="n">
        <f aca="false">D863*F863</f>
        <v>18.24</v>
      </c>
      <c r="J863" s="3" t="n">
        <f aca="false">IF(AND(LEFT(A863,1)&lt;&gt;"C",D863&gt;0,F863&gt;0),1,0)</f>
        <v>1</v>
      </c>
      <c r="K863" s="3" t="n">
        <f aca="false">IF(AND(H863="United Kingdom",G863&lt;&gt;"",COUNTIFS($G$2:G863,G863,$H$2:H863,"United Kingdom")=1),1,0)</f>
        <v>0</v>
      </c>
    </row>
    <row r="864" customFormat="false" ht="15" hidden="false" customHeight="false" outlineLevel="0" collapsed="false">
      <c r="A864" s="0" t="s">
        <v>239</v>
      </c>
      <c r="B864" s="0" t="s">
        <v>12</v>
      </c>
      <c r="C864" s="0" t="s">
        <v>13</v>
      </c>
      <c r="D864" s="0" t="n">
        <v>1</v>
      </c>
      <c r="E864" s="2" t="n">
        <v>40606.3694444444</v>
      </c>
      <c r="F864" s="0" t="n">
        <v>3.33</v>
      </c>
      <c r="G864" s="0" t="n">
        <v>17746</v>
      </c>
      <c r="H864" s="3" t="s">
        <v>14</v>
      </c>
      <c r="I864" s="4" t="n">
        <f aca="false">D864*F864</f>
        <v>3.33</v>
      </c>
      <c r="J864" s="3" t="n">
        <f aca="false">IF(AND(LEFT(A864,1)&lt;&gt;"C",D864&gt;0,F864&gt;0),1,0)</f>
        <v>1</v>
      </c>
      <c r="K864" s="3" t="n">
        <f aca="false">IF(AND(H864="United Kingdom",G864&lt;&gt;"",COUNTIFS($G$2:G864,G864,$H$2:H864,"United Kingdom")=1),1,0)</f>
        <v>0</v>
      </c>
    </row>
    <row r="865" customFormat="false" ht="15" hidden="false" customHeight="false" outlineLevel="0" collapsed="false">
      <c r="A865" s="0" t="s">
        <v>240</v>
      </c>
      <c r="B865" s="0" t="s">
        <v>12</v>
      </c>
      <c r="C865" s="0" t="s">
        <v>13</v>
      </c>
      <c r="D865" s="0" t="n">
        <v>12</v>
      </c>
      <c r="E865" s="2" t="n">
        <v>40606.5694444445</v>
      </c>
      <c r="F865" s="0" t="n">
        <v>3.33</v>
      </c>
      <c r="G865" s="0" t="n">
        <v>13965</v>
      </c>
      <c r="H865" s="3" t="s">
        <v>14</v>
      </c>
      <c r="I865" s="4" t="n">
        <f aca="false">D865*F865</f>
        <v>39.96</v>
      </c>
      <c r="J865" s="3" t="n">
        <f aca="false">IF(AND(LEFT(A865,1)&lt;&gt;"C",D865&gt;0,F865&gt;0),1,0)</f>
        <v>1</v>
      </c>
      <c r="K865" s="3" t="n">
        <f aca="false">IF(AND(H865="United Kingdom",G865&lt;&gt;"",COUNTIFS($G$2:G865,G865,$H$2:H865,"United Kingdom")=1),1,0)</f>
        <v>1</v>
      </c>
    </row>
    <row r="866" customFormat="false" ht="15" hidden="false" customHeight="false" outlineLevel="0" collapsed="false">
      <c r="A866" s="0" t="s">
        <v>240</v>
      </c>
      <c r="B866" s="0" t="s">
        <v>43</v>
      </c>
      <c r="C866" s="0" t="s">
        <v>44</v>
      </c>
      <c r="D866" s="0" t="n">
        <v>4</v>
      </c>
      <c r="E866" s="2" t="n">
        <v>40606.5694444445</v>
      </c>
      <c r="F866" s="0" t="n">
        <v>1.35</v>
      </c>
      <c r="G866" s="0" t="n">
        <v>13965</v>
      </c>
      <c r="H866" s="3" t="s">
        <v>14</v>
      </c>
      <c r="I866" s="4" t="n">
        <f aca="false">D866*F866</f>
        <v>5.4</v>
      </c>
      <c r="J866" s="3" t="n">
        <f aca="false">IF(AND(LEFT(A866,1)&lt;&gt;"C",D866&gt;0,F866&gt;0),1,0)</f>
        <v>1</v>
      </c>
      <c r="K866" s="3" t="n">
        <f aca="false">IF(AND(H866="United Kingdom",G866&lt;&gt;"",COUNTIFS($G$2:G866,G866,$H$2:H866,"United Kingdom")=1),1,0)</f>
        <v>0</v>
      </c>
    </row>
    <row r="867" customFormat="false" ht="15" hidden="false" customHeight="false" outlineLevel="0" collapsed="false">
      <c r="A867" s="0" t="s">
        <v>240</v>
      </c>
      <c r="B867" s="0" t="s">
        <v>25</v>
      </c>
      <c r="C867" s="0" t="s">
        <v>26</v>
      </c>
      <c r="D867" s="0" t="n">
        <v>1</v>
      </c>
      <c r="E867" s="2" t="n">
        <v>40606.5694444445</v>
      </c>
      <c r="F867" s="0" t="n">
        <v>2.21</v>
      </c>
      <c r="G867" s="0" t="n">
        <v>13965</v>
      </c>
      <c r="H867" s="3" t="s">
        <v>14</v>
      </c>
      <c r="I867" s="4" t="n">
        <f aca="false">D867*F867</f>
        <v>2.21</v>
      </c>
      <c r="J867" s="3" t="n">
        <f aca="false">IF(AND(LEFT(A867,1)&lt;&gt;"C",D867&gt;0,F867&gt;0),1,0)</f>
        <v>1</v>
      </c>
      <c r="K867" s="3" t="n">
        <f aca="false">IF(AND(H867="United Kingdom",G867&lt;&gt;"",COUNTIFS($G$2:G867,G867,$H$2:H867,"United Kingdom")=1),1,0)</f>
        <v>0</v>
      </c>
    </row>
    <row r="868" customFormat="false" ht="15" hidden="false" customHeight="false" outlineLevel="0" collapsed="false">
      <c r="A868" s="0" t="s">
        <v>240</v>
      </c>
      <c r="B868" s="0" t="s">
        <v>80</v>
      </c>
      <c r="C868" s="0" t="s">
        <v>81</v>
      </c>
      <c r="D868" s="0" t="n">
        <v>6</v>
      </c>
      <c r="E868" s="2" t="n">
        <v>40606.5694444445</v>
      </c>
      <c r="F868" s="0" t="n">
        <v>1.53</v>
      </c>
      <c r="G868" s="0" t="n">
        <v>13965</v>
      </c>
      <c r="H868" s="3" t="s">
        <v>14</v>
      </c>
      <c r="I868" s="4" t="n">
        <f aca="false">D868*F868</f>
        <v>9.18</v>
      </c>
      <c r="J868" s="3" t="n">
        <f aca="false">IF(AND(LEFT(A868,1)&lt;&gt;"C",D868&gt;0,F868&gt;0),1,0)</f>
        <v>1</v>
      </c>
      <c r="K868" s="3" t="n">
        <f aca="false">IF(AND(H868="United Kingdom",G868&lt;&gt;"",COUNTIFS($G$2:G868,G868,$H$2:H868,"United Kingdom")=1),1,0)</f>
        <v>0</v>
      </c>
    </row>
    <row r="869" customFormat="false" ht="15" hidden="false" customHeight="false" outlineLevel="0" collapsed="false">
      <c r="A869" s="0" t="s">
        <v>241</v>
      </c>
      <c r="B869" s="0" t="s">
        <v>39</v>
      </c>
      <c r="C869" s="0" t="s">
        <v>40</v>
      </c>
      <c r="D869" s="0" t="n">
        <v>3</v>
      </c>
      <c r="E869" s="2" t="n">
        <v>40607.6402777778</v>
      </c>
      <c r="F869" s="0" t="n">
        <v>2.58</v>
      </c>
      <c r="G869" s="0" t="n">
        <v>15660</v>
      </c>
      <c r="H869" s="3" t="s">
        <v>14</v>
      </c>
      <c r="I869" s="4" t="n">
        <f aca="false">D869*F869</f>
        <v>7.74</v>
      </c>
      <c r="J869" s="3" t="n">
        <f aca="false">IF(AND(LEFT(A869,1)&lt;&gt;"C",D869&gt;0,F869&gt;0),1,0)</f>
        <v>1</v>
      </c>
      <c r="K869" s="3" t="n">
        <f aca="false">IF(AND(H869="United Kingdom",G869&lt;&gt;"",COUNTIFS($G$2:G869,G869,$H$2:H869,"United Kingdom")=1),1,0)</f>
        <v>0</v>
      </c>
    </row>
    <row r="870" customFormat="false" ht="15" hidden="false" customHeight="false" outlineLevel="0" collapsed="false">
      <c r="A870" s="0" t="s">
        <v>241</v>
      </c>
      <c r="B870" s="0" t="s">
        <v>27</v>
      </c>
      <c r="C870" s="0" t="s">
        <v>28</v>
      </c>
      <c r="D870" s="0" t="n">
        <v>8</v>
      </c>
      <c r="E870" s="2" t="n">
        <v>40607.6402777778</v>
      </c>
      <c r="F870" s="0" t="n">
        <v>4.55</v>
      </c>
      <c r="G870" s="0" t="n">
        <v>15660</v>
      </c>
      <c r="H870" s="3" t="s">
        <v>14</v>
      </c>
      <c r="I870" s="4" t="n">
        <f aca="false">D870*F870</f>
        <v>36.4</v>
      </c>
      <c r="J870" s="3" t="n">
        <f aca="false">IF(AND(LEFT(A870,1)&lt;&gt;"C",D870&gt;0,F870&gt;0),1,0)</f>
        <v>1</v>
      </c>
      <c r="K870" s="3" t="n">
        <f aca="false">IF(AND(H870="United Kingdom",G870&lt;&gt;"",COUNTIFS($G$2:G870,G870,$H$2:H870,"United Kingdom")=1),1,0)</f>
        <v>0</v>
      </c>
    </row>
    <row r="871" customFormat="false" ht="15" hidden="false" customHeight="false" outlineLevel="0" collapsed="false">
      <c r="A871" s="0" t="s">
        <v>241</v>
      </c>
      <c r="B871" s="0" t="s">
        <v>34</v>
      </c>
      <c r="C871" s="0" t="s">
        <v>35</v>
      </c>
      <c r="D871" s="0" t="n">
        <v>16</v>
      </c>
      <c r="E871" s="2" t="n">
        <v>40607.6402777778</v>
      </c>
      <c r="F871" s="0" t="n">
        <v>2.38</v>
      </c>
      <c r="G871" s="0" t="n">
        <v>15660</v>
      </c>
      <c r="H871" s="3" t="s">
        <v>14</v>
      </c>
      <c r="I871" s="4" t="n">
        <f aca="false">D871*F871</f>
        <v>38.08</v>
      </c>
      <c r="J871" s="3" t="n">
        <f aca="false">IF(AND(LEFT(A871,1)&lt;&gt;"C",D871&gt;0,F871&gt;0),1,0)</f>
        <v>1</v>
      </c>
      <c r="K871" s="3" t="n">
        <f aca="false">IF(AND(H871="United Kingdom",G871&lt;&gt;"",COUNTIFS($G$2:G871,G871,$H$2:H871,"United Kingdom")=1),1,0)</f>
        <v>0</v>
      </c>
    </row>
    <row r="872" customFormat="false" ht="15" hidden="false" customHeight="false" outlineLevel="0" collapsed="false">
      <c r="A872" s="0" t="s">
        <v>241</v>
      </c>
      <c r="B872" s="0" t="s">
        <v>60</v>
      </c>
      <c r="C872" s="0" t="s">
        <v>61</v>
      </c>
      <c r="D872" s="0" t="n">
        <v>8</v>
      </c>
      <c r="E872" s="2" t="n">
        <v>40607.6402777778</v>
      </c>
      <c r="F872" s="0" t="n">
        <v>0.63</v>
      </c>
      <c r="G872" s="0" t="n">
        <v>15660</v>
      </c>
      <c r="H872" s="3" t="s">
        <v>14</v>
      </c>
      <c r="I872" s="4" t="n">
        <f aca="false">D872*F872</f>
        <v>5.04</v>
      </c>
      <c r="J872" s="3" t="n">
        <f aca="false">IF(AND(LEFT(A872,1)&lt;&gt;"C",D872&gt;0,F872&gt;0),1,0)</f>
        <v>1</v>
      </c>
      <c r="K872" s="3" t="n">
        <f aca="false">IF(AND(H872="United Kingdom",G872&lt;&gt;"",COUNTIFS($G$2:G872,G872,$H$2:H872,"United Kingdom")=1),1,0)</f>
        <v>0</v>
      </c>
    </row>
    <row r="873" customFormat="false" ht="15" hidden="false" customHeight="false" outlineLevel="0" collapsed="false">
      <c r="A873" s="0" t="s">
        <v>241</v>
      </c>
      <c r="B873" s="0" t="s">
        <v>58</v>
      </c>
      <c r="C873" s="0" t="s">
        <v>59</v>
      </c>
      <c r="D873" s="0" t="n">
        <v>6</v>
      </c>
      <c r="E873" s="2" t="n">
        <v>40607.6402777778</v>
      </c>
      <c r="F873" s="0" t="n">
        <v>2.16</v>
      </c>
      <c r="G873" s="0" t="n">
        <v>15660</v>
      </c>
      <c r="H873" s="3" t="s">
        <v>14</v>
      </c>
      <c r="I873" s="4" t="n">
        <f aca="false">D873*F873</f>
        <v>12.96</v>
      </c>
      <c r="J873" s="3" t="n">
        <f aca="false">IF(AND(LEFT(A873,1)&lt;&gt;"C",D873&gt;0,F873&gt;0),1,0)</f>
        <v>1</v>
      </c>
      <c r="K873" s="3" t="n">
        <f aca="false">IF(AND(H873="United Kingdom",G873&lt;&gt;"",COUNTIFS($G$2:G873,G873,$H$2:H873,"United Kingdom")=1),1,0)</f>
        <v>0</v>
      </c>
    </row>
    <row r="874" customFormat="false" ht="15" hidden="false" customHeight="false" outlineLevel="0" collapsed="false">
      <c r="A874" s="0" t="s">
        <v>241</v>
      </c>
      <c r="B874" s="0" t="s">
        <v>17</v>
      </c>
      <c r="C874" s="0" t="s">
        <v>18</v>
      </c>
      <c r="D874" s="0" t="n">
        <v>8</v>
      </c>
      <c r="E874" s="2" t="n">
        <v>40607.6402777778</v>
      </c>
      <c r="F874" s="0" t="n">
        <v>1.92</v>
      </c>
      <c r="G874" s="0" t="n">
        <v>15660</v>
      </c>
      <c r="H874" s="3" t="s">
        <v>14</v>
      </c>
      <c r="I874" s="4" t="n">
        <f aca="false">D874*F874</f>
        <v>15.36</v>
      </c>
      <c r="J874" s="3" t="n">
        <f aca="false">IF(AND(LEFT(A874,1)&lt;&gt;"C",D874&gt;0,F874&gt;0),1,0)</f>
        <v>1</v>
      </c>
      <c r="K874" s="3" t="n">
        <f aca="false">IF(AND(H874="United Kingdom",G874&lt;&gt;"",COUNTIFS($G$2:G874,G874,$H$2:H874,"United Kingdom")=1),1,0)</f>
        <v>0</v>
      </c>
    </row>
    <row r="875" customFormat="false" ht="15" hidden="false" customHeight="false" outlineLevel="0" collapsed="false">
      <c r="A875" s="0" t="s">
        <v>242</v>
      </c>
      <c r="B875" s="0" t="s">
        <v>72</v>
      </c>
      <c r="C875" s="0" t="s">
        <v>73</v>
      </c>
      <c r="D875" s="0" t="n">
        <v>3</v>
      </c>
      <c r="E875" s="2" t="n">
        <v>40607.8083333333</v>
      </c>
      <c r="F875" s="0" t="n">
        <v>2.69</v>
      </c>
      <c r="G875" s="0" t="n">
        <v>18249</v>
      </c>
      <c r="H875" s="3" t="s">
        <v>14</v>
      </c>
      <c r="I875" s="4" t="n">
        <f aca="false">D875*F875</f>
        <v>8.07</v>
      </c>
      <c r="J875" s="3" t="n">
        <f aca="false">IF(AND(LEFT(A875,1)&lt;&gt;"C",D875&gt;0,F875&gt;0),1,0)</f>
        <v>1</v>
      </c>
      <c r="K875" s="3" t="n">
        <f aca="false">IF(AND(H875="United Kingdom",G875&lt;&gt;"",COUNTIFS($G$2:G875,G875,$H$2:H875,"United Kingdom")=1),1,0)</f>
        <v>0</v>
      </c>
    </row>
    <row r="876" customFormat="false" ht="15" hidden="false" customHeight="false" outlineLevel="0" collapsed="false">
      <c r="A876" s="0" t="s">
        <v>242</v>
      </c>
      <c r="B876" s="0" t="s">
        <v>20</v>
      </c>
      <c r="C876" s="0" t="s">
        <v>21</v>
      </c>
      <c r="D876" s="0" t="n">
        <v>2</v>
      </c>
      <c r="E876" s="2" t="n">
        <v>40607.8083333333</v>
      </c>
      <c r="F876" s="0" t="n">
        <v>4.24</v>
      </c>
      <c r="G876" s="0" t="n">
        <v>18249</v>
      </c>
      <c r="H876" s="3" t="s">
        <v>14</v>
      </c>
      <c r="I876" s="4" t="n">
        <f aca="false">D876*F876</f>
        <v>8.48</v>
      </c>
      <c r="J876" s="3" t="n">
        <f aca="false">IF(AND(LEFT(A876,1)&lt;&gt;"C",D876&gt;0,F876&gt;0),1,0)</f>
        <v>1</v>
      </c>
      <c r="K876" s="3" t="n">
        <f aca="false">IF(AND(H876="United Kingdom",G876&lt;&gt;"",COUNTIFS($G$2:G876,G876,$H$2:H876,"United Kingdom")=1),1,0)</f>
        <v>0</v>
      </c>
    </row>
    <row r="877" customFormat="false" ht="15" hidden="false" customHeight="false" outlineLevel="0" collapsed="false">
      <c r="A877" s="0" t="s">
        <v>243</v>
      </c>
      <c r="B877" s="0" t="s">
        <v>48</v>
      </c>
      <c r="C877" s="0" t="s">
        <v>49</v>
      </c>
      <c r="D877" s="0" t="n">
        <v>3</v>
      </c>
      <c r="E877" s="2" t="n">
        <v>40608.5041666667</v>
      </c>
      <c r="F877" s="0" t="n">
        <v>1.35</v>
      </c>
      <c r="G877" s="0" t="n">
        <v>15108</v>
      </c>
      <c r="H877" s="3" t="s">
        <v>14</v>
      </c>
      <c r="I877" s="4" t="n">
        <f aca="false">D877*F877</f>
        <v>4.05</v>
      </c>
      <c r="J877" s="3" t="n">
        <f aca="false">IF(AND(LEFT(A877,1)&lt;&gt;"C",D877&gt;0,F877&gt;0),1,0)</f>
        <v>1</v>
      </c>
      <c r="K877" s="3" t="n">
        <f aca="false">IF(AND(H877="United Kingdom",G877&lt;&gt;"",COUNTIFS($G$2:G877,G877,$H$2:H877,"United Kingdom")=1),1,0)</f>
        <v>0</v>
      </c>
    </row>
    <row r="878" customFormat="false" ht="15" hidden="false" customHeight="false" outlineLevel="0" collapsed="false">
      <c r="A878" s="0" t="s">
        <v>243</v>
      </c>
      <c r="B878" s="0" t="s">
        <v>39</v>
      </c>
      <c r="C878" s="0" t="s">
        <v>40</v>
      </c>
      <c r="D878" s="0" t="n">
        <v>2</v>
      </c>
      <c r="E878" s="2" t="n">
        <v>40608.5041666667</v>
      </c>
      <c r="F878" s="0" t="n">
        <v>2.58</v>
      </c>
      <c r="G878" s="0" t="n">
        <v>15108</v>
      </c>
      <c r="H878" s="3" t="s">
        <v>14</v>
      </c>
      <c r="I878" s="4" t="n">
        <f aca="false">D878*F878</f>
        <v>5.16</v>
      </c>
      <c r="J878" s="3" t="n">
        <f aca="false">IF(AND(LEFT(A878,1)&lt;&gt;"C",D878&gt;0,F878&gt;0),1,0)</f>
        <v>1</v>
      </c>
      <c r="K878" s="3" t="n">
        <f aca="false">IF(AND(H878="United Kingdom",G878&lt;&gt;"",COUNTIFS($G$2:G878,G878,$H$2:H878,"United Kingdom")=1),1,0)</f>
        <v>0</v>
      </c>
    </row>
    <row r="879" customFormat="false" ht="15" hidden="false" customHeight="false" outlineLevel="0" collapsed="false">
      <c r="A879" s="0" t="s">
        <v>244</v>
      </c>
      <c r="B879" s="0" t="s">
        <v>27</v>
      </c>
      <c r="C879" s="0" t="s">
        <v>28</v>
      </c>
      <c r="D879" s="0" t="n">
        <v>4</v>
      </c>
      <c r="E879" s="2" t="n">
        <v>40608.5958333333</v>
      </c>
      <c r="F879" s="0" t="n">
        <v>4.55</v>
      </c>
      <c r="G879" s="0" t="n">
        <v>12810</v>
      </c>
      <c r="H879" s="3" t="s">
        <v>14</v>
      </c>
      <c r="I879" s="4" t="n">
        <f aca="false">D879*F879</f>
        <v>18.2</v>
      </c>
      <c r="J879" s="3" t="n">
        <f aca="false">IF(AND(LEFT(A879,1)&lt;&gt;"C",D879&gt;0,F879&gt;0),1,0)</f>
        <v>1</v>
      </c>
      <c r="K879" s="3" t="n">
        <f aca="false">IF(AND(H879="United Kingdom",G879&lt;&gt;"",COUNTIFS($G$2:G879,G879,$H$2:H879,"United Kingdom")=1),1,0)</f>
        <v>0</v>
      </c>
    </row>
    <row r="880" customFormat="false" ht="15" hidden="false" customHeight="false" outlineLevel="0" collapsed="false">
      <c r="A880" s="0" t="s">
        <v>245</v>
      </c>
      <c r="B880" s="0" t="s">
        <v>68</v>
      </c>
      <c r="C880" s="0" t="s">
        <v>69</v>
      </c>
      <c r="D880" s="0" t="n">
        <v>8</v>
      </c>
      <c r="E880" s="2" t="n">
        <v>40609.6111111111</v>
      </c>
      <c r="F880" s="0" t="n">
        <v>1.26</v>
      </c>
      <c r="G880" s="0" t="n">
        <v>18051</v>
      </c>
      <c r="H880" s="3" t="s">
        <v>14</v>
      </c>
      <c r="I880" s="4" t="n">
        <f aca="false">D880*F880</f>
        <v>10.08</v>
      </c>
      <c r="J880" s="3" t="n">
        <f aca="false">IF(AND(LEFT(A880,1)&lt;&gt;"C",D880&gt;0,F880&gt;0),1,0)</f>
        <v>1</v>
      </c>
      <c r="K880" s="3" t="n">
        <f aca="false">IF(AND(H880="United Kingdom",G880&lt;&gt;"",COUNTIFS($G$2:G880,G880,$H$2:H880,"United Kingdom")=1),1,0)</f>
        <v>1</v>
      </c>
    </row>
    <row r="881" customFormat="false" ht="15" hidden="false" customHeight="false" outlineLevel="0" collapsed="false">
      <c r="A881" s="0" t="s">
        <v>245</v>
      </c>
      <c r="B881" s="0" t="s">
        <v>113</v>
      </c>
      <c r="C881" s="0" t="s">
        <v>114</v>
      </c>
      <c r="D881" s="0" t="n">
        <v>2</v>
      </c>
      <c r="E881" s="2" t="n">
        <v>40609.6111111111</v>
      </c>
      <c r="F881" s="0" t="n">
        <v>3.57</v>
      </c>
      <c r="G881" s="0" t="n">
        <v>18051</v>
      </c>
      <c r="H881" s="3" t="s">
        <v>14</v>
      </c>
      <c r="I881" s="4" t="n">
        <f aca="false">D881*F881</f>
        <v>7.14</v>
      </c>
      <c r="J881" s="3" t="n">
        <f aca="false">IF(AND(LEFT(A881,1)&lt;&gt;"C",D881&gt;0,F881&gt;0),1,0)</f>
        <v>1</v>
      </c>
      <c r="K881" s="3" t="n">
        <f aca="false">IF(AND(H881="United Kingdom",G881&lt;&gt;"",COUNTIFS($G$2:G881,G881,$H$2:H881,"United Kingdom")=1),1,0)</f>
        <v>0</v>
      </c>
    </row>
    <row r="882" customFormat="false" ht="15" hidden="false" customHeight="false" outlineLevel="0" collapsed="false">
      <c r="A882" s="0" t="s">
        <v>245</v>
      </c>
      <c r="B882" s="0" t="s">
        <v>80</v>
      </c>
      <c r="C882" s="0" t="s">
        <v>81</v>
      </c>
      <c r="D882" s="0" t="n">
        <v>2</v>
      </c>
      <c r="E882" s="2" t="n">
        <v>40609.6111111111</v>
      </c>
      <c r="F882" s="0" t="n">
        <v>1.53</v>
      </c>
      <c r="G882" s="0" t="n">
        <v>18051</v>
      </c>
      <c r="H882" s="3" t="s">
        <v>14</v>
      </c>
      <c r="I882" s="4" t="n">
        <f aca="false">D882*F882</f>
        <v>3.06</v>
      </c>
      <c r="J882" s="3" t="n">
        <f aca="false">IF(AND(LEFT(A882,1)&lt;&gt;"C",D882&gt;0,F882&gt;0),1,0)</f>
        <v>1</v>
      </c>
      <c r="K882" s="3" t="n">
        <f aca="false">IF(AND(H882="United Kingdom",G882&lt;&gt;"",COUNTIFS($G$2:G882,G882,$H$2:H882,"United Kingdom")=1),1,0)</f>
        <v>0</v>
      </c>
    </row>
    <row r="883" customFormat="false" ht="15" hidden="false" customHeight="false" outlineLevel="0" collapsed="false">
      <c r="A883" s="0" t="s">
        <v>245</v>
      </c>
      <c r="B883" s="0" t="s">
        <v>34</v>
      </c>
      <c r="C883" s="0" t="s">
        <v>35</v>
      </c>
      <c r="D883" s="0" t="n">
        <v>3</v>
      </c>
      <c r="E883" s="2" t="n">
        <v>40609.6111111111</v>
      </c>
      <c r="F883" s="0" t="n">
        <v>2.38</v>
      </c>
      <c r="G883" s="0" t="n">
        <v>18051</v>
      </c>
      <c r="H883" s="3" t="s">
        <v>14</v>
      </c>
      <c r="I883" s="4" t="n">
        <f aca="false">D883*F883</f>
        <v>7.14</v>
      </c>
      <c r="J883" s="3" t="n">
        <f aca="false">IF(AND(LEFT(A883,1)&lt;&gt;"C",D883&gt;0,F883&gt;0),1,0)</f>
        <v>1</v>
      </c>
      <c r="K883" s="3" t="n">
        <f aca="false">IF(AND(H883="United Kingdom",G883&lt;&gt;"",COUNTIFS($G$2:G883,G883,$H$2:H883,"United Kingdom")=1),1,0)</f>
        <v>0</v>
      </c>
    </row>
    <row r="884" customFormat="false" ht="15" hidden="false" customHeight="false" outlineLevel="0" collapsed="false">
      <c r="A884" s="0" t="s">
        <v>246</v>
      </c>
      <c r="B884" s="0" t="s">
        <v>58</v>
      </c>
      <c r="C884" s="0" t="s">
        <v>59</v>
      </c>
      <c r="D884" s="0" t="n">
        <v>2</v>
      </c>
      <c r="E884" s="2" t="n">
        <v>40610.4215277778</v>
      </c>
      <c r="F884" s="0" t="n">
        <v>2.16</v>
      </c>
      <c r="G884" s="0" t="n">
        <v>14986</v>
      </c>
      <c r="H884" s="3" t="s">
        <v>14</v>
      </c>
      <c r="I884" s="4" t="n">
        <f aca="false">D884*F884</f>
        <v>4.32</v>
      </c>
      <c r="J884" s="3" t="n">
        <f aca="false">IF(AND(LEFT(A884,1)&lt;&gt;"C",D884&gt;0,F884&gt;0),1,0)</f>
        <v>1</v>
      </c>
      <c r="K884" s="3" t="n">
        <f aca="false">IF(AND(H884="United Kingdom",G884&lt;&gt;"",COUNTIFS($G$2:G884,G884,$H$2:H884,"United Kingdom")=1),1,0)</f>
        <v>1</v>
      </c>
    </row>
    <row r="885" customFormat="false" ht="15" hidden="false" customHeight="false" outlineLevel="0" collapsed="false">
      <c r="A885" s="0" t="s">
        <v>246</v>
      </c>
      <c r="B885" s="0" t="s">
        <v>32</v>
      </c>
      <c r="C885" s="0" t="s">
        <v>33</v>
      </c>
      <c r="D885" s="0" t="n">
        <v>1</v>
      </c>
      <c r="E885" s="2" t="n">
        <v>40610.4215277778</v>
      </c>
      <c r="F885" s="0" t="n">
        <v>1.19</v>
      </c>
      <c r="G885" s="0" t="n">
        <v>14986</v>
      </c>
      <c r="H885" s="3" t="s">
        <v>14</v>
      </c>
      <c r="I885" s="4" t="n">
        <f aca="false">D885*F885</f>
        <v>1.19</v>
      </c>
      <c r="J885" s="3" t="n">
        <f aca="false">IF(AND(LEFT(A885,1)&lt;&gt;"C",D885&gt;0,F885&gt;0),1,0)</f>
        <v>1</v>
      </c>
      <c r="K885" s="3" t="n">
        <f aca="false">IF(AND(H885="United Kingdom",G885&lt;&gt;"",COUNTIFS($G$2:G885,G885,$H$2:H885,"United Kingdom")=1),1,0)</f>
        <v>0</v>
      </c>
    </row>
    <row r="886" customFormat="false" ht="15" hidden="false" customHeight="false" outlineLevel="0" collapsed="false">
      <c r="A886" s="0" t="s">
        <v>247</v>
      </c>
      <c r="B886" s="0" t="s">
        <v>54</v>
      </c>
      <c r="C886" s="0" t="s">
        <v>55</v>
      </c>
      <c r="D886" s="0" t="n">
        <v>6</v>
      </c>
      <c r="E886" s="2" t="n">
        <v>40611.3784722222</v>
      </c>
      <c r="F886" s="0" t="n">
        <v>0.99</v>
      </c>
      <c r="G886" s="0" t="n">
        <v>16884</v>
      </c>
      <c r="H886" s="3" t="s">
        <v>14</v>
      </c>
      <c r="I886" s="4" t="n">
        <f aca="false">D886*F886</f>
        <v>5.94</v>
      </c>
      <c r="J886" s="3" t="n">
        <f aca="false">IF(AND(LEFT(A886,1)&lt;&gt;"C",D886&gt;0,F886&gt;0),1,0)</f>
        <v>1</v>
      </c>
      <c r="K886" s="3" t="n">
        <f aca="false">IF(AND(H886="United Kingdom",G886&lt;&gt;"",COUNTIFS($G$2:G886,G886,$H$2:H886,"United Kingdom")=1),1,0)</f>
        <v>1</v>
      </c>
    </row>
    <row r="887" customFormat="false" ht="15" hidden="false" customHeight="false" outlineLevel="0" collapsed="false">
      <c r="A887" s="0" t="s">
        <v>247</v>
      </c>
      <c r="B887" s="0" t="s">
        <v>72</v>
      </c>
      <c r="C887" s="0" t="s">
        <v>73</v>
      </c>
      <c r="D887" s="0" t="n">
        <v>8</v>
      </c>
      <c r="E887" s="2" t="n">
        <v>40611.3784722222</v>
      </c>
      <c r="F887" s="0" t="n">
        <v>2.69</v>
      </c>
      <c r="G887" s="0" t="n">
        <v>16884</v>
      </c>
      <c r="H887" s="3" t="s">
        <v>14</v>
      </c>
      <c r="I887" s="4" t="n">
        <f aca="false">D887*F887</f>
        <v>21.52</v>
      </c>
      <c r="J887" s="3" t="n">
        <f aca="false">IF(AND(LEFT(A887,1)&lt;&gt;"C",D887&gt;0,F887&gt;0),1,0)</f>
        <v>1</v>
      </c>
      <c r="K887" s="3" t="n">
        <f aca="false">IF(AND(H887="United Kingdom",G887&lt;&gt;"",COUNTIFS($G$2:G887,G887,$H$2:H887,"United Kingdom")=1),1,0)</f>
        <v>0</v>
      </c>
    </row>
    <row r="888" customFormat="false" ht="15" hidden="false" customHeight="false" outlineLevel="0" collapsed="false">
      <c r="A888" s="0" t="s">
        <v>248</v>
      </c>
      <c r="B888" s="0" t="s">
        <v>50</v>
      </c>
      <c r="C888" s="0" t="s">
        <v>51</v>
      </c>
      <c r="D888" s="0" t="n">
        <v>4</v>
      </c>
      <c r="E888" s="2" t="n">
        <v>40612.6722222222</v>
      </c>
      <c r="F888" s="0" t="n">
        <v>5.41</v>
      </c>
      <c r="G888" s="0" t="n">
        <v>13721</v>
      </c>
      <c r="H888" s="3" t="s">
        <v>14</v>
      </c>
      <c r="I888" s="4" t="n">
        <f aca="false">D888*F888</f>
        <v>21.64</v>
      </c>
      <c r="J888" s="3" t="n">
        <f aca="false">IF(AND(LEFT(A888,1)&lt;&gt;"C",D888&gt;0,F888&gt;0),1,0)</f>
        <v>1</v>
      </c>
      <c r="K888" s="3" t="n">
        <f aca="false">IF(AND(H888="United Kingdom",G888&lt;&gt;"",COUNTIFS($G$2:G888,G888,$H$2:H888,"United Kingdom")=1),1,0)</f>
        <v>0</v>
      </c>
    </row>
    <row r="889" customFormat="false" ht="15" hidden="false" customHeight="false" outlineLevel="0" collapsed="false">
      <c r="A889" s="0" t="s">
        <v>248</v>
      </c>
      <c r="B889" s="0" t="s">
        <v>25</v>
      </c>
      <c r="C889" s="0" t="s">
        <v>26</v>
      </c>
      <c r="D889" s="0" t="n">
        <v>2</v>
      </c>
      <c r="E889" s="2" t="n">
        <v>40612.6722222222</v>
      </c>
      <c r="F889" s="0" t="n">
        <v>2.21</v>
      </c>
      <c r="G889" s="0" t="n">
        <v>13721</v>
      </c>
      <c r="H889" s="3" t="s">
        <v>14</v>
      </c>
      <c r="I889" s="4" t="n">
        <f aca="false">D889*F889</f>
        <v>4.42</v>
      </c>
      <c r="J889" s="3" t="n">
        <f aca="false">IF(AND(LEFT(A889,1)&lt;&gt;"C",D889&gt;0,F889&gt;0),1,0)</f>
        <v>1</v>
      </c>
      <c r="K889" s="3" t="n">
        <f aca="false">IF(AND(H889="United Kingdom",G889&lt;&gt;"",COUNTIFS($G$2:G889,G889,$H$2:H889,"United Kingdom")=1),1,0)</f>
        <v>0</v>
      </c>
    </row>
    <row r="890" customFormat="false" ht="15" hidden="false" customHeight="false" outlineLevel="0" collapsed="false">
      <c r="A890" s="0" t="s">
        <v>248</v>
      </c>
      <c r="B890" s="0" t="s">
        <v>34</v>
      </c>
      <c r="C890" s="0" t="s">
        <v>35</v>
      </c>
      <c r="D890" s="0" t="n">
        <v>2</v>
      </c>
      <c r="E890" s="2" t="n">
        <v>40612.6722222222</v>
      </c>
      <c r="F890" s="0" t="n">
        <v>2.38</v>
      </c>
      <c r="G890" s="0" t="n">
        <v>13721</v>
      </c>
      <c r="H890" s="3" t="s">
        <v>14</v>
      </c>
      <c r="I890" s="4" t="n">
        <f aca="false">D890*F890</f>
        <v>4.76</v>
      </c>
      <c r="J890" s="3" t="n">
        <f aca="false">IF(AND(LEFT(A890,1)&lt;&gt;"C",D890&gt;0,F890&gt;0),1,0)</f>
        <v>1</v>
      </c>
      <c r="K890" s="3" t="n">
        <f aca="false">IF(AND(H890="United Kingdom",G890&lt;&gt;"",COUNTIFS($G$2:G890,G890,$H$2:H890,"United Kingdom")=1),1,0)</f>
        <v>0</v>
      </c>
    </row>
    <row r="891" customFormat="false" ht="15" hidden="false" customHeight="false" outlineLevel="0" collapsed="false">
      <c r="A891" s="0" t="s">
        <v>248</v>
      </c>
      <c r="B891" s="0" t="s">
        <v>75</v>
      </c>
      <c r="C891" s="0" t="s">
        <v>76</v>
      </c>
      <c r="D891" s="0" t="n">
        <v>2</v>
      </c>
      <c r="E891" s="2" t="n">
        <v>40612.6722222222</v>
      </c>
      <c r="F891" s="0" t="n">
        <v>1.97</v>
      </c>
      <c r="G891" s="0" t="n">
        <v>13721</v>
      </c>
      <c r="H891" s="3" t="s">
        <v>14</v>
      </c>
      <c r="I891" s="4" t="n">
        <f aca="false">D891*F891</f>
        <v>3.94</v>
      </c>
      <c r="J891" s="3" t="n">
        <f aca="false">IF(AND(LEFT(A891,1)&lt;&gt;"C",D891&gt;0,F891&gt;0),1,0)</f>
        <v>1</v>
      </c>
      <c r="K891" s="3" t="n">
        <f aca="false">IF(AND(H891="United Kingdom",G891&lt;&gt;"",COUNTIFS($G$2:G891,G891,$H$2:H891,"United Kingdom")=1),1,0)</f>
        <v>0</v>
      </c>
    </row>
    <row r="892" customFormat="false" ht="15" hidden="false" customHeight="false" outlineLevel="0" collapsed="false">
      <c r="A892" s="0" t="s">
        <v>248</v>
      </c>
      <c r="B892" s="0" t="s">
        <v>60</v>
      </c>
      <c r="C892" s="0" t="s">
        <v>61</v>
      </c>
      <c r="D892" s="0" t="n">
        <v>1</v>
      </c>
      <c r="E892" s="2" t="n">
        <v>40612.6722222222</v>
      </c>
      <c r="F892" s="0" t="n">
        <v>0.63</v>
      </c>
      <c r="G892" s="0" t="n">
        <v>13721</v>
      </c>
      <c r="H892" s="3" t="s">
        <v>14</v>
      </c>
      <c r="I892" s="4" t="n">
        <f aca="false">D892*F892</f>
        <v>0.63</v>
      </c>
      <c r="J892" s="3" t="n">
        <f aca="false">IF(AND(LEFT(A892,1)&lt;&gt;"C",D892&gt;0,F892&gt;0),1,0)</f>
        <v>1</v>
      </c>
      <c r="K892" s="3" t="n">
        <f aca="false">IF(AND(H892="United Kingdom",G892&lt;&gt;"",COUNTIFS($G$2:G892,G892,$H$2:H892,"United Kingdom")=1),1,0)</f>
        <v>0</v>
      </c>
    </row>
    <row r="893" customFormat="false" ht="15" hidden="false" customHeight="false" outlineLevel="0" collapsed="false">
      <c r="A893" s="0" t="s">
        <v>248</v>
      </c>
      <c r="B893" s="0" t="s">
        <v>29</v>
      </c>
      <c r="C893" s="0" t="s">
        <v>30</v>
      </c>
      <c r="D893" s="0" t="n">
        <v>1</v>
      </c>
      <c r="E893" s="2" t="n">
        <v>40612.6722222222</v>
      </c>
      <c r="F893" s="0" t="n">
        <v>5.79</v>
      </c>
      <c r="G893" s="0" t="n">
        <v>13721</v>
      </c>
      <c r="H893" s="3" t="s">
        <v>14</v>
      </c>
      <c r="I893" s="4" t="n">
        <f aca="false">D893*F893</f>
        <v>5.79</v>
      </c>
      <c r="J893" s="3" t="n">
        <f aca="false">IF(AND(LEFT(A893,1)&lt;&gt;"C",D893&gt;0,F893&gt;0),1,0)</f>
        <v>1</v>
      </c>
      <c r="K893" s="3" t="n">
        <f aca="false">IF(AND(H893="United Kingdom",G893&lt;&gt;"",COUNTIFS($G$2:G893,G893,$H$2:H893,"United Kingdom")=1),1,0)</f>
        <v>0</v>
      </c>
    </row>
    <row r="894" customFormat="false" ht="15" hidden="false" customHeight="false" outlineLevel="0" collapsed="false">
      <c r="A894" s="0" t="s">
        <v>248</v>
      </c>
      <c r="B894" s="0" t="s">
        <v>52</v>
      </c>
      <c r="C894" s="0" t="s">
        <v>53</v>
      </c>
      <c r="D894" s="0" t="n">
        <v>16</v>
      </c>
      <c r="E894" s="2" t="n">
        <v>40612.6722222222</v>
      </c>
      <c r="F894" s="0" t="n">
        <v>4.16</v>
      </c>
      <c r="G894" s="0" t="n">
        <v>13721</v>
      </c>
      <c r="H894" s="3" t="s">
        <v>14</v>
      </c>
      <c r="I894" s="4" t="n">
        <f aca="false">D894*F894</f>
        <v>66.56</v>
      </c>
      <c r="J894" s="3" t="n">
        <f aca="false">IF(AND(LEFT(A894,1)&lt;&gt;"C",D894&gt;0,F894&gt;0),1,0)</f>
        <v>1</v>
      </c>
      <c r="K894" s="3" t="n">
        <f aca="false">IF(AND(H894="United Kingdom",G894&lt;&gt;"",COUNTIFS($G$2:G894,G894,$H$2:H894,"United Kingdom")=1),1,0)</f>
        <v>0</v>
      </c>
    </row>
    <row r="895" customFormat="false" ht="15" hidden="false" customHeight="false" outlineLevel="0" collapsed="false">
      <c r="A895" s="0" t="s">
        <v>248</v>
      </c>
      <c r="B895" s="0" t="s">
        <v>80</v>
      </c>
      <c r="C895" s="0" t="s">
        <v>81</v>
      </c>
      <c r="D895" s="0" t="n">
        <v>2</v>
      </c>
      <c r="E895" s="2" t="n">
        <v>40612.6722222222</v>
      </c>
      <c r="F895" s="0" t="n">
        <v>1.53</v>
      </c>
      <c r="G895" s="0" t="n">
        <v>13721</v>
      </c>
      <c r="H895" s="3" t="s">
        <v>14</v>
      </c>
      <c r="I895" s="4" t="n">
        <f aca="false">D895*F895</f>
        <v>3.06</v>
      </c>
      <c r="J895" s="3" t="n">
        <f aca="false">IF(AND(LEFT(A895,1)&lt;&gt;"C",D895&gt;0,F895&gt;0),1,0)</f>
        <v>1</v>
      </c>
      <c r="K895" s="3" t="n">
        <f aca="false">IF(AND(H895="United Kingdom",G895&lt;&gt;"",COUNTIFS($G$2:G895,G895,$H$2:H895,"United Kingdom")=1),1,0)</f>
        <v>0</v>
      </c>
    </row>
    <row r="896" customFormat="false" ht="15" hidden="false" customHeight="false" outlineLevel="0" collapsed="false">
      <c r="A896" s="0" t="s">
        <v>248</v>
      </c>
      <c r="B896" s="0" t="s">
        <v>22</v>
      </c>
      <c r="C896" s="0" t="s">
        <v>23</v>
      </c>
      <c r="D896" s="0" t="n">
        <v>12</v>
      </c>
      <c r="E896" s="2" t="n">
        <v>40612.6722222222</v>
      </c>
      <c r="F896" s="0" t="n">
        <v>3.18</v>
      </c>
      <c r="G896" s="0" t="n">
        <v>13721</v>
      </c>
      <c r="H896" s="3" t="s">
        <v>14</v>
      </c>
      <c r="I896" s="4" t="n">
        <f aca="false">D896*F896</f>
        <v>38.16</v>
      </c>
      <c r="J896" s="3" t="n">
        <f aca="false">IF(AND(LEFT(A896,1)&lt;&gt;"C",D896&gt;0,F896&gt;0),1,0)</f>
        <v>1</v>
      </c>
      <c r="K896" s="3" t="n">
        <f aca="false">IF(AND(H896="United Kingdom",G896&lt;&gt;"",COUNTIFS($G$2:G896,G896,$H$2:H896,"United Kingdom")=1),1,0)</f>
        <v>0</v>
      </c>
    </row>
    <row r="897" customFormat="false" ht="15" hidden="false" customHeight="false" outlineLevel="0" collapsed="false">
      <c r="A897" s="0" t="s">
        <v>248</v>
      </c>
      <c r="B897" s="0" t="s">
        <v>20</v>
      </c>
      <c r="C897" s="0" t="s">
        <v>21</v>
      </c>
      <c r="D897" s="0" t="n">
        <v>2</v>
      </c>
      <c r="E897" s="2" t="n">
        <v>40612.6722222222</v>
      </c>
      <c r="F897" s="0" t="n">
        <v>4.24</v>
      </c>
      <c r="G897" s="0" t="n">
        <v>13721</v>
      </c>
      <c r="H897" s="3" t="s">
        <v>14</v>
      </c>
      <c r="I897" s="4" t="n">
        <f aca="false">D897*F897</f>
        <v>8.48</v>
      </c>
      <c r="J897" s="3" t="n">
        <f aca="false">IF(AND(LEFT(A897,1)&lt;&gt;"C",D897&gt;0,F897&gt;0),1,0)</f>
        <v>1</v>
      </c>
      <c r="K897" s="3" t="n">
        <f aca="false">IF(AND(H897="United Kingdom",G897&lt;&gt;"",COUNTIFS($G$2:G897,G897,$H$2:H897,"United Kingdom")=1),1,0)</f>
        <v>0</v>
      </c>
    </row>
    <row r="898" customFormat="false" ht="15" hidden="false" customHeight="false" outlineLevel="0" collapsed="false">
      <c r="A898" s="0" t="s">
        <v>249</v>
      </c>
      <c r="B898" s="0" t="s">
        <v>20</v>
      </c>
      <c r="C898" s="0" t="s">
        <v>21</v>
      </c>
      <c r="D898" s="0" t="n">
        <v>3</v>
      </c>
      <c r="E898" s="2" t="n">
        <v>40614.8263888889</v>
      </c>
      <c r="F898" s="0" t="n">
        <v>4.24</v>
      </c>
      <c r="G898" s="0" t="n">
        <v>16324</v>
      </c>
      <c r="H898" s="3" t="s">
        <v>14</v>
      </c>
      <c r="I898" s="4" t="n">
        <f aca="false">D898*F898</f>
        <v>12.72</v>
      </c>
      <c r="J898" s="3" t="n">
        <f aca="false">IF(AND(LEFT(A898,1)&lt;&gt;"C",D898&gt;0,F898&gt;0),1,0)</f>
        <v>1</v>
      </c>
      <c r="K898" s="3" t="n">
        <f aca="false">IF(AND(H898="United Kingdom",G898&lt;&gt;"",COUNTIFS($G$2:G898,G898,$H$2:H898,"United Kingdom")=1),1,0)</f>
        <v>0</v>
      </c>
    </row>
    <row r="899" customFormat="false" ht="15" hidden="false" customHeight="false" outlineLevel="0" collapsed="false">
      <c r="A899" s="0" t="s">
        <v>249</v>
      </c>
      <c r="B899" s="0" t="s">
        <v>45</v>
      </c>
      <c r="C899" s="0" t="s">
        <v>46</v>
      </c>
      <c r="D899" s="0" t="n">
        <v>6</v>
      </c>
      <c r="E899" s="2" t="n">
        <v>40614.8263888889</v>
      </c>
      <c r="F899" s="0" t="n">
        <v>4.55</v>
      </c>
      <c r="G899" s="0" t="n">
        <v>16324</v>
      </c>
      <c r="H899" s="3" t="s">
        <v>14</v>
      </c>
      <c r="I899" s="4" t="n">
        <f aca="false">D899*F899</f>
        <v>27.3</v>
      </c>
      <c r="J899" s="3" t="n">
        <f aca="false">IF(AND(LEFT(A899,1)&lt;&gt;"C",D899&gt;0,F899&gt;0),1,0)</f>
        <v>1</v>
      </c>
      <c r="K899" s="3" t="n">
        <f aca="false">IF(AND(H899="United Kingdom",G899&lt;&gt;"",COUNTIFS($G$2:G899,G899,$H$2:H899,"United Kingdom")=1),1,0)</f>
        <v>0</v>
      </c>
    </row>
    <row r="900" customFormat="false" ht="15" hidden="false" customHeight="false" outlineLevel="0" collapsed="false">
      <c r="A900" s="0" t="s">
        <v>249</v>
      </c>
      <c r="B900" s="0" t="s">
        <v>80</v>
      </c>
      <c r="C900" s="0" t="s">
        <v>81</v>
      </c>
      <c r="D900" s="0" t="n">
        <v>12</v>
      </c>
      <c r="E900" s="2" t="n">
        <v>40614.8263888889</v>
      </c>
      <c r="F900" s="0" t="n">
        <v>1.53</v>
      </c>
      <c r="G900" s="0" t="n">
        <v>16324</v>
      </c>
      <c r="H900" s="3" t="s">
        <v>14</v>
      </c>
      <c r="I900" s="4" t="n">
        <f aca="false">D900*F900</f>
        <v>18.36</v>
      </c>
      <c r="J900" s="3" t="n">
        <f aca="false">IF(AND(LEFT(A900,1)&lt;&gt;"C",D900&gt;0,F900&gt;0),1,0)</f>
        <v>1</v>
      </c>
      <c r="K900" s="3" t="n">
        <f aca="false">IF(AND(H900="United Kingdom",G900&lt;&gt;"",COUNTIFS($G$2:G900,G900,$H$2:H900,"United Kingdom")=1),1,0)</f>
        <v>0</v>
      </c>
    </row>
    <row r="901" customFormat="false" ht="15" hidden="false" customHeight="false" outlineLevel="0" collapsed="false">
      <c r="A901" s="0" t="s">
        <v>249</v>
      </c>
      <c r="B901" s="0" t="s">
        <v>72</v>
      </c>
      <c r="C901" s="0" t="s">
        <v>73</v>
      </c>
      <c r="D901" s="0" t="n">
        <v>2</v>
      </c>
      <c r="E901" s="2" t="n">
        <v>40614.8263888889</v>
      </c>
      <c r="F901" s="0" t="n">
        <v>2.69</v>
      </c>
      <c r="G901" s="0" t="n">
        <v>16324</v>
      </c>
      <c r="H901" s="3" t="s">
        <v>14</v>
      </c>
      <c r="I901" s="4" t="n">
        <f aca="false">D901*F901</f>
        <v>5.38</v>
      </c>
      <c r="J901" s="3" t="n">
        <f aca="false">IF(AND(LEFT(A901,1)&lt;&gt;"C",D901&gt;0,F901&gt;0),1,0)</f>
        <v>1</v>
      </c>
      <c r="K901" s="3" t="n">
        <f aca="false">IF(AND(H901="United Kingdom",G901&lt;&gt;"",COUNTIFS($G$2:G901,G901,$H$2:H901,"United Kingdom")=1),1,0)</f>
        <v>0</v>
      </c>
    </row>
    <row r="902" customFormat="false" ht="15" hidden="false" customHeight="false" outlineLevel="0" collapsed="false">
      <c r="A902" s="0" t="s">
        <v>249</v>
      </c>
      <c r="B902" s="0" t="s">
        <v>25</v>
      </c>
      <c r="C902" s="0" t="s">
        <v>26</v>
      </c>
      <c r="D902" s="0" t="n">
        <v>1</v>
      </c>
      <c r="E902" s="2" t="n">
        <v>40614.8263888889</v>
      </c>
      <c r="F902" s="0" t="n">
        <v>2.21</v>
      </c>
      <c r="G902" s="0" t="n">
        <v>16324</v>
      </c>
      <c r="H902" s="3" t="s">
        <v>14</v>
      </c>
      <c r="I902" s="4" t="n">
        <f aca="false">D902*F902</f>
        <v>2.21</v>
      </c>
      <c r="J902" s="3" t="n">
        <f aca="false">IF(AND(LEFT(A902,1)&lt;&gt;"C",D902&gt;0,F902&gt;0),1,0)</f>
        <v>1</v>
      </c>
      <c r="K902" s="3" t="n">
        <f aca="false">IF(AND(H902="United Kingdom",G902&lt;&gt;"",COUNTIFS($G$2:G902,G902,$H$2:H902,"United Kingdom")=1),1,0)</f>
        <v>0</v>
      </c>
    </row>
    <row r="903" customFormat="false" ht="15" hidden="false" customHeight="false" outlineLevel="0" collapsed="false">
      <c r="A903" s="0" t="s">
        <v>250</v>
      </c>
      <c r="B903" s="0" t="s">
        <v>25</v>
      </c>
      <c r="C903" s="0" t="s">
        <v>26</v>
      </c>
      <c r="D903" s="0" t="n">
        <v>12</v>
      </c>
      <c r="E903" s="2" t="n">
        <v>40615.75625</v>
      </c>
      <c r="F903" s="0" t="n">
        <v>2.21</v>
      </c>
      <c r="G903" s="0" t="n">
        <v>13016</v>
      </c>
      <c r="H903" s="3" t="s">
        <v>14</v>
      </c>
      <c r="I903" s="4" t="n">
        <f aca="false">D903*F903</f>
        <v>26.52</v>
      </c>
      <c r="J903" s="3" t="n">
        <f aca="false">IF(AND(LEFT(A903,1)&lt;&gt;"C",D903&gt;0,F903&gt;0),1,0)</f>
        <v>1</v>
      </c>
      <c r="K903" s="3" t="n">
        <f aca="false">IF(AND(H903="United Kingdom",G903&lt;&gt;"",COUNTIFS($G$2:G903,G903,$H$2:H903,"United Kingdom")=1),1,0)</f>
        <v>0</v>
      </c>
    </row>
    <row r="904" customFormat="false" ht="15" hidden="false" customHeight="false" outlineLevel="0" collapsed="false">
      <c r="A904" s="0" t="s">
        <v>250</v>
      </c>
      <c r="B904" s="0" t="s">
        <v>12</v>
      </c>
      <c r="C904" s="0" t="s">
        <v>13</v>
      </c>
      <c r="D904" s="0" t="n">
        <v>1</v>
      </c>
      <c r="E904" s="2" t="n">
        <v>40615.75625</v>
      </c>
      <c r="F904" s="0" t="n">
        <v>3.33</v>
      </c>
      <c r="G904" s="0" t="n">
        <v>13016</v>
      </c>
      <c r="H904" s="3" t="s">
        <v>14</v>
      </c>
      <c r="I904" s="4" t="n">
        <f aca="false">D904*F904</f>
        <v>3.33</v>
      </c>
      <c r="J904" s="3" t="n">
        <f aca="false">IF(AND(LEFT(A904,1)&lt;&gt;"C",D904&gt;0,F904&gt;0),1,0)</f>
        <v>1</v>
      </c>
      <c r="K904" s="3" t="n">
        <f aca="false">IF(AND(H904="United Kingdom",G904&lt;&gt;"",COUNTIFS($G$2:G904,G904,$H$2:H904,"United Kingdom")=1),1,0)</f>
        <v>0</v>
      </c>
    </row>
    <row r="905" customFormat="false" ht="15" hidden="false" customHeight="false" outlineLevel="0" collapsed="false">
      <c r="A905" s="0" t="s">
        <v>250</v>
      </c>
      <c r="B905" s="0" t="s">
        <v>50</v>
      </c>
      <c r="C905" s="0" t="s">
        <v>51</v>
      </c>
      <c r="D905" s="0" t="n">
        <v>4</v>
      </c>
      <c r="E905" s="2" t="n">
        <v>40615.75625</v>
      </c>
      <c r="F905" s="0" t="n">
        <v>5.41</v>
      </c>
      <c r="G905" s="0" t="n">
        <v>13016</v>
      </c>
      <c r="H905" s="3" t="s">
        <v>14</v>
      </c>
      <c r="I905" s="4" t="n">
        <f aca="false">D905*F905</f>
        <v>21.64</v>
      </c>
      <c r="J905" s="3" t="n">
        <f aca="false">IF(AND(LEFT(A905,1)&lt;&gt;"C",D905&gt;0,F905&gt;0),1,0)</f>
        <v>1</v>
      </c>
      <c r="K905" s="3" t="n">
        <f aca="false">IF(AND(H905="United Kingdom",G905&lt;&gt;"",COUNTIFS($G$2:G905,G905,$H$2:H905,"United Kingdom")=1),1,0)</f>
        <v>0</v>
      </c>
    </row>
    <row r="906" customFormat="false" ht="15" hidden="false" customHeight="false" outlineLevel="0" collapsed="false">
      <c r="A906" s="0" t="s">
        <v>251</v>
      </c>
      <c r="B906" s="0" t="s">
        <v>113</v>
      </c>
      <c r="C906" s="0" t="s">
        <v>114</v>
      </c>
      <c r="D906" s="0" t="n">
        <v>2</v>
      </c>
      <c r="E906" s="2" t="n">
        <v>40619.625</v>
      </c>
      <c r="F906" s="0" t="n">
        <v>3.57</v>
      </c>
      <c r="G906" s="0" t="n">
        <v>12563</v>
      </c>
      <c r="H906" s="3" t="s">
        <v>14</v>
      </c>
      <c r="I906" s="4" t="n">
        <f aca="false">D906*F906</f>
        <v>7.14</v>
      </c>
      <c r="J906" s="3" t="n">
        <f aca="false">IF(AND(LEFT(A906,1)&lt;&gt;"C",D906&gt;0,F906&gt;0),1,0)</f>
        <v>1</v>
      </c>
      <c r="K906" s="3" t="n">
        <f aca="false">IF(AND(H906="United Kingdom",G906&lt;&gt;"",COUNTIFS($G$2:G906,G906,$H$2:H906,"United Kingdom")=1),1,0)</f>
        <v>1</v>
      </c>
    </row>
    <row r="907" customFormat="false" ht="15" hidden="false" customHeight="false" outlineLevel="0" collapsed="false">
      <c r="A907" s="0" t="s">
        <v>251</v>
      </c>
      <c r="B907" s="0" t="s">
        <v>29</v>
      </c>
      <c r="C907" s="0" t="s">
        <v>30</v>
      </c>
      <c r="D907" s="0" t="n">
        <v>3</v>
      </c>
      <c r="E907" s="2" t="n">
        <v>40619.625</v>
      </c>
      <c r="F907" s="0" t="n">
        <v>5.79</v>
      </c>
      <c r="G907" s="0" t="n">
        <v>12563</v>
      </c>
      <c r="H907" s="3" t="s">
        <v>14</v>
      </c>
      <c r="I907" s="4" t="n">
        <f aca="false">D907*F907</f>
        <v>17.37</v>
      </c>
      <c r="J907" s="3" t="n">
        <f aca="false">IF(AND(LEFT(A907,1)&lt;&gt;"C",D907&gt;0,F907&gt;0),1,0)</f>
        <v>1</v>
      </c>
      <c r="K907" s="3" t="n">
        <f aca="false">IF(AND(H907="United Kingdom",G907&lt;&gt;"",COUNTIFS($G$2:G907,G907,$H$2:H907,"United Kingdom")=1),1,0)</f>
        <v>0</v>
      </c>
    </row>
    <row r="908" customFormat="false" ht="15" hidden="false" customHeight="false" outlineLevel="0" collapsed="false">
      <c r="A908" s="0" t="s">
        <v>251</v>
      </c>
      <c r="B908" s="0" t="s">
        <v>68</v>
      </c>
      <c r="C908" s="0" t="s">
        <v>69</v>
      </c>
      <c r="D908" s="0" t="n">
        <v>12</v>
      </c>
      <c r="E908" s="2" t="n">
        <v>40619.625</v>
      </c>
      <c r="F908" s="0" t="n">
        <v>1.26</v>
      </c>
      <c r="G908" s="0" t="n">
        <v>12563</v>
      </c>
      <c r="H908" s="3" t="s">
        <v>14</v>
      </c>
      <c r="I908" s="4" t="n">
        <f aca="false">D908*F908</f>
        <v>15.12</v>
      </c>
      <c r="J908" s="3" t="n">
        <f aca="false">IF(AND(LEFT(A908,1)&lt;&gt;"C",D908&gt;0,F908&gt;0),1,0)</f>
        <v>1</v>
      </c>
      <c r="K908" s="3" t="n">
        <f aca="false">IF(AND(H908="United Kingdom",G908&lt;&gt;"",COUNTIFS($G$2:G908,G908,$H$2:H908,"United Kingdom")=1),1,0)</f>
        <v>0</v>
      </c>
    </row>
    <row r="909" customFormat="false" ht="15" hidden="false" customHeight="false" outlineLevel="0" collapsed="false">
      <c r="A909" s="0" t="s">
        <v>251</v>
      </c>
      <c r="B909" s="0" t="s">
        <v>52</v>
      </c>
      <c r="C909" s="0" t="s">
        <v>53</v>
      </c>
      <c r="D909" s="0" t="n">
        <v>4</v>
      </c>
      <c r="E909" s="2" t="n">
        <v>40619.625</v>
      </c>
      <c r="F909" s="0" t="n">
        <v>4.16</v>
      </c>
      <c r="G909" s="0" t="n">
        <v>12563</v>
      </c>
      <c r="H909" s="3" t="s">
        <v>14</v>
      </c>
      <c r="I909" s="4" t="n">
        <f aca="false">D909*F909</f>
        <v>16.64</v>
      </c>
      <c r="J909" s="3" t="n">
        <f aca="false">IF(AND(LEFT(A909,1)&lt;&gt;"C",D909&gt;0,F909&gt;0),1,0)</f>
        <v>1</v>
      </c>
      <c r="K909" s="3" t="n">
        <f aca="false">IF(AND(H909="United Kingdom",G909&lt;&gt;"",COUNTIFS($G$2:G909,G909,$H$2:H909,"United Kingdom")=1),1,0)</f>
        <v>0</v>
      </c>
    </row>
    <row r="910" customFormat="false" ht="15" hidden="false" customHeight="false" outlineLevel="0" collapsed="false">
      <c r="A910" s="0" t="s">
        <v>252</v>
      </c>
      <c r="B910" s="0" t="s">
        <v>63</v>
      </c>
      <c r="C910" s="0" t="s">
        <v>64</v>
      </c>
      <c r="D910" s="0" t="n">
        <v>24</v>
      </c>
      <c r="E910" s="2" t="n">
        <v>40620.3527777778</v>
      </c>
      <c r="F910" s="0" t="n">
        <v>2.43</v>
      </c>
      <c r="G910" s="0" t="n">
        <v>14129</v>
      </c>
      <c r="H910" s="3" t="s">
        <v>14</v>
      </c>
      <c r="I910" s="4" t="n">
        <f aca="false">D910*F910</f>
        <v>58.32</v>
      </c>
      <c r="J910" s="3" t="n">
        <f aca="false">IF(AND(LEFT(A910,1)&lt;&gt;"C",D910&gt;0,F910&gt;0),1,0)</f>
        <v>1</v>
      </c>
      <c r="K910" s="3" t="n">
        <f aca="false">IF(AND(H910="United Kingdom",G910&lt;&gt;"",COUNTIFS($G$2:G910,G910,$H$2:H910,"United Kingdom")=1),1,0)</f>
        <v>1</v>
      </c>
    </row>
    <row r="911" customFormat="false" ht="15" hidden="false" customHeight="false" outlineLevel="0" collapsed="false">
      <c r="A911" s="0" t="s">
        <v>252</v>
      </c>
      <c r="B911" s="0" t="s">
        <v>34</v>
      </c>
      <c r="C911" s="0" t="s">
        <v>35</v>
      </c>
      <c r="D911" s="0" t="n">
        <v>48</v>
      </c>
      <c r="E911" s="2" t="n">
        <v>40620.3527777778</v>
      </c>
      <c r="F911" s="0" t="n">
        <v>2.38</v>
      </c>
      <c r="G911" s="0" t="n">
        <v>14129</v>
      </c>
      <c r="H911" s="3" t="s">
        <v>14</v>
      </c>
      <c r="I911" s="4" t="n">
        <f aca="false">D911*F911</f>
        <v>114.24</v>
      </c>
      <c r="J911" s="3" t="n">
        <f aca="false">IF(AND(LEFT(A911,1)&lt;&gt;"C",D911&gt;0,F911&gt;0),1,0)</f>
        <v>1</v>
      </c>
      <c r="K911" s="3" t="n">
        <f aca="false">IF(AND(H911="United Kingdom",G911&lt;&gt;"",COUNTIFS($G$2:G911,G911,$H$2:H911,"United Kingdom")=1),1,0)</f>
        <v>0</v>
      </c>
    </row>
    <row r="912" customFormat="false" ht="15" hidden="false" customHeight="false" outlineLevel="0" collapsed="false">
      <c r="A912" s="0" t="s">
        <v>253</v>
      </c>
      <c r="B912" s="0" t="s">
        <v>39</v>
      </c>
      <c r="C912" s="0" t="s">
        <v>40</v>
      </c>
      <c r="D912" s="0" t="n">
        <v>4</v>
      </c>
      <c r="E912" s="2" t="n">
        <v>40622.4777777778</v>
      </c>
      <c r="F912" s="0" t="n">
        <v>2.58</v>
      </c>
      <c r="G912" s="0" t="n">
        <v>13924</v>
      </c>
      <c r="H912" s="3" t="s">
        <v>14</v>
      </c>
      <c r="I912" s="4" t="n">
        <f aca="false">D912*F912</f>
        <v>10.32</v>
      </c>
      <c r="J912" s="3" t="n">
        <f aca="false">IF(AND(LEFT(A912,1)&lt;&gt;"C",D912&gt;0,F912&gt;0),1,0)</f>
        <v>1</v>
      </c>
      <c r="K912" s="3" t="n">
        <f aca="false">IF(AND(H912="United Kingdom",G912&lt;&gt;"",COUNTIFS($G$2:G912,G912,$H$2:H912,"United Kingdom")=1),1,0)</f>
        <v>0</v>
      </c>
    </row>
    <row r="913" customFormat="false" ht="15" hidden="false" customHeight="false" outlineLevel="0" collapsed="false">
      <c r="A913" s="0" t="s">
        <v>253</v>
      </c>
      <c r="B913" s="0" t="s">
        <v>72</v>
      </c>
      <c r="C913" s="0" t="s">
        <v>73</v>
      </c>
      <c r="D913" s="0" t="n">
        <v>1</v>
      </c>
      <c r="E913" s="2" t="n">
        <v>40622.4777777778</v>
      </c>
      <c r="F913" s="0" t="n">
        <v>2.69</v>
      </c>
      <c r="G913" s="0" t="n">
        <v>13924</v>
      </c>
      <c r="H913" s="3" t="s">
        <v>14</v>
      </c>
      <c r="I913" s="4" t="n">
        <f aca="false">D913*F913</f>
        <v>2.69</v>
      </c>
      <c r="J913" s="3" t="n">
        <f aca="false">IF(AND(LEFT(A913,1)&lt;&gt;"C",D913&gt;0,F913&gt;0),1,0)</f>
        <v>1</v>
      </c>
      <c r="K913" s="3" t="n">
        <f aca="false">IF(AND(H913="United Kingdom",G913&lt;&gt;"",COUNTIFS($G$2:G913,G913,$H$2:H913,"United Kingdom")=1),1,0)</f>
        <v>0</v>
      </c>
    </row>
    <row r="914" customFormat="false" ht="15" hidden="false" customHeight="false" outlineLevel="0" collapsed="false">
      <c r="A914" s="0" t="s">
        <v>253</v>
      </c>
      <c r="B914" s="0" t="s">
        <v>80</v>
      </c>
      <c r="C914" s="0" t="s">
        <v>81</v>
      </c>
      <c r="D914" s="0" t="n">
        <v>1</v>
      </c>
      <c r="E914" s="2" t="n">
        <v>40622.4777777778</v>
      </c>
      <c r="F914" s="0" t="n">
        <v>1.53</v>
      </c>
      <c r="G914" s="0" t="n">
        <v>13924</v>
      </c>
      <c r="H914" s="3" t="s">
        <v>14</v>
      </c>
      <c r="I914" s="4" t="n">
        <f aca="false">D914*F914</f>
        <v>1.53</v>
      </c>
      <c r="J914" s="3" t="n">
        <f aca="false">IF(AND(LEFT(A914,1)&lt;&gt;"C",D914&gt;0,F914&gt;0),1,0)</f>
        <v>1</v>
      </c>
      <c r="K914" s="3" t="n">
        <f aca="false">IF(AND(H914="United Kingdom",G914&lt;&gt;"",COUNTIFS($G$2:G914,G914,$H$2:H914,"United Kingdom")=1),1,0)</f>
        <v>0</v>
      </c>
    </row>
    <row r="915" customFormat="false" ht="15" hidden="false" customHeight="false" outlineLevel="0" collapsed="false">
      <c r="A915" s="0" t="s">
        <v>254</v>
      </c>
      <c r="B915" s="0" t="s">
        <v>39</v>
      </c>
      <c r="C915" s="0" t="s">
        <v>40</v>
      </c>
      <c r="D915" s="0" t="n">
        <v>12</v>
      </c>
      <c r="E915" s="2" t="n">
        <v>40622.5576388889</v>
      </c>
      <c r="F915" s="0" t="n">
        <v>2.58</v>
      </c>
      <c r="G915" s="0" t="n">
        <v>15028</v>
      </c>
      <c r="H915" s="3" t="s">
        <v>14</v>
      </c>
      <c r="I915" s="4" t="n">
        <f aca="false">D915*F915</f>
        <v>30.96</v>
      </c>
      <c r="J915" s="3" t="n">
        <f aca="false">IF(AND(LEFT(A915,1)&lt;&gt;"C",D915&gt;0,F915&gt;0),1,0)</f>
        <v>1</v>
      </c>
      <c r="K915" s="3" t="n">
        <f aca="false">IF(AND(H915="United Kingdom",G915&lt;&gt;"",COUNTIFS($G$2:G915,G915,$H$2:H915,"United Kingdom")=1),1,0)</f>
        <v>0</v>
      </c>
    </row>
    <row r="916" customFormat="false" ht="15" hidden="false" customHeight="false" outlineLevel="0" collapsed="false">
      <c r="A916" s="0" t="s">
        <v>254</v>
      </c>
      <c r="B916" s="0" t="s">
        <v>113</v>
      </c>
      <c r="C916" s="0" t="s">
        <v>114</v>
      </c>
      <c r="D916" s="0" t="n">
        <v>6</v>
      </c>
      <c r="E916" s="2" t="n">
        <v>40622.5576388889</v>
      </c>
      <c r="F916" s="0" t="n">
        <v>3.57</v>
      </c>
      <c r="G916" s="0" t="n">
        <v>15028</v>
      </c>
      <c r="H916" s="3" t="s">
        <v>14</v>
      </c>
      <c r="I916" s="4" t="n">
        <f aca="false">D916*F916</f>
        <v>21.42</v>
      </c>
      <c r="J916" s="3" t="n">
        <f aca="false">IF(AND(LEFT(A916,1)&lt;&gt;"C",D916&gt;0,F916&gt;0),1,0)</f>
        <v>1</v>
      </c>
      <c r="K916" s="3" t="n">
        <f aca="false">IF(AND(H916="United Kingdom",G916&lt;&gt;"",COUNTIFS($G$2:G916,G916,$H$2:H916,"United Kingdom")=1),1,0)</f>
        <v>0</v>
      </c>
    </row>
    <row r="917" customFormat="false" ht="15" hidden="false" customHeight="false" outlineLevel="0" collapsed="false">
      <c r="A917" s="0" t="s">
        <v>255</v>
      </c>
      <c r="B917" s="0" t="s">
        <v>52</v>
      </c>
      <c r="C917" s="0" t="s">
        <v>53</v>
      </c>
      <c r="D917" s="0" t="n">
        <v>4</v>
      </c>
      <c r="E917" s="2" t="n">
        <v>40622.7791666667</v>
      </c>
      <c r="F917" s="0" t="n">
        <v>4.16</v>
      </c>
      <c r="G917" s="0" t="n">
        <v>17892</v>
      </c>
      <c r="H917" s="3" t="s">
        <v>14</v>
      </c>
      <c r="I917" s="4" t="n">
        <f aca="false">D917*F917</f>
        <v>16.64</v>
      </c>
      <c r="J917" s="3" t="n">
        <f aca="false">IF(AND(LEFT(A917,1)&lt;&gt;"C",D917&gt;0,F917&gt;0),1,0)</f>
        <v>1</v>
      </c>
      <c r="K917" s="3" t="n">
        <f aca="false">IF(AND(H917="United Kingdom",G917&lt;&gt;"",COUNTIFS($G$2:G917,G917,$H$2:H917,"United Kingdom")=1),1,0)</f>
        <v>0</v>
      </c>
    </row>
    <row r="918" customFormat="false" ht="15" hidden="false" customHeight="false" outlineLevel="0" collapsed="false">
      <c r="A918" s="0" t="s">
        <v>255</v>
      </c>
      <c r="B918" s="0" t="s">
        <v>41</v>
      </c>
      <c r="C918" s="0" t="s">
        <v>42</v>
      </c>
      <c r="D918" s="0" t="n">
        <v>1</v>
      </c>
      <c r="E918" s="2" t="n">
        <v>40622.7791666667</v>
      </c>
      <c r="F918" s="0" t="n">
        <v>3.28</v>
      </c>
      <c r="G918" s="0" t="n">
        <v>17892</v>
      </c>
      <c r="H918" s="3" t="s">
        <v>14</v>
      </c>
      <c r="I918" s="4" t="n">
        <f aca="false">D918*F918</f>
        <v>3.28</v>
      </c>
      <c r="J918" s="3" t="n">
        <f aca="false">IF(AND(LEFT(A918,1)&lt;&gt;"C",D918&gt;0,F918&gt;0),1,0)</f>
        <v>1</v>
      </c>
      <c r="K918" s="3" t="n">
        <f aca="false">IF(AND(H918="United Kingdom",G918&lt;&gt;"",COUNTIFS($G$2:G918,G918,$H$2:H918,"United Kingdom")=1),1,0)</f>
        <v>0</v>
      </c>
    </row>
    <row r="919" customFormat="false" ht="15" hidden="false" customHeight="false" outlineLevel="0" collapsed="false">
      <c r="A919" s="0" t="s">
        <v>255</v>
      </c>
      <c r="B919" s="0" t="s">
        <v>113</v>
      </c>
      <c r="C919" s="0" t="s">
        <v>114</v>
      </c>
      <c r="D919" s="0" t="n">
        <v>3</v>
      </c>
      <c r="E919" s="2" t="n">
        <v>40622.7791666667</v>
      </c>
      <c r="F919" s="0" t="n">
        <v>3.57</v>
      </c>
      <c r="G919" s="0" t="n">
        <v>17892</v>
      </c>
      <c r="H919" s="3" t="s">
        <v>14</v>
      </c>
      <c r="I919" s="4" t="n">
        <f aca="false">D919*F919</f>
        <v>10.71</v>
      </c>
      <c r="J919" s="3" t="n">
        <f aca="false">IF(AND(LEFT(A919,1)&lt;&gt;"C",D919&gt;0,F919&gt;0),1,0)</f>
        <v>1</v>
      </c>
      <c r="K919" s="3" t="n">
        <f aca="false">IF(AND(H919="United Kingdom",G919&lt;&gt;"",COUNTIFS($G$2:G919,G919,$H$2:H919,"United Kingdom")=1),1,0)</f>
        <v>0</v>
      </c>
    </row>
    <row r="920" customFormat="false" ht="15" hidden="false" customHeight="false" outlineLevel="0" collapsed="false">
      <c r="A920" s="0" t="s">
        <v>255</v>
      </c>
      <c r="B920" s="0" t="s">
        <v>72</v>
      </c>
      <c r="C920" s="0" t="s">
        <v>73</v>
      </c>
      <c r="D920" s="0" t="n">
        <v>4</v>
      </c>
      <c r="E920" s="2" t="n">
        <v>40622.7791666667</v>
      </c>
      <c r="F920" s="0" t="n">
        <v>2.69</v>
      </c>
      <c r="G920" s="0" t="n">
        <v>17892</v>
      </c>
      <c r="H920" s="3" t="s">
        <v>14</v>
      </c>
      <c r="I920" s="4" t="n">
        <f aca="false">D920*F920</f>
        <v>10.76</v>
      </c>
      <c r="J920" s="3" t="n">
        <f aca="false">IF(AND(LEFT(A920,1)&lt;&gt;"C",D920&gt;0,F920&gt;0),1,0)</f>
        <v>1</v>
      </c>
      <c r="K920" s="3" t="n">
        <f aca="false">IF(AND(H920="United Kingdom",G920&lt;&gt;"",COUNTIFS($G$2:G920,G920,$H$2:H920,"United Kingdom")=1),1,0)</f>
        <v>0</v>
      </c>
    </row>
    <row r="921" customFormat="false" ht="15" hidden="false" customHeight="false" outlineLevel="0" collapsed="false">
      <c r="A921" s="0" t="s">
        <v>255</v>
      </c>
      <c r="B921" s="0" t="s">
        <v>15</v>
      </c>
      <c r="C921" s="0" t="s">
        <v>16</v>
      </c>
      <c r="D921" s="0" t="n">
        <v>2</v>
      </c>
      <c r="E921" s="2" t="n">
        <v>40622.7791666667</v>
      </c>
      <c r="F921" s="0" t="n">
        <v>3.18</v>
      </c>
      <c r="G921" s="0" t="n">
        <v>17892</v>
      </c>
      <c r="H921" s="3" t="s">
        <v>14</v>
      </c>
      <c r="I921" s="4" t="n">
        <f aca="false">D921*F921</f>
        <v>6.36</v>
      </c>
      <c r="J921" s="3" t="n">
        <f aca="false">IF(AND(LEFT(A921,1)&lt;&gt;"C",D921&gt;0,F921&gt;0),1,0)</f>
        <v>1</v>
      </c>
      <c r="K921" s="3" t="n">
        <f aca="false">IF(AND(H921="United Kingdom",G921&lt;&gt;"",COUNTIFS($G$2:G921,G921,$H$2:H921,"United Kingdom")=1),1,0)</f>
        <v>0</v>
      </c>
    </row>
    <row r="922" customFormat="false" ht="15" hidden="false" customHeight="false" outlineLevel="0" collapsed="false">
      <c r="A922" s="0" t="s">
        <v>255</v>
      </c>
      <c r="B922" s="0" t="s">
        <v>17</v>
      </c>
      <c r="C922" s="0" t="s">
        <v>18</v>
      </c>
      <c r="D922" s="0" t="n">
        <v>1</v>
      </c>
      <c r="E922" s="2" t="n">
        <v>40622.7791666667</v>
      </c>
      <c r="F922" s="0" t="n">
        <v>1.92</v>
      </c>
      <c r="G922" s="0" t="n">
        <v>17892</v>
      </c>
      <c r="H922" s="3" t="s">
        <v>14</v>
      </c>
      <c r="I922" s="4" t="n">
        <f aca="false">D922*F922</f>
        <v>1.92</v>
      </c>
      <c r="J922" s="3" t="n">
        <f aca="false">IF(AND(LEFT(A922,1)&lt;&gt;"C",D922&gt;0,F922&gt;0),1,0)</f>
        <v>1</v>
      </c>
      <c r="K922" s="3" t="n">
        <f aca="false">IF(AND(H922="United Kingdom",G922&lt;&gt;"",COUNTIFS($G$2:G922,G922,$H$2:H922,"United Kingdom")=1),1,0)</f>
        <v>0</v>
      </c>
    </row>
    <row r="923" customFormat="false" ht="15" hidden="false" customHeight="false" outlineLevel="0" collapsed="false">
      <c r="A923" s="0" t="s">
        <v>256</v>
      </c>
      <c r="B923" s="0" t="s">
        <v>22</v>
      </c>
      <c r="C923" s="0" t="s">
        <v>23</v>
      </c>
      <c r="D923" s="0" t="n">
        <v>18</v>
      </c>
      <c r="E923" s="2" t="n">
        <v>40622.8270833333</v>
      </c>
      <c r="F923" s="0" t="n">
        <v>3.18</v>
      </c>
      <c r="G923" s="0" t="n">
        <v>12388</v>
      </c>
      <c r="H923" s="3" t="s">
        <v>14</v>
      </c>
      <c r="I923" s="4" t="n">
        <f aca="false">D923*F923</f>
        <v>57.24</v>
      </c>
      <c r="J923" s="3" t="n">
        <f aca="false">IF(AND(LEFT(A923,1)&lt;&gt;"C",D923&gt;0,F923&gt;0),1,0)</f>
        <v>1</v>
      </c>
      <c r="K923" s="3" t="n">
        <f aca="false">IF(AND(H923="United Kingdom",G923&lt;&gt;"",COUNTIFS($G$2:G923,G923,$H$2:H923,"United Kingdom")=1),1,0)</f>
        <v>1</v>
      </c>
    </row>
    <row r="924" customFormat="false" ht="15" hidden="false" customHeight="false" outlineLevel="0" collapsed="false">
      <c r="A924" s="0" t="s">
        <v>257</v>
      </c>
      <c r="B924" s="0" t="s">
        <v>39</v>
      </c>
      <c r="C924" s="0" t="s">
        <v>40</v>
      </c>
      <c r="D924" s="0" t="n">
        <v>9</v>
      </c>
      <c r="E924" s="2" t="n">
        <v>40623.70625</v>
      </c>
      <c r="F924" s="0" t="n">
        <v>2.58</v>
      </c>
      <c r="G924" s="0" t="n">
        <v>15427</v>
      </c>
      <c r="H924" s="3" t="s">
        <v>57</v>
      </c>
      <c r="I924" s="4" t="n">
        <f aca="false">D924*F924</f>
        <v>23.22</v>
      </c>
      <c r="J924" s="3" t="n">
        <f aca="false">IF(AND(LEFT(A924,1)&lt;&gt;"C",D924&gt;0,F924&gt;0),1,0)</f>
        <v>1</v>
      </c>
      <c r="K924" s="3" t="n">
        <f aca="false">IF(AND(H924="United Kingdom",G924&lt;&gt;"",COUNTIFS($G$2:G924,G924,$H$2:H924,"United Kingdom")=1),1,0)</f>
        <v>0</v>
      </c>
    </row>
    <row r="925" customFormat="false" ht="15" hidden="false" customHeight="false" outlineLevel="0" collapsed="false">
      <c r="A925" s="0" t="s">
        <v>257</v>
      </c>
      <c r="B925" s="0" t="s">
        <v>80</v>
      </c>
      <c r="C925" s="0" t="s">
        <v>81</v>
      </c>
      <c r="D925" s="0" t="n">
        <v>9</v>
      </c>
      <c r="E925" s="2" t="n">
        <v>40623.70625</v>
      </c>
      <c r="F925" s="0" t="n">
        <v>1.53</v>
      </c>
      <c r="G925" s="0" t="n">
        <v>15427</v>
      </c>
      <c r="H925" s="3" t="s">
        <v>57</v>
      </c>
      <c r="I925" s="4" t="n">
        <f aca="false">D925*F925</f>
        <v>13.77</v>
      </c>
      <c r="J925" s="3" t="n">
        <f aca="false">IF(AND(LEFT(A925,1)&lt;&gt;"C",D925&gt;0,F925&gt;0),1,0)</f>
        <v>1</v>
      </c>
      <c r="K925" s="3" t="n">
        <f aca="false">IF(AND(H925="United Kingdom",G925&lt;&gt;"",COUNTIFS($G$2:G925,G925,$H$2:H925,"United Kingdom")=1),1,0)</f>
        <v>0</v>
      </c>
    </row>
    <row r="926" customFormat="false" ht="15" hidden="false" customHeight="false" outlineLevel="0" collapsed="false">
      <c r="A926" s="0" t="s">
        <v>258</v>
      </c>
      <c r="B926" s="0" t="s">
        <v>63</v>
      </c>
      <c r="C926" s="0" t="s">
        <v>64</v>
      </c>
      <c r="D926" s="0" t="n">
        <v>6</v>
      </c>
      <c r="E926" s="2" t="n">
        <v>40624.4715277778</v>
      </c>
      <c r="F926" s="0" t="n">
        <v>2.43</v>
      </c>
      <c r="G926" s="0" t="n">
        <v>12810</v>
      </c>
      <c r="H926" s="3" t="s">
        <v>14</v>
      </c>
      <c r="I926" s="4" t="n">
        <f aca="false">D926*F926</f>
        <v>14.58</v>
      </c>
      <c r="J926" s="3" t="n">
        <f aca="false">IF(AND(LEFT(A926,1)&lt;&gt;"C",D926&gt;0,F926&gt;0),1,0)</f>
        <v>1</v>
      </c>
      <c r="K926" s="3" t="n">
        <f aca="false">IF(AND(H926="United Kingdom",G926&lt;&gt;"",COUNTIFS($G$2:G926,G926,$H$2:H926,"United Kingdom")=1),1,0)</f>
        <v>0</v>
      </c>
    </row>
    <row r="927" customFormat="false" ht="15" hidden="false" customHeight="false" outlineLevel="0" collapsed="false">
      <c r="A927" s="0" t="s">
        <v>258</v>
      </c>
      <c r="B927" s="0" t="s">
        <v>52</v>
      </c>
      <c r="C927" s="0" t="s">
        <v>53</v>
      </c>
      <c r="D927" s="0" t="n">
        <v>8</v>
      </c>
      <c r="E927" s="2" t="n">
        <v>40624.4715277778</v>
      </c>
      <c r="F927" s="0" t="n">
        <v>4.16</v>
      </c>
      <c r="G927" s="0" t="n">
        <v>12810</v>
      </c>
      <c r="H927" s="3" t="s">
        <v>14</v>
      </c>
      <c r="I927" s="4" t="n">
        <f aca="false">D927*F927</f>
        <v>33.28</v>
      </c>
      <c r="J927" s="3" t="n">
        <f aca="false">IF(AND(LEFT(A927,1)&lt;&gt;"C",D927&gt;0,F927&gt;0),1,0)</f>
        <v>1</v>
      </c>
      <c r="K927" s="3" t="n">
        <f aca="false">IF(AND(H927="United Kingdom",G927&lt;&gt;"",COUNTIFS($G$2:G927,G927,$H$2:H927,"United Kingdom")=1),1,0)</f>
        <v>0</v>
      </c>
    </row>
    <row r="928" customFormat="false" ht="15" hidden="false" customHeight="false" outlineLevel="0" collapsed="false">
      <c r="A928" s="0" t="s">
        <v>258</v>
      </c>
      <c r="B928" s="0" t="s">
        <v>20</v>
      </c>
      <c r="C928" s="0" t="s">
        <v>21</v>
      </c>
      <c r="D928" s="0" t="n">
        <v>1</v>
      </c>
      <c r="E928" s="2" t="n">
        <v>40624.4715277778</v>
      </c>
      <c r="F928" s="0" t="n">
        <v>4.24</v>
      </c>
      <c r="G928" s="0" t="n">
        <v>12810</v>
      </c>
      <c r="H928" s="3" t="s">
        <v>14</v>
      </c>
      <c r="I928" s="4" t="n">
        <f aca="false">D928*F928</f>
        <v>4.24</v>
      </c>
      <c r="J928" s="3" t="n">
        <f aca="false">IF(AND(LEFT(A928,1)&lt;&gt;"C",D928&gt;0,F928&gt;0),1,0)</f>
        <v>1</v>
      </c>
      <c r="K928" s="3" t="n">
        <f aca="false">IF(AND(H928="United Kingdom",G928&lt;&gt;"",COUNTIFS($G$2:G928,G928,$H$2:H928,"United Kingdom")=1),1,0)</f>
        <v>0</v>
      </c>
    </row>
    <row r="929" customFormat="false" ht="15" hidden="false" customHeight="false" outlineLevel="0" collapsed="false">
      <c r="A929" s="0" t="s">
        <v>259</v>
      </c>
      <c r="B929" s="0" t="s">
        <v>12</v>
      </c>
      <c r="C929" s="0" t="s">
        <v>13</v>
      </c>
      <c r="D929" s="0" t="n">
        <v>2</v>
      </c>
      <c r="E929" s="2" t="n">
        <v>40624.7076388889</v>
      </c>
      <c r="F929" s="0" t="n">
        <v>3.33</v>
      </c>
      <c r="G929" s="0" t="n">
        <v>15626</v>
      </c>
      <c r="H929" s="3" t="s">
        <v>14</v>
      </c>
      <c r="I929" s="4" t="n">
        <f aca="false">D929*F929</f>
        <v>6.66</v>
      </c>
      <c r="J929" s="3" t="n">
        <f aca="false">IF(AND(LEFT(A929,1)&lt;&gt;"C",D929&gt;0,F929&gt;0),1,0)</f>
        <v>1</v>
      </c>
      <c r="K929" s="3" t="n">
        <f aca="false">IF(AND(H929="United Kingdom",G929&lt;&gt;"",COUNTIFS($G$2:G929,G929,$H$2:H929,"United Kingdom")=1),1,0)</f>
        <v>1</v>
      </c>
    </row>
    <row r="930" customFormat="false" ht="15" hidden="false" customHeight="false" outlineLevel="0" collapsed="false">
      <c r="A930" s="0" t="s">
        <v>259</v>
      </c>
      <c r="B930" s="0" t="s">
        <v>77</v>
      </c>
      <c r="C930" s="0" t="s">
        <v>78</v>
      </c>
      <c r="D930" s="0" t="n">
        <v>3</v>
      </c>
      <c r="E930" s="2" t="n">
        <v>40624.7076388889</v>
      </c>
      <c r="F930" s="0" t="n">
        <v>3.41</v>
      </c>
      <c r="G930" s="0" t="n">
        <v>15626</v>
      </c>
      <c r="H930" s="3" t="s">
        <v>14</v>
      </c>
      <c r="I930" s="4" t="n">
        <f aca="false">D930*F930</f>
        <v>10.23</v>
      </c>
      <c r="J930" s="3" t="n">
        <f aca="false">IF(AND(LEFT(A930,1)&lt;&gt;"C",D930&gt;0,F930&gt;0),1,0)</f>
        <v>1</v>
      </c>
      <c r="K930" s="3" t="n">
        <f aca="false">IF(AND(H930="United Kingdom",G930&lt;&gt;"",COUNTIFS($G$2:G930,G930,$H$2:H930,"United Kingdom")=1),1,0)</f>
        <v>0</v>
      </c>
    </row>
    <row r="931" customFormat="false" ht="15" hidden="false" customHeight="false" outlineLevel="0" collapsed="false">
      <c r="A931" s="0" t="s">
        <v>259</v>
      </c>
      <c r="B931" s="0" t="s">
        <v>20</v>
      </c>
      <c r="C931" s="0" t="s">
        <v>21</v>
      </c>
      <c r="D931" s="0" t="n">
        <v>6</v>
      </c>
      <c r="E931" s="2" t="n">
        <v>40624.7076388889</v>
      </c>
      <c r="F931" s="0" t="n">
        <v>4.24</v>
      </c>
      <c r="G931" s="0" t="n">
        <v>15626</v>
      </c>
      <c r="H931" s="3" t="s">
        <v>14</v>
      </c>
      <c r="I931" s="4" t="n">
        <f aca="false">D931*F931</f>
        <v>25.44</v>
      </c>
      <c r="J931" s="3" t="n">
        <f aca="false">IF(AND(LEFT(A931,1)&lt;&gt;"C",D931&gt;0,F931&gt;0),1,0)</f>
        <v>1</v>
      </c>
      <c r="K931" s="3" t="n">
        <f aca="false">IF(AND(H931="United Kingdom",G931&lt;&gt;"",COUNTIFS($G$2:G931,G931,$H$2:H931,"United Kingdom")=1),1,0)</f>
        <v>0</v>
      </c>
    </row>
    <row r="932" customFormat="false" ht="15" hidden="false" customHeight="false" outlineLevel="0" collapsed="false">
      <c r="A932" s="0" t="s">
        <v>259</v>
      </c>
      <c r="B932" s="0" t="s">
        <v>25</v>
      </c>
      <c r="C932" s="0" t="s">
        <v>26</v>
      </c>
      <c r="D932" s="0" t="n">
        <v>8</v>
      </c>
      <c r="E932" s="2" t="n">
        <v>40624.7076388889</v>
      </c>
      <c r="F932" s="0" t="n">
        <v>2.21</v>
      </c>
      <c r="G932" s="0" t="n">
        <v>15626</v>
      </c>
      <c r="H932" s="3" t="s">
        <v>14</v>
      </c>
      <c r="I932" s="4" t="n">
        <f aca="false">D932*F932</f>
        <v>17.68</v>
      </c>
      <c r="J932" s="3" t="n">
        <f aca="false">IF(AND(LEFT(A932,1)&lt;&gt;"C",D932&gt;0,F932&gt;0),1,0)</f>
        <v>1</v>
      </c>
      <c r="K932" s="3" t="n">
        <f aca="false">IF(AND(H932="United Kingdom",G932&lt;&gt;"",COUNTIFS($G$2:G932,G932,$H$2:H932,"United Kingdom")=1),1,0)</f>
        <v>0</v>
      </c>
    </row>
    <row r="933" customFormat="false" ht="15" hidden="false" customHeight="false" outlineLevel="0" collapsed="false">
      <c r="A933" s="0" t="s">
        <v>259</v>
      </c>
      <c r="B933" s="0" t="s">
        <v>41</v>
      </c>
      <c r="C933" s="0" t="s">
        <v>42</v>
      </c>
      <c r="D933" s="0" t="n">
        <v>3</v>
      </c>
      <c r="E933" s="2" t="n">
        <v>40624.7076388889</v>
      </c>
      <c r="F933" s="0" t="n">
        <v>3.28</v>
      </c>
      <c r="G933" s="0" t="n">
        <v>15626</v>
      </c>
      <c r="H933" s="3" t="s">
        <v>14</v>
      </c>
      <c r="I933" s="4" t="n">
        <f aca="false">D933*F933</f>
        <v>9.84</v>
      </c>
      <c r="J933" s="3" t="n">
        <f aca="false">IF(AND(LEFT(A933,1)&lt;&gt;"C",D933&gt;0,F933&gt;0),1,0)</f>
        <v>1</v>
      </c>
      <c r="K933" s="3" t="n">
        <f aca="false">IF(AND(H933="United Kingdom",G933&lt;&gt;"",COUNTIFS($G$2:G933,G933,$H$2:H933,"United Kingdom")=1),1,0)</f>
        <v>0</v>
      </c>
    </row>
    <row r="934" customFormat="false" ht="15" hidden="false" customHeight="false" outlineLevel="0" collapsed="false">
      <c r="A934" s="0" t="s">
        <v>260</v>
      </c>
      <c r="B934" s="0" t="s">
        <v>48</v>
      </c>
      <c r="C934" s="0" t="s">
        <v>49</v>
      </c>
      <c r="D934" s="0" t="n">
        <v>2</v>
      </c>
      <c r="E934" s="2" t="n">
        <v>40624.8291666667</v>
      </c>
      <c r="F934" s="0" t="n">
        <v>1.35</v>
      </c>
      <c r="G934" s="0" t="n">
        <v>13329</v>
      </c>
      <c r="H934" s="3" t="s">
        <v>14</v>
      </c>
      <c r="I934" s="4" t="n">
        <f aca="false">D934*F934</f>
        <v>2.7</v>
      </c>
      <c r="J934" s="3" t="n">
        <f aca="false">IF(AND(LEFT(A934,1)&lt;&gt;"C",D934&gt;0,F934&gt;0),1,0)</f>
        <v>1</v>
      </c>
      <c r="K934" s="3" t="n">
        <f aca="false">IF(AND(H934="United Kingdom",G934&lt;&gt;"",COUNTIFS($G$2:G934,G934,$H$2:H934,"United Kingdom")=1),1,0)</f>
        <v>1</v>
      </c>
    </row>
    <row r="935" customFormat="false" ht="15" hidden="false" customHeight="false" outlineLevel="0" collapsed="false">
      <c r="A935" s="0" t="s">
        <v>260</v>
      </c>
      <c r="B935" s="0" t="s">
        <v>75</v>
      </c>
      <c r="C935" s="0" t="s">
        <v>76</v>
      </c>
      <c r="D935" s="0" t="n">
        <v>4</v>
      </c>
      <c r="E935" s="2" t="n">
        <v>40624.8291666667</v>
      </c>
      <c r="F935" s="0" t="n">
        <v>1.97</v>
      </c>
      <c r="G935" s="0" t="n">
        <v>13329</v>
      </c>
      <c r="H935" s="3" t="s">
        <v>14</v>
      </c>
      <c r="I935" s="4" t="n">
        <f aca="false">D935*F935</f>
        <v>7.88</v>
      </c>
      <c r="J935" s="3" t="n">
        <f aca="false">IF(AND(LEFT(A935,1)&lt;&gt;"C",D935&gt;0,F935&gt;0),1,0)</f>
        <v>1</v>
      </c>
      <c r="K935" s="3" t="n">
        <f aca="false">IF(AND(H935="United Kingdom",G935&lt;&gt;"",COUNTIFS($G$2:G935,G935,$H$2:H935,"United Kingdom")=1),1,0)</f>
        <v>0</v>
      </c>
    </row>
    <row r="936" customFormat="false" ht="15" hidden="false" customHeight="false" outlineLevel="0" collapsed="false">
      <c r="A936" s="0" t="s">
        <v>260</v>
      </c>
      <c r="B936" s="0" t="s">
        <v>90</v>
      </c>
      <c r="C936" s="0" t="s">
        <v>91</v>
      </c>
      <c r="D936" s="0" t="n">
        <v>8</v>
      </c>
      <c r="E936" s="2" t="n">
        <v>40624.8291666667</v>
      </c>
      <c r="F936" s="0" t="n">
        <v>3.04</v>
      </c>
      <c r="G936" s="0" t="n">
        <v>13329</v>
      </c>
      <c r="H936" s="3" t="s">
        <v>14</v>
      </c>
      <c r="I936" s="4" t="n">
        <f aca="false">D936*F936</f>
        <v>24.32</v>
      </c>
      <c r="J936" s="3" t="n">
        <f aca="false">IF(AND(LEFT(A936,1)&lt;&gt;"C",D936&gt;0,F936&gt;0),1,0)</f>
        <v>1</v>
      </c>
      <c r="K936" s="3" t="n">
        <f aca="false">IF(AND(H936="United Kingdom",G936&lt;&gt;"",COUNTIFS($G$2:G936,G936,$H$2:H936,"United Kingdom")=1),1,0)</f>
        <v>0</v>
      </c>
    </row>
    <row r="937" customFormat="false" ht="15" hidden="false" customHeight="false" outlineLevel="0" collapsed="false">
      <c r="A937" s="0" t="s">
        <v>260</v>
      </c>
      <c r="B937" s="0" t="s">
        <v>29</v>
      </c>
      <c r="C937" s="0" t="s">
        <v>30</v>
      </c>
      <c r="D937" s="0" t="n">
        <v>2</v>
      </c>
      <c r="E937" s="2" t="n">
        <v>40624.8291666667</v>
      </c>
      <c r="F937" s="0" t="n">
        <v>5.79</v>
      </c>
      <c r="G937" s="0" t="n">
        <v>13329</v>
      </c>
      <c r="H937" s="3" t="s">
        <v>14</v>
      </c>
      <c r="I937" s="4" t="n">
        <f aca="false">D937*F937</f>
        <v>11.58</v>
      </c>
      <c r="J937" s="3" t="n">
        <f aca="false">IF(AND(LEFT(A937,1)&lt;&gt;"C",D937&gt;0,F937&gt;0),1,0)</f>
        <v>1</v>
      </c>
      <c r="K937" s="3" t="n">
        <f aca="false">IF(AND(H937="United Kingdom",G937&lt;&gt;"",COUNTIFS($G$2:G937,G937,$H$2:H937,"United Kingdom")=1),1,0)</f>
        <v>0</v>
      </c>
    </row>
    <row r="938" customFormat="false" ht="15" hidden="false" customHeight="false" outlineLevel="0" collapsed="false">
      <c r="A938" s="0" t="s">
        <v>260</v>
      </c>
      <c r="B938" s="0" t="s">
        <v>20</v>
      </c>
      <c r="C938" s="0" t="s">
        <v>21</v>
      </c>
      <c r="D938" s="0" t="n">
        <v>3</v>
      </c>
      <c r="E938" s="2" t="n">
        <v>40624.8291666667</v>
      </c>
      <c r="F938" s="0" t="n">
        <v>4.24</v>
      </c>
      <c r="G938" s="0" t="n">
        <v>13329</v>
      </c>
      <c r="H938" s="3" t="s">
        <v>14</v>
      </c>
      <c r="I938" s="4" t="n">
        <f aca="false">D938*F938</f>
        <v>12.72</v>
      </c>
      <c r="J938" s="3" t="n">
        <f aca="false">IF(AND(LEFT(A938,1)&lt;&gt;"C",D938&gt;0,F938&gt;0),1,0)</f>
        <v>1</v>
      </c>
      <c r="K938" s="3" t="n">
        <f aca="false">IF(AND(H938="United Kingdom",G938&lt;&gt;"",COUNTIFS($G$2:G938,G938,$H$2:H938,"United Kingdom")=1),1,0)</f>
        <v>0</v>
      </c>
    </row>
    <row r="939" customFormat="false" ht="15" hidden="false" customHeight="false" outlineLevel="0" collapsed="false">
      <c r="A939" s="0" t="s">
        <v>261</v>
      </c>
      <c r="B939" s="0" t="s">
        <v>113</v>
      </c>
      <c r="C939" s="0" t="s">
        <v>114</v>
      </c>
      <c r="D939" s="0" t="n">
        <v>2</v>
      </c>
      <c r="E939" s="2" t="n">
        <v>40625.5597222222</v>
      </c>
      <c r="F939" s="0" t="n">
        <v>3.57</v>
      </c>
      <c r="G939" s="0" t="n">
        <v>17354</v>
      </c>
      <c r="H939" s="3" t="s">
        <v>14</v>
      </c>
      <c r="I939" s="4" t="n">
        <f aca="false">D939*F939</f>
        <v>7.14</v>
      </c>
      <c r="J939" s="3" t="n">
        <f aca="false">IF(AND(LEFT(A939,1)&lt;&gt;"C",D939&gt;0,F939&gt;0),1,0)</f>
        <v>1</v>
      </c>
      <c r="K939" s="3" t="n">
        <f aca="false">IF(AND(H939="United Kingdom",G939&lt;&gt;"",COUNTIFS($G$2:G939,G939,$H$2:H939,"United Kingdom")=1),1,0)</f>
        <v>0</v>
      </c>
    </row>
    <row r="940" customFormat="false" ht="15" hidden="false" customHeight="false" outlineLevel="0" collapsed="false">
      <c r="A940" s="0" t="s">
        <v>261</v>
      </c>
      <c r="B940" s="0" t="s">
        <v>75</v>
      </c>
      <c r="C940" s="0" t="s">
        <v>76</v>
      </c>
      <c r="D940" s="0" t="n">
        <v>3</v>
      </c>
      <c r="E940" s="2" t="n">
        <v>40625.5597222222</v>
      </c>
      <c r="F940" s="0" t="n">
        <v>1.97</v>
      </c>
      <c r="G940" s="0" t="n">
        <v>17354</v>
      </c>
      <c r="H940" s="3" t="s">
        <v>14</v>
      </c>
      <c r="I940" s="4" t="n">
        <f aca="false">D940*F940</f>
        <v>5.91</v>
      </c>
      <c r="J940" s="3" t="n">
        <f aca="false">IF(AND(LEFT(A940,1)&lt;&gt;"C",D940&gt;0,F940&gt;0),1,0)</f>
        <v>1</v>
      </c>
      <c r="K940" s="3" t="n">
        <f aca="false">IF(AND(H940="United Kingdom",G940&lt;&gt;"",COUNTIFS($G$2:G940,G940,$H$2:H940,"United Kingdom")=1),1,0)</f>
        <v>0</v>
      </c>
    </row>
    <row r="941" customFormat="false" ht="15" hidden="false" customHeight="false" outlineLevel="0" collapsed="false">
      <c r="A941" s="0" t="s">
        <v>261</v>
      </c>
      <c r="B941" s="0" t="s">
        <v>17</v>
      </c>
      <c r="C941" s="0" t="s">
        <v>18</v>
      </c>
      <c r="D941" s="0" t="n">
        <v>3</v>
      </c>
      <c r="E941" s="2" t="n">
        <v>40625.5597222222</v>
      </c>
      <c r="F941" s="0" t="n">
        <v>1.92</v>
      </c>
      <c r="G941" s="0" t="n">
        <v>17354</v>
      </c>
      <c r="H941" s="3" t="s">
        <v>14</v>
      </c>
      <c r="I941" s="4" t="n">
        <f aca="false">D941*F941</f>
        <v>5.76</v>
      </c>
      <c r="J941" s="3" t="n">
        <f aca="false">IF(AND(LEFT(A941,1)&lt;&gt;"C",D941&gt;0,F941&gt;0),1,0)</f>
        <v>1</v>
      </c>
      <c r="K941" s="3" t="n">
        <f aca="false">IF(AND(H941="United Kingdom",G941&lt;&gt;"",COUNTIFS($G$2:G941,G941,$H$2:H941,"United Kingdom")=1),1,0)</f>
        <v>0</v>
      </c>
    </row>
    <row r="942" customFormat="false" ht="15" hidden="false" customHeight="false" outlineLevel="0" collapsed="false">
      <c r="A942" s="0" t="s">
        <v>261</v>
      </c>
      <c r="B942" s="0" t="s">
        <v>29</v>
      </c>
      <c r="C942" s="0" t="s">
        <v>30</v>
      </c>
      <c r="D942" s="0" t="n">
        <v>4</v>
      </c>
      <c r="E942" s="2" t="n">
        <v>40625.5597222222</v>
      </c>
      <c r="F942" s="0" t="n">
        <v>5.79</v>
      </c>
      <c r="G942" s="0" t="n">
        <v>17354</v>
      </c>
      <c r="H942" s="3" t="s">
        <v>14</v>
      </c>
      <c r="I942" s="4" t="n">
        <f aca="false">D942*F942</f>
        <v>23.16</v>
      </c>
      <c r="J942" s="3" t="n">
        <f aca="false">IF(AND(LEFT(A942,1)&lt;&gt;"C",D942&gt;0,F942&gt;0),1,0)</f>
        <v>1</v>
      </c>
      <c r="K942" s="3" t="n">
        <f aca="false">IF(AND(H942="United Kingdom",G942&lt;&gt;"",COUNTIFS($G$2:G942,G942,$H$2:H942,"United Kingdom")=1),1,0)</f>
        <v>0</v>
      </c>
    </row>
    <row r="943" customFormat="false" ht="15" hidden="false" customHeight="false" outlineLevel="0" collapsed="false">
      <c r="A943" s="0" t="s">
        <v>262</v>
      </c>
      <c r="B943" s="0" t="s">
        <v>27</v>
      </c>
      <c r="C943" s="0" t="s">
        <v>28</v>
      </c>
      <c r="D943" s="0" t="n">
        <v>4</v>
      </c>
      <c r="E943" s="2" t="n">
        <v>40625.5986111111</v>
      </c>
      <c r="F943" s="0" t="n">
        <v>4.55</v>
      </c>
      <c r="G943" s="0" t="n">
        <v>13782</v>
      </c>
      <c r="H943" s="3" t="s">
        <v>14</v>
      </c>
      <c r="I943" s="4" t="n">
        <f aca="false">D943*F943</f>
        <v>18.2</v>
      </c>
      <c r="J943" s="3" t="n">
        <f aca="false">IF(AND(LEFT(A943,1)&lt;&gt;"C",D943&gt;0,F943&gt;0),1,0)</f>
        <v>1</v>
      </c>
      <c r="K943" s="3" t="n">
        <f aca="false">IF(AND(H943="United Kingdom",G943&lt;&gt;"",COUNTIFS($G$2:G943,G943,$H$2:H943,"United Kingdom")=1),1,0)</f>
        <v>1</v>
      </c>
    </row>
    <row r="944" customFormat="false" ht="15" hidden="false" customHeight="false" outlineLevel="0" collapsed="false">
      <c r="A944" s="0" t="s">
        <v>262</v>
      </c>
      <c r="B944" s="0" t="s">
        <v>43</v>
      </c>
      <c r="C944" s="0" t="s">
        <v>44</v>
      </c>
      <c r="D944" s="0" t="n">
        <v>4</v>
      </c>
      <c r="E944" s="2" t="n">
        <v>40625.5986111111</v>
      </c>
      <c r="F944" s="0" t="n">
        <v>1.35</v>
      </c>
      <c r="G944" s="0" t="n">
        <v>13782</v>
      </c>
      <c r="H944" s="3" t="s">
        <v>14</v>
      </c>
      <c r="I944" s="4" t="n">
        <f aca="false">D944*F944</f>
        <v>5.4</v>
      </c>
      <c r="J944" s="3" t="n">
        <f aca="false">IF(AND(LEFT(A944,1)&lt;&gt;"C",D944&gt;0,F944&gt;0),1,0)</f>
        <v>1</v>
      </c>
      <c r="K944" s="3" t="n">
        <f aca="false">IF(AND(H944="United Kingdom",G944&lt;&gt;"",COUNTIFS($G$2:G944,G944,$H$2:H944,"United Kingdom")=1),1,0)</f>
        <v>0</v>
      </c>
    </row>
    <row r="945" customFormat="false" ht="15" hidden="false" customHeight="false" outlineLevel="0" collapsed="false">
      <c r="A945" s="0" t="s">
        <v>262</v>
      </c>
      <c r="B945" s="0" t="s">
        <v>17</v>
      </c>
      <c r="C945" s="0" t="s">
        <v>18</v>
      </c>
      <c r="D945" s="0" t="n">
        <v>8</v>
      </c>
      <c r="E945" s="2" t="n">
        <v>40625.5986111111</v>
      </c>
      <c r="F945" s="0" t="n">
        <v>1.92</v>
      </c>
      <c r="G945" s="0" t="n">
        <v>13782</v>
      </c>
      <c r="H945" s="3" t="s">
        <v>14</v>
      </c>
      <c r="I945" s="4" t="n">
        <f aca="false">D945*F945</f>
        <v>15.36</v>
      </c>
      <c r="J945" s="3" t="n">
        <f aca="false">IF(AND(LEFT(A945,1)&lt;&gt;"C",D945&gt;0,F945&gt;0),1,0)</f>
        <v>1</v>
      </c>
      <c r="K945" s="3" t="n">
        <f aca="false">IF(AND(H945="United Kingdom",G945&lt;&gt;"",COUNTIFS($G$2:G945,G945,$H$2:H945,"United Kingdom")=1),1,0)</f>
        <v>0</v>
      </c>
    </row>
    <row r="946" customFormat="false" ht="15" hidden="false" customHeight="false" outlineLevel="0" collapsed="false">
      <c r="A946" s="0" t="s">
        <v>263</v>
      </c>
      <c r="B946" s="0" t="s">
        <v>68</v>
      </c>
      <c r="C946" s="0" t="s">
        <v>69</v>
      </c>
      <c r="D946" s="0" t="n">
        <v>1</v>
      </c>
      <c r="E946" s="2" t="n">
        <v>40626.7083333333</v>
      </c>
      <c r="F946" s="0" t="n">
        <v>1.26</v>
      </c>
      <c r="G946" s="0" t="n">
        <v>13089</v>
      </c>
      <c r="H946" s="3" t="s">
        <v>14</v>
      </c>
      <c r="I946" s="4" t="n">
        <f aca="false">D946*F946</f>
        <v>1.26</v>
      </c>
      <c r="J946" s="3" t="n">
        <f aca="false">IF(AND(LEFT(A946,1)&lt;&gt;"C",D946&gt;0,F946&gt;0),1,0)</f>
        <v>1</v>
      </c>
      <c r="K946" s="3" t="n">
        <f aca="false">IF(AND(H946="United Kingdom",G946&lt;&gt;"",COUNTIFS($G$2:G946,G946,$H$2:H946,"United Kingdom")=1),1,0)</f>
        <v>0</v>
      </c>
    </row>
    <row r="947" customFormat="false" ht="15" hidden="false" customHeight="false" outlineLevel="0" collapsed="false">
      <c r="A947" s="0" t="s">
        <v>263</v>
      </c>
      <c r="B947" s="0" t="s">
        <v>17</v>
      </c>
      <c r="C947" s="0" t="s">
        <v>18</v>
      </c>
      <c r="D947" s="0" t="n">
        <v>2</v>
      </c>
      <c r="E947" s="2" t="n">
        <v>40626.7083333333</v>
      </c>
      <c r="F947" s="0" t="n">
        <v>1.92</v>
      </c>
      <c r="G947" s="0" t="n">
        <v>13089</v>
      </c>
      <c r="H947" s="3" t="s">
        <v>14</v>
      </c>
      <c r="I947" s="4" t="n">
        <f aca="false">D947*F947</f>
        <v>3.84</v>
      </c>
      <c r="J947" s="3" t="n">
        <f aca="false">IF(AND(LEFT(A947,1)&lt;&gt;"C",D947&gt;0,F947&gt;0),1,0)</f>
        <v>1</v>
      </c>
      <c r="K947" s="3" t="n">
        <f aca="false">IF(AND(H947="United Kingdom",G947&lt;&gt;"",COUNTIFS($G$2:G947,G947,$H$2:H947,"United Kingdom")=1),1,0)</f>
        <v>0</v>
      </c>
    </row>
    <row r="948" customFormat="false" ht="15" hidden="false" customHeight="false" outlineLevel="0" collapsed="false">
      <c r="A948" s="0" t="s">
        <v>263</v>
      </c>
      <c r="B948" s="0" t="s">
        <v>41</v>
      </c>
      <c r="C948" s="0" t="s">
        <v>42</v>
      </c>
      <c r="D948" s="0" t="n">
        <v>3</v>
      </c>
      <c r="E948" s="2" t="n">
        <v>40626.7083333333</v>
      </c>
      <c r="F948" s="0" t="n">
        <v>3.28</v>
      </c>
      <c r="G948" s="0" t="n">
        <v>13089</v>
      </c>
      <c r="H948" s="3" t="s">
        <v>14</v>
      </c>
      <c r="I948" s="4" t="n">
        <f aca="false">D948*F948</f>
        <v>9.84</v>
      </c>
      <c r="J948" s="3" t="n">
        <f aca="false">IF(AND(LEFT(A948,1)&lt;&gt;"C",D948&gt;0,F948&gt;0),1,0)</f>
        <v>1</v>
      </c>
      <c r="K948" s="3" t="n">
        <f aca="false">IF(AND(H948="United Kingdom",G948&lt;&gt;"",COUNTIFS($G$2:G948,G948,$H$2:H948,"United Kingdom")=1),1,0)</f>
        <v>0</v>
      </c>
    </row>
    <row r="949" customFormat="false" ht="15" hidden="false" customHeight="false" outlineLevel="0" collapsed="false">
      <c r="A949" s="0" t="s">
        <v>263</v>
      </c>
      <c r="B949" s="0" t="s">
        <v>15</v>
      </c>
      <c r="C949" s="0" t="s">
        <v>16</v>
      </c>
      <c r="D949" s="0" t="n">
        <v>12</v>
      </c>
      <c r="E949" s="2" t="n">
        <v>40626.7083333333</v>
      </c>
      <c r="F949" s="0" t="n">
        <v>3.18</v>
      </c>
      <c r="G949" s="0" t="n">
        <v>13089</v>
      </c>
      <c r="H949" s="3" t="s">
        <v>14</v>
      </c>
      <c r="I949" s="4" t="n">
        <f aca="false">D949*F949</f>
        <v>38.16</v>
      </c>
      <c r="J949" s="3" t="n">
        <f aca="false">IF(AND(LEFT(A949,1)&lt;&gt;"C",D949&gt;0,F949&gt;0),1,0)</f>
        <v>1</v>
      </c>
      <c r="K949" s="3" t="n">
        <f aca="false">IF(AND(H949="United Kingdom",G949&lt;&gt;"",COUNTIFS($G$2:G949,G949,$H$2:H949,"United Kingdom")=1),1,0)</f>
        <v>0</v>
      </c>
    </row>
    <row r="950" customFormat="false" ht="15" hidden="false" customHeight="false" outlineLevel="0" collapsed="false">
      <c r="A950" s="0" t="s">
        <v>263</v>
      </c>
      <c r="B950" s="0" t="s">
        <v>50</v>
      </c>
      <c r="C950" s="0" t="s">
        <v>51</v>
      </c>
      <c r="D950" s="0" t="n">
        <v>16</v>
      </c>
      <c r="E950" s="2" t="n">
        <v>40626.7083333333</v>
      </c>
      <c r="F950" s="0" t="n">
        <v>5.41</v>
      </c>
      <c r="G950" s="0" t="n">
        <v>13089</v>
      </c>
      <c r="H950" s="3" t="s">
        <v>14</v>
      </c>
      <c r="I950" s="4" t="n">
        <f aca="false">D950*F950</f>
        <v>86.56</v>
      </c>
      <c r="J950" s="3" t="n">
        <f aca="false">IF(AND(LEFT(A950,1)&lt;&gt;"C",D950&gt;0,F950&gt;0),1,0)</f>
        <v>1</v>
      </c>
      <c r="K950" s="3" t="n">
        <f aca="false">IF(AND(H950="United Kingdom",G950&lt;&gt;"",COUNTIFS($G$2:G950,G950,$H$2:H950,"United Kingdom")=1),1,0)</f>
        <v>0</v>
      </c>
    </row>
    <row r="951" customFormat="false" ht="15" hidden="false" customHeight="false" outlineLevel="0" collapsed="false">
      <c r="A951" s="0" t="s">
        <v>263</v>
      </c>
      <c r="B951" s="0" t="s">
        <v>45</v>
      </c>
      <c r="C951" s="0" t="s">
        <v>46</v>
      </c>
      <c r="D951" s="0" t="n">
        <v>8</v>
      </c>
      <c r="E951" s="2" t="n">
        <v>40626.7083333333</v>
      </c>
      <c r="F951" s="0" t="n">
        <v>4.55</v>
      </c>
      <c r="G951" s="0" t="n">
        <v>13089</v>
      </c>
      <c r="H951" s="3" t="s">
        <v>14</v>
      </c>
      <c r="I951" s="4" t="n">
        <f aca="false">D951*F951</f>
        <v>36.4</v>
      </c>
      <c r="J951" s="3" t="n">
        <f aca="false">IF(AND(LEFT(A951,1)&lt;&gt;"C",D951&gt;0,F951&gt;0),1,0)</f>
        <v>1</v>
      </c>
      <c r="K951" s="3" t="n">
        <f aca="false">IF(AND(H951="United Kingdom",G951&lt;&gt;"",COUNTIFS($G$2:G951,G951,$H$2:H951,"United Kingdom")=1),1,0)</f>
        <v>0</v>
      </c>
    </row>
    <row r="952" customFormat="false" ht="15" hidden="false" customHeight="false" outlineLevel="0" collapsed="false">
      <c r="A952" s="0" t="s">
        <v>263</v>
      </c>
      <c r="B952" s="0" t="s">
        <v>54</v>
      </c>
      <c r="C952" s="0" t="s">
        <v>55</v>
      </c>
      <c r="D952" s="0" t="n">
        <v>3</v>
      </c>
      <c r="E952" s="2" t="n">
        <v>40626.7083333333</v>
      </c>
      <c r="F952" s="0" t="n">
        <v>0.99</v>
      </c>
      <c r="G952" s="0" t="n">
        <v>13089</v>
      </c>
      <c r="H952" s="3" t="s">
        <v>14</v>
      </c>
      <c r="I952" s="4" t="n">
        <f aca="false">D952*F952</f>
        <v>2.97</v>
      </c>
      <c r="J952" s="3" t="n">
        <f aca="false">IF(AND(LEFT(A952,1)&lt;&gt;"C",D952&gt;0,F952&gt;0),1,0)</f>
        <v>1</v>
      </c>
      <c r="K952" s="3" t="n">
        <f aca="false">IF(AND(H952="United Kingdom",G952&lt;&gt;"",COUNTIFS($G$2:G952,G952,$H$2:H952,"United Kingdom")=1),1,0)</f>
        <v>0</v>
      </c>
    </row>
    <row r="953" customFormat="false" ht="15" hidden="false" customHeight="false" outlineLevel="0" collapsed="false">
      <c r="A953" s="0" t="s">
        <v>263</v>
      </c>
      <c r="B953" s="0" t="s">
        <v>80</v>
      </c>
      <c r="C953" s="0" t="s">
        <v>81</v>
      </c>
      <c r="D953" s="0" t="n">
        <v>1</v>
      </c>
      <c r="E953" s="2" t="n">
        <v>40626.7083333333</v>
      </c>
      <c r="F953" s="0" t="n">
        <v>1.53</v>
      </c>
      <c r="G953" s="0" t="n">
        <v>13089</v>
      </c>
      <c r="H953" s="3" t="s">
        <v>14</v>
      </c>
      <c r="I953" s="4" t="n">
        <f aca="false">D953*F953</f>
        <v>1.53</v>
      </c>
      <c r="J953" s="3" t="n">
        <f aca="false">IF(AND(LEFT(A953,1)&lt;&gt;"C",D953&gt;0,F953&gt;0),1,0)</f>
        <v>1</v>
      </c>
      <c r="K953" s="3" t="n">
        <f aca="false">IF(AND(H953="United Kingdom",G953&lt;&gt;"",COUNTIFS($G$2:G953,G953,$H$2:H953,"United Kingdom")=1),1,0)</f>
        <v>0</v>
      </c>
    </row>
    <row r="954" customFormat="false" ht="15" hidden="false" customHeight="false" outlineLevel="0" collapsed="false">
      <c r="A954" s="0" t="s">
        <v>263</v>
      </c>
      <c r="B954" s="0" t="s">
        <v>60</v>
      </c>
      <c r="C954" s="0" t="s">
        <v>61</v>
      </c>
      <c r="D954" s="0" t="n">
        <v>8</v>
      </c>
      <c r="E954" s="2" t="n">
        <v>40626.7083333333</v>
      </c>
      <c r="F954" s="0" t="n">
        <v>0.63</v>
      </c>
      <c r="G954" s="0" t="n">
        <v>13089</v>
      </c>
      <c r="H954" s="3" t="s">
        <v>14</v>
      </c>
      <c r="I954" s="4" t="n">
        <f aca="false">D954*F954</f>
        <v>5.04</v>
      </c>
      <c r="J954" s="3" t="n">
        <f aca="false">IF(AND(LEFT(A954,1)&lt;&gt;"C",D954&gt;0,F954&gt;0),1,0)</f>
        <v>1</v>
      </c>
      <c r="K954" s="3" t="n">
        <f aca="false">IF(AND(H954="United Kingdom",G954&lt;&gt;"",COUNTIFS($G$2:G954,G954,$H$2:H954,"United Kingdom")=1),1,0)</f>
        <v>0</v>
      </c>
    </row>
    <row r="955" customFormat="false" ht="15" hidden="false" customHeight="false" outlineLevel="0" collapsed="false">
      <c r="A955" s="0" t="s">
        <v>263</v>
      </c>
      <c r="B955" s="0" t="s">
        <v>75</v>
      </c>
      <c r="C955" s="0" t="s">
        <v>76</v>
      </c>
      <c r="D955" s="0" t="n">
        <v>2</v>
      </c>
      <c r="E955" s="2" t="n">
        <v>40626.7083333333</v>
      </c>
      <c r="F955" s="0" t="n">
        <v>1.97</v>
      </c>
      <c r="G955" s="0" t="n">
        <v>13089</v>
      </c>
      <c r="H955" s="3" t="s">
        <v>14</v>
      </c>
      <c r="I955" s="4" t="n">
        <f aca="false">D955*F955</f>
        <v>3.94</v>
      </c>
      <c r="J955" s="3" t="n">
        <f aca="false">IF(AND(LEFT(A955,1)&lt;&gt;"C",D955&gt;0,F955&gt;0),1,0)</f>
        <v>1</v>
      </c>
      <c r="K955" s="3" t="n">
        <f aca="false">IF(AND(H955="United Kingdom",G955&lt;&gt;"",COUNTIFS($G$2:G955,G955,$H$2:H955,"United Kingdom")=1),1,0)</f>
        <v>0</v>
      </c>
    </row>
    <row r="956" customFormat="false" ht="15" hidden="false" customHeight="false" outlineLevel="0" collapsed="false">
      <c r="A956" s="0" t="s">
        <v>263</v>
      </c>
      <c r="B956" s="0" t="s">
        <v>32</v>
      </c>
      <c r="C956" s="0" t="s">
        <v>33</v>
      </c>
      <c r="D956" s="0" t="n">
        <v>6</v>
      </c>
      <c r="E956" s="2" t="n">
        <v>40626.7083333333</v>
      </c>
      <c r="F956" s="0" t="n">
        <v>1.19</v>
      </c>
      <c r="G956" s="0" t="n">
        <v>13089</v>
      </c>
      <c r="H956" s="3" t="s">
        <v>14</v>
      </c>
      <c r="I956" s="4" t="n">
        <f aca="false">D956*F956</f>
        <v>7.14</v>
      </c>
      <c r="J956" s="3" t="n">
        <f aca="false">IF(AND(LEFT(A956,1)&lt;&gt;"C",D956&gt;0,F956&gt;0),1,0)</f>
        <v>1</v>
      </c>
      <c r="K956" s="3" t="n">
        <f aca="false">IF(AND(H956="United Kingdom",G956&lt;&gt;"",COUNTIFS($G$2:G956,G956,$H$2:H956,"United Kingdom")=1),1,0)</f>
        <v>0</v>
      </c>
    </row>
    <row r="957" customFormat="false" ht="15" hidden="false" customHeight="false" outlineLevel="0" collapsed="false">
      <c r="A957" s="0" t="s">
        <v>263</v>
      </c>
      <c r="B957" s="0" t="s">
        <v>48</v>
      </c>
      <c r="C957" s="0" t="s">
        <v>49</v>
      </c>
      <c r="D957" s="0" t="n">
        <v>4</v>
      </c>
      <c r="E957" s="2" t="n">
        <v>40626.7083333333</v>
      </c>
      <c r="F957" s="0" t="n">
        <v>1.35</v>
      </c>
      <c r="G957" s="0" t="n">
        <v>13089</v>
      </c>
      <c r="H957" s="3" t="s">
        <v>14</v>
      </c>
      <c r="I957" s="4" t="n">
        <f aca="false">D957*F957</f>
        <v>5.4</v>
      </c>
      <c r="J957" s="3" t="n">
        <f aca="false">IF(AND(LEFT(A957,1)&lt;&gt;"C",D957&gt;0,F957&gt;0),1,0)</f>
        <v>1</v>
      </c>
      <c r="K957" s="3" t="n">
        <f aca="false">IF(AND(H957="United Kingdom",G957&lt;&gt;"",COUNTIFS($G$2:G957,G957,$H$2:H957,"United Kingdom")=1),1,0)</f>
        <v>0</v>
      </c>
    </row>
    <row r="958" customFormat="false" ht="15" hidden="false" customHeight="false" outlineLevel="0" collapsed="false">
      <c r="A958" s="0" t="s">
        <v>263</v>
      </c>
      <c r="B958" s="0" t="s">
        <v>20</v>
      </c>
      <c r="C958" s="0" t="s">
        <v>21</v>
      </c>
      <c r="D958" s="0" t="n">
        <v>8</v>
      </c>
      <c r="E958" s="2" t="n">
        <v>40626.7083333333</v>
      </c>
      <c r="F958" s="0" t="n">
        <v>4.24</v>
      </c>
      <c r="G958" s="0" t="n">
        <v>13089</v>
      </c>
      <c r="H958" s="3" t="s">
        <v>14</v>
      </c>
      <c r="I958" s="4" t="n">
        <f aca="false">D958*F958</f>
        <v>33.92</v>
      </c>
      <c r="J958" s="3" t="n">
        <f aca="false">IF(AND(LEFT(A958,1)&lt;&gt;"C",D958&gt;0,F958&gt;0),1,0)</f>
        <v>1</v>
      </c>
      <c r="K958" s="3" t="n">
        <f aca="false">IF(AND(H958="United Kingdom",G958&lt;&gt;"",COUNTIFS($G$2:G958,G958,$H$2:H958,"United Kingdom")=1),1,0)</f>
        <v>0</v>
      </c>
    </row>
    <row r="959" customFormat="false" ht="15" hidden="false" customHeight="false" outlineLevel="0" collapsed="false">
      <c r="A959" s="0" t="s">
        <v>263</v>
      </c>
      <c r="B959" s="0" t="s">
        <v>77</v>
      </c>
      <c r="C959" s="0" t="s">
        <v>78</v>
      </c>
      <c r="D959" s="0" t="n">
        <v>2</v>
      </c>
      <c r="E959" s="2" t="n">
        <v>40626.7083333333</v>
      </c>
      <c r="F959" s="0" t="n">
        <v>3.41</v>
      </c>
      <c r="G959" s="0" t="n">
        <v>13089</v>
      </c>
      <c r="H959" s="3" t="s">
        <v>14</v>
      </c>
      <c r="I959" s="4" t="n">
        <f aca="false">D959*F959</f>
        <v>6.82</v>
      </c>
      <c r="J959" s="3" t="n">
        <f aca="false">IF(AND(LEFT(A959,1)&lt;&gt;"C",D959&gt;0,F959&gt;0),1,0)</f>
        <v>1</v>
      </c>
      <c r="K959" s="3" t="n">
        <f aca="false">IF(AND(H959="United Kingdom",G959&lt;&gt;"",COUNTIFS($G$2:G959,G959,$H$2:H959,"United Kingdom")=1),1,0)</f>
        <v>0</v>
      </c>
    </row>
    <row r="960" customFormat="false" ht="15" hidden="false" customHeight="false" outlineLevel="0" collapsed="false">
      <c r="A960" s="0" t="s">
        <v>263</v>
      </c>
      <c r="B960" s="0" t="s">
        <v>37</v>
      </c>
      <c r="C960" s="0" t="s">
        <v>38</v>
      </c>
      <c r="D960" s="0" t="n">
        <v>1</v>
      </c>
      <c r="E960" s="2" t="n">
        <v>40626.7083333333</v>
      </c>
      <c r="F960" s="0" t="n">
        <v>1.82</v>
      </c>
      <c r="G960" s="0" t="n">
        <v>13089</v>
      </c>
      <c r="H960" s="3" t="s">
        <v>14</v>
      </c>
      <c r="I960" s="4" t="n">
        <f aca="false">D960*F960</f>
        <v>1.82</v>
      </c>
      <c r="J960" s="3" t="n">
        <f aca="false">IF(AND(LEFT(A960,1)&lt;&gt;"C",D960&gt;0,F960&gt;0),1,0)</f>
        <v>1</v>
      </c>
      <c r="K960" s="3" t="n">
        <f aca="false">IF(AND(H960="United Kingdom",G960&lt;&gt;"",COUNTIFS($G$2:G960,G960,$H$2:H960,"United Kingdom")=1),1,0)</f>
        <v>0</v>
      </c>
    </row>
    <row r="961" customFormat="false" ht="15" hidden="false" customHeight="false" outlineLevel="0" collapsed="false">
      <c r="A961" s="0" t="s">
        <v>263</v>
      </c>
      <c r="B961" s="0" t="s">
        <v>113</v>
      </c>
      <c r="C961" s="0" t="s">
        <v>114</v>
      </c>
      <c r="D961" s="0" t="n">
        <v>6</v>
      </c>
      <c r="E961" s="2" t="n">
        <v>40626.7083333333</v>
      </c>
      <c r="F961" s="0" t="n">
        <v>3.57</v>
      </c>
      <c r="G961" s="0" t="n">
        <v>13089</v>
      </c>
      <c r="H961" s="3" t="s">
        <v>14</v>
      </c>
      <c r="I961" s="4" t="n">
        <f aca="false">D961*F961</f>
        <v>21.42</v>
      </c>
      <c r="J961" s="3" t="n">
        <f aca="false">IF(AND(LEFT(A961,1)&lt;&gt;"C",D961&gt;0,F961&gt;0),1,0)</f>
        <v>1</v>
      </c>
      <c r="K961" s="3" t="n">
        <f aca="false">IF(AND(H961="United Kingdom",G961&lt;&gt;"",COUNTIFS($G$2:G961,G961,$H$2:H961,"United Kingdom")=1),1,0)</f>
        <v>0</v>
      </c>
    </row>
    <row r="962" customFormat="false" ht="15" hidden="false" customHeight="false" outlineLevel="0" collapsed="false">
      <c r="A962" s="0" t="s">
        <v>264</v>
      </c>
      <c r="B962" s="0" t="s">
        <v>72</v>
      </c>
      <c r="C962" s="0" t="s">
        <v>73</v>
      </c>
      <c r="D962" s="0" t="n">
        <v>2</v>
      </c>
      <c r="E962" s="2" t="n">
        <v>40627.4194444444</v>
      </c>
      <c r="F962" s="0" t="n">
        <v>2.69</v>
      </c>
      <c r="G962" s="0" t="n">
        <v>15284</v>
      </c>
      <c r="H962" s="3" t="s">
        <v>14</v>
      </c>
      <c r="I962" s="4" t="n">
        <f aca="false">D962*F962</f>
        <v>5.38</v>
      </c>
      <c r="J962" s="3" t="n">
        <f aca="false">IF(AND(LEFT(A962,1)&lt;&gt;"C",D962&gt;0,F962&gt;0),1,0)</f>
        <v>1</v>
      </c>
      <c r="K962" s="3" t="n">
        <f aca="false">IF(AND(H962="United Kingdom",G962&lt;&gt;"",COUNTIFS($G$2:G962,G962,$H$2:H962,"United Kingdom")=1),1,0)</f>
        <v>0</v>
      </c>
    </row>
    <row r="963" customFormat="false" ht="15" hidden="false" customHeight="false" outlineLevel="0" collapsed="false">
      <c r="A963" s="0" t="s">
        <v>265</v>
      </c>
      <c r="B963" s="0" t="s">
        <v>72</v>
      </c>
      <c r="C963" s="0" t="s">
        <v>73</v>
      </c>
      <c r="D963" s="0" t="n">
        <v>1</v>
      </c>
      <c r="E963" s="2" t="n">
        <v>40627.4840277778</v>
      </c>
      <c r="F963" s="0" t="n">
        <v>2.69</v>
      </c>
      <c r="G963" s="0" t="n">
        <v>14600</v>
      </c>
      <c r="H963" s="3" t="s">
        <v>120</v>
      </c>
      <c r="I963" s="4" t="n">
        <f aca="false">D963*F963</f>
        <v>2.69</v>
      </c>
      <c r="J963" s="3" t="n">
        <f aca="false">IF(AND(LEFT(A963,1)&lt;&gt;"C",D963&gt;0,F963&gt;0),1,0)</f>
        <v>1</v>
      </c>
      <c r="K963" s="3" t="n">
        <f aca="false">IF(AND(H963="United Kingdom",G963&lt;&gt;"",COUNTIFS($G$2:G963,G963,$H$2:H963,"United Kingdom")=1),1,0)</f>
        <v>0</v>
      </c>
    </row>
    <row r="964" customFormat="false" ht="15" hidden="false" customHeight="false" outlineLevel="0" collapsed="false">
      <c r="A964" s="0" t="s">
        <v>265</v>
      </c>
      <c r="B964" s="0" t="s">
        <v>75</v>
      </c>
      <c r="C964" s="0" t="s">
        <v>76</v>
      </c>
      <c r="D964" s="0" t="n">
        <v>2</v>
      </c>
      <c r="E964" s="2" t="n">
        <v>40627.4840277778</v>
      </c>
      <c r="F964" s="0" t="n">
        <v>1.97</v>
      </c>
      <c r="G964" s="0" t="n">
        <v>14600</v>
      </c>
      <c r="H964" s="3" t="s">
        <v>120</v>
      </c>
      <c r="I964" s="4" t="n">
        <f aca="false">D964*F964</f>
        <v>3.94</v>
      </c>
      <c r="J964" s="3" t="n">
        <f aca="false">IF(AND(LEFT(A964,1)&lt;&gt;"C",D964&gt;0,F964&gt;0),1,0)</f>
        <v>1</v>
      </c>
      <c r="K964" s="3" t="n">
        <f aca="false">IF(AND(H964="United Kingdom",G964&lt;&gt;"",COUNTIFS($G$2:G964,G964,$H$2:H964,"United Kingdom")=1),1,0)</f>
        <v>0</v>
      </c>
    </row>
    <row r="965" customFormat="false" ht="15" hidden="false" customHeight="false" outlineLevel="0" collapsed="false">
      <c r="A965" s="0" t="s">
        <v>266</v>
      </c>
      <c r="B965" s="0" t="s">
        <v>37</v>
      </c>
      <c r="C965" s="0" t="s">
        <v>38</v>
      </c>
      <c r="D965" s="0" t="n">
        <v>8</v>
      </c>
      <c r="E965" s="2" t="n">
        <v>40627.6631944445</v>
      </c>
      <c r="F965" s="0" t="n">
        <v>1.82</v>
      </c>
      <c r="H965" s="3" t="s">
        <v>14</v>
      </c>
      <c r="I965" s="4" t="n">
        <f aca="false">D965*F965</f>
        <v>14.56</v>
      </c>
      <c r="J965" s="3" t="n">
        <f aca="false">IF(AND(LEFT(A965,1)&lt;&gt;"C",D965&gt;0,F965&gt;0),1,0)</f>
        <v>1</v>
      </c>
      <c r="K965" s="3" t="n">
        <f aca="false">IF(AND(H965="United Kingdom",G965&lt;&gt;"",COUNTIFS($G$2:G965,G965,$H$2:H965,"United Kingdom")=1),1,0)</f>
        <v>0</v>
      </c>
    </row>
    <row r="966" customFormat="false" ht="15" hidden="false" customHeight="false" outlineLevel="0" collapsed="false">
      <c r="A966" s="0" t="s">
        <v>266</v>
      </c>
      <c r="B966" s="0" t="s">
        <v>41</v>
      </c>
      <c r="C966" s="0" t="s">
        <v>42</v>
      </c>
      <c r="D966" s="0" t="n">
        <v>6</v>
      </c>
      <c r="E966" s="2" t="n">
        <v>40627.6631944445</v>
      </c>
      <c r="F966" s="0" t="n">
        <v>3.28</v>
      </c>
      <c r="H966" s="3" t="s">
        <v>14</v>
      </c>
      <c r="I966" s="4" t="n">
        <f aca="false">D966*F966</f>
        <v>19.68</v>
      </c>
      <c r="J966" s="3" t="n">
        <f aca="false">IF(AND(LEFT(A966,1)&lt;&gt;"C",D966&gt;0,F966&gt;0),1,0)</f>
        <v>1</v>
      </c>
      <c r="K966" s="3" t="n">
        <f aca="false">IF(AND(H966="United Kingdom",G966&lt;&gt;"",COUNTIFS($G$2:G966,G966,$H$2:H966,"United Kingdom")=1),1,0)</f>
        <v>0</v>
      </c>
    </row>
    <row r="967" customFormat="false" ht="15" hidden="false" customHeight="false" outlineLevel="0" collapsed="false">
      <c r="A967" s="0" t="s">
        <v>267</v>
      </c>
      <c r="B967" s="0" t="s">
        <v>48</v>
      </c>
      <c r="C967" s="0" t="s">
        <v>49</v>
      </c>
      <c r="D967" s="0" t="n">
        <v>3</v>
      </c>
      <c r="E967" s="2" t="n">
        <v>40628.5138888889</v>
      </c>
      <c r="F967" s="0" t="n">
        <v>1.35</v>
      </c>
      <c r="G967" s="0" t="n">
        <v>18117</v>
      </c>
      <c r="H967" s="3" t="s">
        <v>14</v>
      </c>
      <c r="I967" s="4" t="n">
        <f aca="false">D967*F967</f>
        <v>4.05</v>
      </c>
      <c r="J967" s="3" t="n">
        <f aca="false">IF(AND(LEFT(A967,1)&lt;&gt;"C",D967&gt;0,F967&gt;0),1,0)</f>
        <v>1</v>
      </c>
      <c r="K967" s="3" t="n">
        <f aca="false">IF(AND(H967="United Kingdom",G967&lt;&gt;"",COUNTIFS($G$2:G967,G967,$H$2:H967,"United Kingdom")=1),1,0)</f>
        <v>1</v>
      </c>
    </row>
    <row r="968" customFormat="false" ht="15" hidden="false" customHeight="false" outlineLevel="0" collapsed="false">
      <c r="A968" s="0" t="s">
        <v>267</v>
      </c>
      <c r="B968" s="0" t="s">
        <v>54</v>
      </c>
      <c r="C968" s="0" t="s">
        <v>55</v>
      </c>
      <c r="D968" s="0" t="n">
        <v>4</v>
      </c>
      <c r="E968" s="2" t="n">
        <v>40628.5138888889</v>
      </c>
      <c r="F968" s="0" t="n">
        <v>0.99</v>
      </c>
      <c r="G968" s="0" t="n">
        <v>18117</v>
      </c>
      <c r="H968" s="3" t="s">
        <v>14</v>
      </c>
      <c r="I968" s="4" t="n">
        <f aca="false">D968*F968</f>
        <v>3.96</v>
      </c>
      <c r="J968" s="3" t="n">
        <f aca="false">IF(AND(LEFT(A968,1)&lt;&gt;"C",D968&gt;0,F968&gt;0),1,0)</f>
        <v>1</v>
      </c>
      <c r="K968" s="3" t="n">
        <f aca="false">IF(AND(H968="United Kingdom",G968&lt;&gt;"",COUNTIFS($G$2:G968,G968,$H$2:H968,"United Kingdom")=1),1,0)</f>
        <v>0</v>
      </c>
    </row>
    <row r="969" customFormat="false" ht="15" hidden="false" customHeight="false" outlineLevel="0" collapsed="false">
      <c r="A969" s="0" t="s">
        <v>267</v>
      </c>
      <c r="B969" s="0" t="s">
        <v>15</v>
      </c>
      <c r="C969" s="0" t="s">
        <v>16</v>
      </c>
      <c r="D969" s="0" t="n">
        <v>24</v>
      </c>
      <c r="E969" s="2" t="n">
        <v>40628.5138888889</v>
      </c>
      <c r="F969" s="0" t="n">
        <v>3.18</v>
      </c>
      <c r="G969" s="0" t="n">
        <v>18117</v>
      </c>
      <c r="H969" s="3" t="s">
        <v>14</v>
      </c>
      <c r="I969" s="4" t="n">
        <f aca="false">D969*F969</f>
        <v>76.32</v>
      </c>
      <c r="J969" s="3" t="n">
        <f aca="false">IF(AND(LEFT(A969,1)&lt;&gt;"C",D969&gt;0,F969&gt;0),1,0)</f>
        <v>1</v>
      </c>
      <c r="K969" s="3" t="n">
        <f aca="false">IF(AND(H969="United Kingdom",G969&lt;&gt;"",COUNTIFS($G$2:G969,G969,$H$2:H969,"United Kingdom")=1),1,0)</f>
        <v>0</v>
      </c>
    </row>
    <row r="970" customFormat="false" ht="15" hidden="false" customHeight="false" outlineLevel="0" collapsed="false">
      <c r="A970" s="0" t="s">
        <v>267</v>
      </c>
      <c r="B970" s="0" t="s">
        <v>52</v>
      </c>
      <c r="C970" s="0" t="s">
        <v>53</v>
      </c>
      <c r="D970" s="0" t="n">
        <v>2</v>
      </c>
      <c r="E970" s="2" t="n">
        <v>40628.5138888889</v>
      </c>
      <c r="F970" s="0" t="n">
        <v>4.16</v>
      </c>
      <c r="G970" s="0" t="n">
        <v>18117</v>
      </c>
      <c r="H970" s="3" t="s">
        <v>14</v>
      </c>
      <c r="I970" s="4" t="n">
        <f aca="false">D970*F970</f>
        <v>8.32</v>
      </c>
      <c r="J970" s="3" t="n">
        <f aca="false">IF(AND(LEFT(A970,1)&lt;&gt;"C",D970&gt;0,F970&gt;0),1,0)</f>
        <v>1</v>
      </c>
      <c r="K970" s="3" t="n">
        <f aca="false">IF(AND(H970="United Kingdom",G970&lt;&gt;"",COUNTIFS($G$2:G970,G970,$H$2:H970,"United Kingdom")=1),1,0)</f>
        <v>0</v>
      </c>
    </row>
    <row r="971" customFormat="false" ht="15" hidden="false" customHeight="false" outlineLevel="0" collapsed="false">
      <c r="A971" s="0" t="s">
        <v>267</v>
      </c>
      <c r="B971" s="0" t="s">
        <v>29</v>
      </c>
      <c r="C971" s="0" t="s">
        <v>30</v>
      </c>
      <c r="D971" s="0" t="n">
        <v>1</v>
      </c>
      <c r="E971" s="2" t="n">
        <v>40628.5138888889</v>
      </c>
      <c r="F971" s="0" t="n">
        <v>5.79</v>
      </c>
      <c r="G971" s="0" t="n">
        <v>18117</v>
      </c>
      <c r="H971" s="3" t="s">
        <v>14</v>
      </c>
      <c r="I971" s="4" t="n">
        <f aca="false">D971*F971</f>
        <v>5.79</v>
      </c>
      <c r="J971" s="3" t="n">
        <f aca="false">IF(AND(LEFT(A971,1)&lt;&gt;"C",D971&gt;0,F971&gt;0),1,0)</f>
        <v>1</v>
      </c>
      <c r="K971" s="3" t="n">
        <f aca="false">IF(AND(H971="United Kingdom",G971&lt;&gt;"",COUNTIFS($G$2:G971,G971,$H$2:H971,"United Kingdom")=1),1,0)</f>
        <v>0</v>
      </c>
    </row>
    <row r="972" customFormat="false" ht="15" hidden="false" customHeight="false" outlineLevel="0" collapsed="false">
      <c r="A972" s="0" t="s">
        <v>267</v>
      </c>
      <c r="B972" s="0" t="s">
        <v>77</v>
      </c>
      <c r="C972" s="0" t="s">
        <v>78</v>
      </c>
      <c r="D972" s="0" t="n">
        <v>2</v>
      </c>
      <c r="E972" s="2" t="n">
        <v>40628.5138888889</v>
      </c>
      <c r="F972" s="0" t="n">
        <v>3.41</v>
      </c>
      <c r="G972" s="0" t="n">
        <v>18117</v>
      </c>
      <c r="H972" s="3" t="s">
        <v>14</v>
      </c>
      <c r="I972" s="4" t="n">
        <f aca="false">D972*F972</f>
        <v>6.82</v>
      </c>
      <c r="J972" s="3" t="n">
        <f aca="false">IF(AND(LEFT(A972,1)&lt;&gt;"C",D972&gt;0,F972&gt;0),1,0)</f>
        <v>1</v>
      </c>
      <c r="K972" s="3" t="n">
        <f aca="false">IF(AND(H972="United Kingdom",G972&lt;&gt;"",COUNTIFS($G$2:G972,G972,$H$2:H972,"United Kingdom")=1),1,0)</f>
        <v>0</v>
      </c>
    </row>
    <row r="973" customFormat="false" ht="15" hidden="false" customHeight="false" outlineLevel="0" collapsed="false">
      <c r="A973" s="0" t="s">
        <v>268</v>
      </c>
      <c r="B973" s="0" t="s">
        <v>37</v>
      </c>
      <c r="C973" s="0" t="s">
        <v>38</v>
      </c>
      <c r="D973" s="0" t="n">
        <v>2</v>
      </c>
      <c r="E973" s="2" t="n">
        <v>40628.8069444444</v>
      </c>
      <c r="F973" s="0" t="n">
        <v>1.82</v>
      </c>
      <c r="G973" s="0" t="n">
        <v>16258</v>
      </c>
      <c r="H973" s="3" t="s">
        <v>14</v>
      </c>
      <c r="I973" s="4" t="n">
        <f aca="false">D973*F973</f>
        <v>3.64</v>
      </c>
      <c r="J973" s="3" t="n">
        <f aca="false">IF(AND(LEFT(A973,1)&lt;&gt;"C",D973&gt;0,F973&gt;0),1,0)</f>
        <v>1</v>
      </c>
      <c r="K973" s="3" t="n">
        <f aca="false">IF(AND(H973="United Kingdom",G973&lt;&gt;"",COUNTIFS($G$2:G973,G973,$H$2:H973,"United Kingdom")=1),1,0)</f>
        <v>0</v>
      </c>
    </row>
    <row r="974" customFormat="false" ht="15" hidden="false" customHeight="false" outlineLevel="0" collapsed="false">
      <c r="A974" s="0" t="s">
        <v>268</v>
      </c>
      <c r="B974" s="0" t="s">
        <v>58</v>
      </c>
      <c r="C974" s="0" t="s">
        <v>59</v>
      </c>
      <c r="D974" s="0" t="n">
        <v>3</v>
      </c>
      <c r="E974" s="2" t="n">
        <v>40628.8069444444</v>
      </c>
      <c r="F974" s="0" t="n">
        <v>2.16</v>
      </c>
      <c r="G974" s="0" t="n">
        <v>16258</v>
      </c>
      <c r="H974" s="3" t="s">
        <v>14</v>
      </c>
      <c r="I974" s="4" t="n">
        <f aca="false">D974*F974</f>
        <v>6.48</v>
      </c>
      <c r="J974" s="3" t="n">
        <f aca="false">IF(AND(LEFT(A974,1)&lt;&gt;"C",D974&gt;0,F974&gt;0),1,0)</f>
        <v>1</v>
      </c>
      <c r="K974" s="3" t="n">
        <f aca="false">IF(AND(H974="United Kingdom",G974&lt;&gt;"",COUNTIFS($G$2:G974,G974,$H$2:H974,"United Kingdom")=1),1,0)</f>
        <v>0</v>
      </c>
    </row>
    <row r="975" customFormat="false" ht="15" hidden="false" customHeight="false" outlineLevel="0" collapsed="false">
      <c r="A975" s="0" t="s">
        <v>268</v>
      </c>
      <c r="B975" s="0" t="s">
        <v>77</v>
      </c>
      <c r="C975" s="0" t="s">
        <v>78</v>
      </c>
      <c r="D975" s="0" t="n">
        <v>4</v>
      </c>
      <c r="E975" s="2" t="n">
        <v>40628.8069444444</v>
      </c>
      <c r="F975" s="0" t="n">
        <v>3.41</v>
      </c>
      <c r="G975" s="0" t="n">
        <v>16258</v>
      </c>
      <c r="H975" s="3" t="s">
        <v>14</v>
      </c>
      <c r="I975" s="4" t="n">
        <f aca="false">D975*F975</f>
        <v>13.64</v>
      </c>
      <c r="J975" s="3" t="n">
        <f aca="false">IF(AND(LEFT(A975,1)&lt;&gt;"C",D975&gt;0,F975&gt;0),1,0)</f>
        <v>1</v>
      </c>
      <c r="K975" s="3" t="n">
        <f aca="false">IF(AND(H975="United Kingdom",G975&lt;&gt;"",COUNTIFS($G$2:G975,G975,$H$2:H975,"United Kingdom")=1),1,0)</f>
        <v>0</v>
      </c>
    </row>
    <row r="976" customFormat="false" ht="15" hidden="false" customHeight="false" outlineLevel="0" collapsed="false">
      <c r="A976" s="0" t="s">
        <v>268</v>
      </c>
      <c r="B976" s="0" t="s">
        <v>75</v>
      </c>
      <c r="C976" s="0" t="s">
        <v>76</v>
      </c>
      <c r="D976" s="0" t="n">
        <v>8</v>
      </c>
      <c r="E976" s="2" t="n">
        <v>40628.8069444444</v>
      </c>
      <c r="F976" s="0" t="n">
        <v>1.97</v>
      </c>
      <c r="G976" s="0" t="n">
        <v>16258</v>
      </c>
      <c r="H976" s="3" t="s">
        <v>14</v>
      </c>
      <c r="I976" s="4" t="n">
        <f aca="false">D976*F976</f>
        <v>15.76</v>
      </c>
      <c r="J976" s="3" t="n">
        <f aca="false">IF(AND(LEFT(A976,1)&lt;&gt;"C",D976&gt;0,F976&gt;0),1,0)</f>
        <v>1</v>
      </c>
      <c r="K976" s="3" t="n">
        <f aca="false">IF(AND(H976="United Kingdom",G976&lt;&gt;"",COUNTIFS($G$2:G976,G976,$H$2:H976,"United Kingdom")=1),1,0)</f>
        <v>0</v>
      </c>
    </row>
    <row r="977" customFormat="false" ht="15" hidden="false" customHeight="false" outlineLevel="0" collapsed="false">
      <c r="A977" s="0" t="s">
        <v>269</v>
      </c>
      <c r="B977" s="0" t="s">
        <v>37</v>
      </c>
      <c r="C977" s="0" t="s">
        <v>38</v>
      </c>
      <c r="D977" s="0" t="n">
        <v>2</v>
      </c>
      <c r="E977" s="2" t="n">
        <v>40629.6902777778</v>
      </c>
      <c r="F977" s="0" t="n">
        <v>1.82</v>
      </c>
      <c r="G977" s="0" t="n">
        <v>14601</v>
      </c>
      <c r="H977" s="3" t="s">
        <v>14</v>
      </c>
      <c r="I977" s="4" t="n">
        <f aca="false">D977*F977</f>
        <v>3.64</v>
      </c>
      <c r="J977" s="3" t="n">
        <f aca="false">IF(AND(LEFT(A977,1)&lt;&gt;"C",D977&gt;0,F977&gt;0),1,0)</f>
        <v>1</v>
      </c>
      <c r="K977" s="3" t="n">
        <f aca="false">IF(AND(H977="United Kingdom",G977&lt;&gt;"",COUNTIFS($G$2:G977,G977,$H$2:H977,"United Kingdom")=1),1,0)</f>
        <v>0</v>
      </c>
    </row>
    <row r="978" customFormat="false" ht="15" hidden="false" customHeight="false" outlineLevel="0" collapsed="false">
      <c r="A978" s="0" t="s">
        <v>269</v>
      </c>
      <c r="B978" s="0" t="s">
        <v>32</v>
      </c>
      <c r="C978" s="0" t="s">
        <v>33</v>
      </c>
      <c r="D978" s="0" t="n">
        <v>4</v>
      </c>
      <c r="E978" s="2" t="n">
        <v>40629.6902777778</v>
      </c>
      <c r="F978" s="0" t="n">
        <v>1.19</v>
      </c>
      <c r="G978" s="0" t="n">
        <v>14601</v>
      </c>
      <c r="H978" s="3" t="s">
        <v>14</v>
      </c>
      <c r="I978" s="4" t="n">
        <f aca="false">D978*F978</f>
        <v>4.76</v>
      </c>
      <c r="J978" s="3" t="n">
        <f aca="false">IF(AND(LEFT(A978,1)&lt;&gt;"C",D978&gt;0,F978&gt;0),1,0)</f>
        <v>1</v>
      </c>
      <c r="K978" s="3" t="n">
        <f aca="false">IF(AND(H978="United Kingdom",G978&lt;&gt;"",COUNTIFS($G$2:G978,G978,$H$2:H978,"United Kingdom")=1),1,0)</f>
        <v>0</v>
      </c>
    </row>
    <row r="979" customFormat="false" ht="15" hidden="false" customHeight="false" outlineLevel="0" collapsed="false">
      <c r="A979" s="0" t="s">
        <v>269</v>
      </c>
      <c r="B979" s="0" t="s">
        <v>80</v>
      </c>
      <c r="C979" s="0" t="s">
        <v>81</v>
      </c>
      <c r="D979" s="0" t="n">
        <v>1</v>
      </c>
      <c r="E979" s="2" t="n">
        <v>40629.6902777778</v>
      </c>
      <c r="F979" s="0" t="n">
        <v>1.53</v>
      </c>
      <c r="G979" s="0" t="n">
        <v>14601</v>
      </c>
      <c r="H979" s="3" t="s">
        <v>14</v>
      </c>
      <c r="I979" s="4" t="n">
        <f aca="false">D979*F979</f>
        <v>1.53</v>
      </c>
      <c r="J979" s="3" t="n">
        <f aca="false">IF(AND(LEFT(A979,1)&lt;&gt;"C",D979&gt;0,F979&gt;0),1,0)</f>
        <v>1</v>
      </c>
      <c r="K979" s="3" t="n">
        <f aca="false">IF(AND(H979="United Kingdom",G979&lt;&gt;"",COUNTIFS($G$2:G979,G979,$H$2:H979,"United Kingdom")=1),1,0)</f>
        <v>0</v>
      </c>
    </row>
    <row r="980" customFormat="false" ht="15" hidden="false" customHeight="false" outlineLevel="0" collapsed="false">
      <c r="A980" s="0" t="s">
        <v>270</v>
      </c>
      <c r="B980" s="0" t="s">
        <v>43</v>
      </c>
      <c r="C980" s="0" t="s">
        <v>44</v>
      </c>
      <c r="D980" s="0" t="n">
        <v>4</v>
      </c>
      <c r="E980" s="2" t="n">
        <v>40630.5159722222</v>
      </c>
      <c r="F980" s="0" t="n">
        <v>1.35</v>
      </c>
      <c r="G980" s="0" t="n">
        <v>16499</v>
      </c>
      <c r="H980" s="3" t="s">
        <v>14</v>
      </c>
      <c r="I980" s="4" t="n">
        <f aca="false">D980*F980</f>
        <v>5.4</v>
      </c>
      <c r="J980" s="3" t="n">
        <f aca="false">IF(AND(LEFT(A980,1)&lt;&gt;"C",D980&gt;0,F980&gt;0),1,0)</f>
        <v>1</v>
      </c>
      <c r="K980" s="3" t="n">
        <f aca="false">IF(AND(H980="United Kingdom",G980&lt;&gt;"",COUNTIFS($G$2:G980,G980,$H$2:H980,"United Kingdom")=1),1,0)</f>
        <v>0</v>
      </c>
    </row>
    <row r="981" customFormat="false" ht="15" hidden="false" customHeight="false" outlineLevel="0" collapsed="false">
      <c r="A981" s="0" t="s">
        <v>270</v>
      </c>
      <c r="B981" s="0" t="s">
        <v>27</v>
      </c>
      <c r="C981" s="0" t="s">
        <v>28</v>
      </c>
      <c r="D981" s="0" t="n">
        <v>2</v>
      </c>
      <c r="E981" s="2" t="n">
        <v>40630.5159722222</v>
      </c>
      <c r="F981" s="0" t="n">
        <v>4.55</v>
      </c>
      <c r="G981" s="0" t="n">
        <v>16499</v>
      </c>
      <c r="H981" s="3" t="s">
        <v>14</v>
      </c>
      <c r="I981" s="4" t="n">
        <f aca="false">D981*F981</f>
        <v>9.1</v>
      </c>
      <c r="J981" s="3" t="n">
        <f aca="false">IF(AND(LEFT(A981,1)&lt;&gt;"C",D981&gt;0,F981&gt;0),1,0)</f>
        <v>1</v>
      </c>
      <c r="K981" s="3" t="n">
        <f aca="false">IF(AND(H981="United Kingdom",G981&lt;&gt;"",COUNTIFS($G$2:G981,G981,$H$2:H981,"United Kingdom")=1),1,0)</f>
        <v>0</v>
      </c>
    </row>
    <row r="982" customFormat="false" ht="15" hidden="false" customHeight="false" outlineLevel="0" collapsed="false">
      <c r="A982" s="0" t="s">
        <v>270</v>
      </c>
      <c r="B982" s="0" t="s">
        <v>39</v>
      </c>
      <c r="C982" s="0" t="s">
        <v>40</v>
      </c>
      <c r="D982" s="0" t="n">
        <v>1</v>
      </c>
      <c r="E982" s="2" t="n">
        <v>40630.5159722222</v>
      </c>
      <c r="F982" s="0" t="n">
        <v>2.58</v>
      </c>
      <c r="G982" s="0" t="n">
        <v>16499</v>
      </c>
      <c r="H982" s="3" t="s">
        <v>14</v>
      </c>
      <c r="I982" s="4" t="n">
        <f aca="false">D982*F982</f>
        <v>2.58</v>
      </c>
      <c r="J982" s="3" t="n">
        <f aca="false">IF(AND(LEFT(A982,1)&lt;&gt;"C",D982&gt;0,F982&gt;0),1,0)</f>
        <v>1</v>
      </c>
      <c r="K982" s="3" t="n">
        <f aca="false">IF(AND(H982="United Kingdom",G982&lt;&gt;"",COUNTIFS($G$2:G982,G982,$H$2:H982,"United Kingdom")=1),1,0)</f>
        <v>0</v>
      </c>
    </row>
    <row r="983" customFormat="false" ht="15" hidden="false" customHeight="false" outlineLevel="0" collapsed="false">
      <c r="A983" s="0" t="s">
        <v>270</v>
      </c>
      <c r="B983" s="0" t="s">
        <v>113</v>
      </c>
      <c r="C983" s="0" t="s">
        <v>114</v>
      </c>
      <c r="D983" s="0" t="n">
        <v>8</v>
      </c>
      <c r="E983" s="2" t="n">
        <v>40630.5159722222</v>
      </c>
      <c r="F983" s="0" t="n">
        <v>3.57</v>
      </c>
      <c r="G983" s="0" t="n">
        <v>16499</v>
      </c>
      <c r="H983" s="3" t="s">
        <v>14</v>
      </c>
      <c r="I983" s="4" t="n">
        <f aca="false">D983*F983</f>
        <v>28.56</v>
      </c>
      <c r="J983" s="3" t="n">
        <f aca="false">IF(AND(LEFT(A983,1)&lt;&gt;"C",D983&gt;0,F983&gt;0),1,0)</f>
        <v>1</v>
      </c>
      <c r="K983" s="3" t="n">
        <f aca="false">IF(AND(H983="United Kingdom",G983&lt;&gt;"",COUNTIFS($G$2:G983,G983,$H$2:H983,"United Kingdom")=1),1,0)</f>
        <v>0</v>
      </c>
    </row>
    <row r="984" customFormat="false" ht="15" hidden="false" customHeight="false" outlineLevel="0" collapsed="false">
      <c r="A984" s="0" t="s">
        <v>270</v>
      </c>
      <c r="B984" s="0" t="s">
        <v>25</v>
      </c>
      <c r="C984" s="0" t="s">
        <v>26</v>
      </c>
      <c r="D984" s="0" t="n">
        <v>3</v>
      </c>
      <c r="E984" s="2" t="n">
        <v>40630.5159722222</v>
      </c>
      <c r="F984" s="0" t="n">
        <v>2.21</v>
      </c>
      <c r="G984" s="0" t="n">
        <v>16499</v>
      </c>
      <c r="H984" s="3" t="s">
        <v>14</v>
      </c>
      <c r="I984" s="4" t="n">
        <f aca="false">D984*F984</f>
        <v>6.63</v>
      </c>
      <c r="J984" s="3" t="n">
        <f aca="false">IF(AND(LEFT(A984,1)&lt;&gt;"C",D984&gt;0,F984&gt;0),1,0)</f>
        <v>1</v>
      </c>
      <c r="K984" s="3" t="n">
        <f aca="false">IF(AND(H984="United Kingdom",G984&lt;&gt;"",COUNTIFS($G$2:G984,G984,$H$2:H984,"United Kingdom")=1),1,0)</f>
        <v>0</v>
      </c>
    </row>
    <row r="985" customFormat="false" ht="15" hidden="false" customHeight="false" outlineLevel="0" collapsed="false">
      <c r="A985" s="0" t="s">
        <v>271</v>
      </c>
      <c r="B985" s="0" t="s">
        <v>65</v>
      </c>
      <c r="C985" s="0" t="s">
        <v>66</v>
      </c>
      <c r="D985" s="0" t="n">
        <v>2</v>
      </c>
      <c r="E985" s="2" t="n">
        <v>40630.7006944444</v>
      </c>
      <c r="F985" s="0" t="n">
        <v>4.75</v>
      </c>
      <c r="G985" s="0" t="n">
        <v>14880</v>
      </c>
      <c r="H985" s="3" t="s">
        <v>14</v>
      </c>
      <c r="I985" s="4" t="n">
        <f aca="false">D985*F985</f>
        <v>9.5</v>
      </c>
      <c r="J985" s="3" t="n">
        <f aca="false">IF(AND(LEFT(A985,1)&lt;&gt;"C",D985&gt;0,F985&gt;0),1,0)</f>
        <v>1</v>
      </c>
      <c r="K985" s="3" t="n">
        <f aca="false">IF(AND(H985="United Kingdom",G985&lt;&gt;"",COUNTIFS($G$2:G985,G985,$H$2:H985,"United Kingdom")=1),1,0)</f>
        <v>0</v>
      </c>
    </row>
    <row r="986" customFormat="false" ht="15" hidden="false" customHeight="false" outlineLevel="0" collapsed="false">
      <c r="A986" s="0" t="s">
        <v>271</v>
      </c>
      <c r="B986" s="0" t="s">
        <v>72</v>
      </c>
      <c r="C986" s="0" t="s">
        <v>73</v>
      </c>
      <c r="D986" s="0" t="n">
        <v>12</v>
      </c>
      <c r="E986" s="2" t="n">
        <v>40630.7006944444</v>
      </c>
      <c r="F986" s="0" t="n">
        <v>2.69</v>
      </c>
      <c r="G986" s="0" t="n">
        <v>14880</v>
      </c>
      <c r="H986" s="3" t="s">
        <v>14</v>
      </c>
      <c r="I986" s="4" t="n">
        <f aca="false">D986*F986</f>
        <v>32.28</v>
      </c>
      <c r="J986" s="3" t="n">
        <f aca="false">IF(AND(LEFT(A986,1)&lt;&gt;"C",D986&gt;0,F986&gt;0),1,0)</f>
        <v>1</v>
      </c>
      <c r="K986" s="3" t="n">
        <f aca="false">IF(AND(H986="United Kingdom",G986&lt;&gt;"",COUNTIFS($G$2:G986,G986,$H$2:H986,"United Kingdom")=1),1,0)</f>
        <v>0</v>
      </c>
    </row>
    <row r="987" customFormat="false" ht="15" hidden="false" customHeight="false" outlineLevel="0" collapsed="false">
      <c r="A987" s="0" t="s">
        <v>271</v>
      </c>
      <c r="B987" s="0" t="s">
        <v>12</v>
      </c>
      <c r="C987" s="0" t="s">
        <v>13</v>
      </c>
      <c r="D987" s="0" t="n">
        <v>8</v>
      </c>
      <c r="E987" s="2" t="n">
        <v>40630.7006944444</v>
      </c>
      <c r="F987" s="0" t="n">
        <v>3.33</v>
      </c>
      <c r="G987" s="0" t="n">
        <v>14880</v>
      </c>
      <c r="H987" s="3" t="s">
        <v>14</v>
      </c>
      <c r="I987" s="4" t="n">
        <f aca="false">D987*F987</f>
        <v>26.64</v>
      </c>
      <c r="J987" s="3" t="n">
        <f aca="false">IF(AND(LEFT(A987,1)&lt;&gt;"C",D987&gt;0,F987&gt;0),1,0)</f>
        <v>1</v>
      </c>
      <c r="K987" s="3" t="n">
        <f aca="false">IF(AND(H987="United Kingdom",G987&lt;&gt;"",COUNTIFS($G$2:G987,G987,$H$2:H987,"United Kingdom")=1),1,0)</f>
        <v>0</v>
      </c>
    </row>
    <row r="988" customFormat="false" ht="15" hidden="false" customHeight="false" outlineLevel="0" collapsed="false">
      <c r="A988" s="0" t="s">
        <v>271</v>
      </c>
      <c r="B988" s="0" t="s">
        <v>37</v>
      </c>
      <c r="C988" s="0" t="s">
        <v>38</v>
      </c>
      <c r="D988" s="0" t="n">
        <v>12</v>
      </c>
      <c r="E988" s="2" t="n">
        <v>40630.7006944444</v>
      </c>
      <c r="F988" s="0" t="n">
        <v>1.82</v>
      </c>
      <c r="G988" s="0" t="n">
        <v>14880</v>
      </c>
      <c r="H988" s="3" t="s">
        <v>14</v>
      </c>
      <c r="I988" s="4" t="n">
        <f aca="false">D988*F988</f>
        <v>21.84</v>
      </c>
      <c r="J988" s="3" t="n">
        <f aca="false">IF(AND(LEFT(A988,1)&lt;&gt;"C",D988&gt;0,F988&gt;0),1,0)</f>
        <v>1</v>
      </c>
      <c r="K988" s="3" t="n">
        <f aca="false">IF(AND(H988="United Kingdom",G988&lt;&gt;"",COUNTIFS($G$2:G988,G988,$H$2:H988,"United Kingdom")=1),1,0)</f>
        <v>0</v>
      </c>
    </row>
    <row r="989" customFormat="false" ht="15" hidden="false" customHeight="false" outlineLevel="0" collapsed="false">
      <c r="A989" s="0" t="s">
        <v>272</v>
      </c>
      <c r="B989" s="0" t="s">
        <v>77</v>
      </c>
      <c r="C989" s="0" t="s">
        <v>78</v>
      </c>
      <c r="D989" s="0" t="n">
        <v>288</v>
      </c>
      <c r="E989" s="2" t="n">
        <v>40632.5298611111</v>
      </c>
      <c r="F989" s="0" t="n">
        <v>3.41</v>
      </c>
      <c r="G989" s="0" t="n">
        <v>12911</v>
      </c>
      <c r="H989" s="3" t="s">
        <v>14</v>
      </c>
      <c r="I989" s="4" t="n">
        <f aca="false">D989*F989</f>
        <v>982.08</v>
      </c>
      <c r="J989" s="3" t="n">
        <f aca="false">IF(AND(LEFT(A989,1)&lt;&gt;"C",D989&gt;0,F989&gt;0),1,0)</f>
        <v>1</v>
      </c>
      <c r="K989" s="3" t="n">
        <f aca="false">IF(AND(H989="United Kingdom",G989&lt;&gt;"",COUNTIFS($G$2:G989,G989,$H$2:H989,"United Kingdom")=1),1,0)</f>
        <v>0</v>
      </c>
    </row>
    <row r="990" customFormat="false" ht="15" hidden="false" customHeight="false" outlineLevel="0" collapsed="false">
      <c r="A990" s="0" t="s">
        <v>272</v>
      </c>
      <c r="B990" s="0" t="s">
        <v>32</v>
      </c>
      <c r="C990" s="0" t="s">
        <v>33</v>
      </c>
      <c r="D990" s="0" t="n">
        <v>192</v>
      </c>
      <c r="E990" s="2" t="n">
        <v>40632.5298611111</v>
      </c>
      <c r="F990" s="0" t="n">
        <v>1.19</v>
      </c>
      <c r="G990" s="0" t="n">
        <v>12911</v>
      </c>
      <c r="H990" s="3" t="s">
        <v>14</v>
      </c>
      <c r="I990" s="4" t="n">
        <f aca="false">D990*F990</f>
        <v>228.48</v>
      </c>
      <c r="J990" s="3" t="n">
        <f aca="false">IF(AND(LEFT(A990,1)&lt;&gt;"C",D990&gt;0,F990&gt;0),1,0)</f>
        <v>1</v>
      </c>
      <c r="K990" s="3" t="n">
        <f aca="false">IF(AND(H990="United Kingdom",G990&lt;&gt;"",COUNTIFS($G$2:G990,G990,$H$2:H990,"United Kingdom")=1),1,0)</f>
        <v>0</v>
      </c>
    </row>
    <row r="991" customFormat="false" ht="15" hidden="false" customHeight="false" outlineLevel="0" collapsed="false">
      <c r="A991" s="0" t="s">
        <v>272</v>
      </c>
      <c r="B991" s="0" t="s">
        <v>63</v>
      </c>
      <c r="C991" s="0" t="s">
        <v>64</v>
      </c>
      <c r="D991" s="0" t="n">
        <v>48</v>
      </c>
      <c r="E991" s="2" t="n">
        <v>40632.5298611111</v>
      </c>
      <c r="F991" s="0" t="n">
        <v>2.43</v>
      </c>
      <c r="G991" s="0" t="n">
        <v>12911</v>
      </c>
      <c r="H991" s="3" t="s">
        <v>14</v>
      </c>
      <c r="I991" s="4" t="n">
        <f aca="false">D991*F991</f>
        <v>116.64</v>
      </c>
      <c r="J991" s="3" t="n">
        <f aca="false">IF(AND(LEFT(A991,1)&lt;&gt;"C",D991&gt;0,F991&gt;0),1,0)</f>
        <v>1</v>
      </c>
      <c r="K991" s="3" t="n">
        <f aca="false">IF(AND(H991="United Kingdom",G991&lt;&gt;"",COUNTIFS($G$2:G991,G991,$H$2:H991,"United Kingdom")=1),1,0)</f>
        <v>0</v>
      </c>
    </row>
    <row r="992" customFormat="false" ht="15" hidden="false" customHeight="false" outlineLevel="0" collapsed="false">
      <c r="A992" s="0" t="s">
        <v>272</v>
      </c>
      <c r="B992" s="0" t="s">
        <v>65</v>
      </c>
      <c r="C992" s="0" t="s">
        <v>66</v>
      </c>
      <c r="D992" s="0" t="n">
        <v>48</v>
      </c>
      <c r="E992" s="2" t="n">
        <v>40632.5298611111</v>
      </c>
      <c r="F992" s="0" t="n">
        <v>4.75</v>
      </c>
      <c r="G992" s="0" t="n">
        <v>12911</v>
      </c>
      <c r="H992" s="3" t="s">
        <v>14</v>
      </c>
      <c r="I992" s="4" t="n">
        <f aca="false">D992*F992</f>
        <v>228</v>
      </c>
      <c r="J992" s="3" t="n">
        <f aca="false">IF(AND(LEFT(A992,1)&lt;&gt;"C",D992&gt;0,F992&gt;0),1,0)</f>
        <v>1</v>
      </c>
      <c r="K992" s="3" t="n">
        <f aca="false">IF(AND(H992="United Kingdom",G992&lt;&gt;"",COUNTIFS($G$2:G992,G992,$H$2:H992,"United Kingdom")=1),1,0)</f>
        <v>0</v>
      </c>
    </row>
    <row r="993" customFormat="false" ht="15" hidden="false" customHeight="false" outlineLevel="0" collapsed="false">
      <c r="A993" s="0" t="s">
        <v>272</v>
      </c>
      <c r="B993" s="0" t="s">
        <v>52</v>
      </c>
      <c r="C993" s="0" t="s">
        <v>53</v>
      </c>
      <c r="D993" s="0" t="n">
        <v>36</v>
      </c>
      <c r="E993" s="2" t="n">
        <v>40632.5298611111</v>
      </c>
      <c r="F993" s="0" t="n">
        <v>4.16</v>
      </c>
      <c r="G993" s="0" t="n">
        <v>12911</v>
      </c>
      <c r="H993" s="3" t="s">
        <v>14</v>
      </c>
      <c r="I993" s="4" t="n">
        <f aca="false">D993*F993</f>
        <v>149.76</v>
      </c>
      <c r="J993" s="3" t="n">
        <f aca="false">IF(AND(LEFT(A993,1)&lt;&gt;"C",D993&gt;0,F993&gt;0),1,0)</f>
        <v>1</v>
      </c>
      <c r="K993" s="3" t="n">
        <f aca="false">IF(AND(H993="United Kingdom",G993&lt;&gt;"",COUNTIFS($G$2:G993,G993,$H$2:H993,"United Kingdom")=1),1,0)</f>
        <v>0</v>
      </c>
    </row>
    <row r="994" customFormat="false" ht="15" hidden="false" customHeight="false" outlineLevel="0" collapsed="false">
      <c r="A994" s="0" t="s">
        <v>272</v>
      </c>
      <c r="B994" s="0" t="s">
        <v>34</v>
      </c>
      <c r="C994" s="0" t="s">
        <v>35</v>
      </c>
      <c r="D994" s="0" t="n">
        <v>96</v>
      </c>
      <c r="E994" s="2" t="n">
        <v>40632.5298611111</v>
      </c>
      <c r="F994" s="0" t="n">
        <v>2.38</v>
      </c>
      <c r="G994" s="0" t="n">
        <v>12911</v>
      </c>
      <c r="H994" s="3" t="s">
        <v>14</v>
      </c>
      <c r="I994" s="4" t="n">
        <f aca="false">D994*F994</f>
        <v>228.48</v>
      </c>
      <c r="J994" s="3" t="n">
        <f aca="false">IF(AND(LEFT(A994,1)&lt;&gt;"C",D994&gt;0,F994&gt;0),1,0)</f>
        <v>1</v>
      </c>
      <c r="K994" s="3" t="n">
        <f aca="false">IF(AND(H994="United Kingdom",G994&lt;&gt;"",COUNTIFS($G$2:G994,G994,$H$2:H994,"United Kingdom")=1),1,0)</f>
        <v>0</v>
      </c>
    </row>
    <row r="995" customFormat="false" ht="15" hidden="false" customHeight="false" outlineLevel="0" collapsed="false">
      <c r="A995" s="0" t="s">
        <v>272</v>
      </c>
      <c r="B995" s="0" t="s">
        <v>50</v>
      </c>
      <c r="C995" s="0" t="s">
        <v>51</v>
      </c>
      <c r="D995" s="0" t="n">
        <v>288</v>
      </c>
      <c r="E995" s="2" t="n">
        <v>40632.5298611111</v>
      </c>
      <c r="F995" s="0" t="n">
        <v>5.41</v>
      </c>
      <c r="G995" s="0" t="n">
        <v>12911</v>
      </c>
      <c r="H995" s="3" t="s">
        <v>14</v>
      </c>
      <c r="I995" s="4" t="n">
        <f aca="false">D995*F995</f>
        <v>1558.08</v>
      </c>
      <c r="J995" s="3" t="n">
        <f aca="false">IF(AND(LEFT(A995,1)&lt;&gt;"C",D995&gt;0,F995&gt;0),1,0)</f>
        <v>1</v>
      </c>
      <c r="K995" s="3" t="n">
        <f aca="false">IF(AND(H995="United Kingdom",G995&lt;&gt;"",COUNTIFS($G$2:G995,G995,$H$2:H995,"United Kingdom")=1),1,0)</f>
        <v>0</v>
      </c>
    </row>
    <row r="996" customFormat="false" ht="15" hidden="false" customHeight="false" outlineLevel="0" collapsed="false">
      <c r="A996" s="0" t="s">
        <v>272</v>
      </c>
      <c r="B996" s="0" t="s">
        <v>60</v>
      </c>
      <c r="C996" s="0" t="s">
        <v>61</v>
      </c>
      <c r="D996" s="0" t="n">
        <v>72</v>
      </c>
      <c r="E996" s="2" t="n">
        <v>40632.5298611111</v>
      </c>
      <c r="F996" s="0" t="n">
        <v>0.63</v>
      </c>
      <c r="G996" s="0" t="n">
        <v>12911</v>
      </c>
      <c r="H996" s="3" t="s">
        <v>14</v>
      </c>
      <c r="I996" s="4" t="n">
        <f aca="false">D996*F996</f>
        <v>45.36</v>
      </c>
      <c r="J996" s="3" t="n">
        <f aca="false">IF(AND(LEFT(A996,1)&lt;&gt;"C",D996&gt;0,F996&gt;0),1,0)</f>
        <v>1</v>
      </c>
      <c r="K996" s="3" t="n">
        <f aca="false">IF(AND(H996="United Kingdom",G996&lt;&gt;"",COUNTIFS($G$2:G996,G996,$H$2:H996,"United Kingdom")=1),1,0)</f>
        <v>0</v>
      </c>
    </row>
    <row r="997" customFormat="false" ht="15" hidden="false" customHeight="false" outlineLevel="0" collapsed="false">
      <c r="A997" s="0" t="s">
        <v>272</v>
      </c>
      <c r="B997" s="0" t="s">
        <v>48</v>
      </c>
      <c r="C997" s="0" t="s">
        <v>49</v>
      </c>
      <c r="D997" s="0" t="n">
        <v>144</v>
      </c>
      <c r="E997" s="2" t="n">
        <v>40632.5298611111</v>
      </c>
      <c r="F997" s="0" t="n">
        <v>1.35</v>
      </c>
      <c r="G997" s="0" t="n">
        <v>12911</v>
      </c>
      <c r="H997" s="3" t="s">
        <v>14</v>
      </c>
      <c r="I997" s="4" t="n">
        <f aca="false">D997*F997</f>
        <v>194.4</v>
      </c>
      <c r="J997" s="3" t="n">
        <f aca="false">IF(AND(LEFT(A997,1)&lt;&gt;"C",D997&gt;0,F997&gt;0),1,0)</f>
        <v>1</v>
      </c>
      <c r="K997" s="3" t="n">
        <f aca="false">IF(AND(H997="United Kingdom",G997&lt;&gt;"",COUNTIFS($G$2:G997,G997,$H$2:H997,"United Kingdom")=1),1,0)</f>
        <v>0</v>
      </c>
    </row>
    <row r="998" customFormat="false" ht="15" hidden="false" customHeight="false" outlineLevel="0" collapsed="false">
      <c r="A998" s="0" t="s">
        <v>272</v>
      </c>
      <c r="B998" s="0" t="s">
        <v>41</v>
      </c>
      <c r="C998" s="0" t="s">
        <v>42</v>
      </c>
      <c r="D998" s="0" t="n">
        <v>108</v>
      </c>
      <c r="E998" s="2" t="n">
        <v>40632.5298611111</v>
      </c>
      <c r="F998" s="0" t="n">
        <v>3.28</v>
      </c>
      <c r="G998" s="0" t="n">
        <v>12911</v>
      </c>
      <c r="H998" s="3" t="s">
        <v>14</v>
      </c>
      <c r="I998" s="4" t="n">
        <f aca="false">D998*F998</f>
        <v>354.24</v>
      </c>
      <c r="J998" s="3" t="n">
        <f aca="false">IF(AND(LEFT(A998,1)&lt;&gt;"C",D998&gt;0,F998&gt;0),1,0)</f>
        <v>1</v>
      </c>
      <c r="K998" s="3" t="n">
        <f aca="false">IF(AND(H998="United Kingdom",G998&lt;&gt;"",COUNTIFS($G$2:G998,G998,$H$2:H998,"United Kingdom")=1),1,0)</f>
        <v>0</v>
      </c>
    </row>
    <row r="999" customFormat="false" ht="15" hidden="false" customHeight="false" outlineLevel="0" collapsed="false">
      <c r="A999" s="0" t="s">
        <v>272</v>
      </c>
      <c r="B999" s="0" t="s">
        <v>20</v>
      </c>
      <c r="C999" s="0" t="s">
        <v>21</v>
      </c>
      <c r="D999" s="0" t="n">
        <v>12</v>
      </c>
      <c r="E999" s="2" t="n">
        <v>40632.5298611111</v>
      </c>
      <c r="F999" s="0" t="n">
        <v>4.24</v>
      </c>
      <c r="G999" s="0" t="n">
        <v>12911</v>
      </c>
      <c r="H999" s="3" t="s">
        <v>14</v>
      </c>
      <c r="I999" s="4" t="n">
        <f aca="false">D999*F999</f>
        <v>50.88</v>
      </c>
      <c r="J999" s="3" t="n">
        <f aca="false">IF(AND(LEFT(A999,1)&lt;&gt;"C",D999&gt;0,F999&gt;0),1,0)</f>
        <v>1</v>
      </c>
      <c r="K999" s="3" t="n">
        <f aca="false">IF(AND(H999="United Kingdom",G999&lt;&gt;"",COUNTIFS($G$2:G999,G999,$H$2:H999,"United Kingdom")=1),1,0)</f>
        <v>0</v>
      </c>
    </row>
    <row r="1000" customFormat="false" ht="15" hidden="false" customHeight="false" outlineLevel="0" collapsed="false">
      <c r="A1000" s="0" t="s">
        <v>272</v>
      </c>
      <c r="B1000" s="0" t="s">
        <v>37</v>
      </c>
      <c r="C1000" s="0" t="s">
        <v>38</v>
      </c>
      <c r="D1000" s="0" t="n">
        <v>48</v>
      </c>
      <c r="E1000" s="2" t="n">
        <v>40632.5298611111</v>
      </c>
      <c r="F1000" s="0" t="n">
        <v>1.82</v>
      </c>
      <c r="G1000" s="0" t="n">
        <v>12911</v>
      </c>
      <c r="H1000" s="3" t="s">
        <v>14</v>
      </c>
      <c r="I1000" s="4" t="n">
        <f aca="false">D1000*F1000</f>
        <v>87.36</v>
      </c>
      <c r="J1000" s="3" t="n">
        <f aca="false">IF(AND(LEFT(A1000,1)&lt;&gt;"C",D1000&gt;0,F1000&gt;0),1,0)</f>
        <v>1</v>
      </c>
      <c r="K1000" s="3" t="n">
        <f aca="false">IF(AND(H1000="United Kingdom",G1000&lt;&gt;"",COUNTIFS($G$2:G1000,G1000,$H$2:H1000,"United Kingdom")=1),1,0)</f>
        <v>0</v>
      </c>
    </row>
    <row r="1001" customFormat="false" ht="15" hidden="false" customHeight="false" outlineLevel="0" collapsed="false">
      <c r="A1001" s="0" t="s">
        <v>272</v>
      </c>
      <c r="B1001" s="0" t="s">
        <v>80</v>
      </c>
      <c r="C1001" s="0" t="s">
        <v>81</v>
      </c>
      <c r="D1001" s="0" t="n">
        <v>36</v>
      </c>
      <c r="E1001" s="2" t="n">
        <v>40632.5298611111</v>
      </c>
      <c r="F1001" s="0" t="n">
        <v>1.53</v>
      </c>
      <c r="G1001" s="0" t="n">
        <v>12911</v>
      </c>
      <c r="H1001" s="3" t="s">
        <v>14</v>
      </c>
      <c r="I1001" s="4" t="n">
        <f aca="false">D1001*F1001</f>
        <v>55.08</v>
      </c>
      <c r="J1001" s="3" t="n">
        <f aca="false">IF(AND(LEFT(A1001,1)&lt;&gt;"C",D1001&gt;0,F1001&gt;0),1,0)</f>
        <v>1</v>
      </c>
      <c r="K1001" s="3" t="n">
        <f aca="false">IF(AND(H1001="United Kingdom",G1001&lt;&gt;"",COUNTIFS($G$2:G1001,G1001,$H$2:H1001,"United Kingdom")=1),1,0)</f>
        <v>0</v>
      </c>
    </row>
    <row r="1002" customFormat="false" ht="15" hidden="false" customHeight="false" outlineLevel="0" collapsed="false">
      <c r="A1002" s="0" t="s">
        <v>272</v>
      </c>
      <c r="B1002" s="0" t="s">
        <v>43</v>
      </c>
      <c r="C1002" s="0" t="s">
        <v>44</v>
      </c>
      <c r="D1002" s="0" t="n">
        <v>72</v>
      </c>
      <c r="E1002" s="2" t="n">
        <v>40632.5298611111</v>
      </c>
      <c r="F1002" s="0" t="n">
        <v>1.35</v>
      </c>
      <c r="G1002" s="0" t="n">
        <v>12911</v>
      </c>
      <c r="H1002" s="3" t="s">
        <v>14</v>
      </c>
      <c r="I1002" s="4" t="n">
        <f aca="false">D1002*F1002</f>
        <v>97.2</v>
      </c>
      <c r="J1002" s="3" t="n">
        <f aca="false">IF(AND(LEFT(A1002,1)&lt;&gt;"C",D1002&gt;0,F1002&gt;0),1,0)</f>
        <v>1</v>
      </c>
      <c r="K1002" s="3" t="n">
        <f aca="false">IF(AND(H1002="United Kingdom",G1002&lt;&gt;"",COUNTIFS($G$2:G1002,G1002,$H$2:H1002,"United Kingdom")=1),1,0)</f>
        <v>0</v>
      </c>
    </row>
    <row r="1003" customFormat="false" ht="15" hidden="false" customHeight="false" outlineLevel="0" collapsed="false">
      <c r="A1003" s="0" t="s">
        <v>272</v>
      </c>
      <c r="B1003" s="0" t="s">
        <v>22</v>
      </c>
      <c r="C1003" s="0" t="s">
        <v>23</v>
      </c>
      <c r="D1003" s="0" t="n">
        <v>24</v>
      </c>
      <c r="E1003" s="2" t="n">
        <v>40632.5298611111</v>
      </c>
      <c r="F1003" s="0" t="n">
        <v>3.18</v>
      </c>
      <c r="G1003" s="0" t="n">
        <v>12911</v>
      </c>
      <c r="H1003" s="3" t="s">
        <v>14</v>
      </c>
      <c r="I1003" s="4" t="n">
        <f aca="false">D1003*F1003</f>
        <v>76.32</v>
      </c>
      <c r="J1003" s="3" t="n">
        <f aca="false">IF(AND(LEFT(A1003,1)&lt;&gt;"C",D1003&gt;0,F1003&gt;0),1,0)</f>
        <v>1</v>
      </c>
      <c r="K1003" s="3" t="n">
        <f aca="false">IF(AND(H1003="United Kingdom",G1003&lt;&gt;"",COUNTIFS($G$2:G1003,G1003,$H$2:H1003,"United Kingdom")=1),1,0)</f>
        <v>0</v>
      </c>
    </row>
    <row r="1004" customFormat="false" ht="15" hidden="false" customHeight="false" outlineLevel="0" collapsed="false">
      <c r="A1004" s="0" t="s">
        <v>272</v>
      </c>
      <c r="B1004" s="0" t="s">
        <v>17</v>
      </c>
      <c r="C1004" s="0" t="s">
        <v>18</v>
      </c>
      <c r="D1004" s="0" t="n">
        <v>48</v>
      </c>
      <c r="E1004" s="2" t="n">
        <v>40632.5298611111</v>
      </c>
      <c r="F1004" s="0" t="n">
        <v>1.92</v>
      </c>
      <c r="G1004" s="0" t="n">
        <v>12911</v>
      </c>
      <c r="H1004" s="3" t="s">
        <v>14</v>
      </c>
      <c r="I1004" s="4" t="n">
        <f aca="false">D1004*F1004</f>
        <v>92.16</v>
      </c>
      <c r="J1004" s="3" t="n">
        <f aca="false">IF(AND(LEFT(A1004,1)&lt;&gt;"C",D1004&gt;0,F1004&gt;0),1,0)</f>
        <v>1</v>
      </c>
      <c r="K1004" s="3" t="n">
        <f aca="false">IF(AND(H1004="United Kingdom",G1004&lt;&gt;"",COUNTIFS($G$2:G1004,G1004,$H$2:H1004,"United Kingdom")=1),1,0)</f>
        <v>0</v>
      </c>
    </row>
    <row r="1005" customFormat="false" ht="15" hidden="false" customHeight="false" outlineLevel="0" collapsed="false">
      <c r="A1005" s="0" t="s">
        <v>272</v>
      </c>
      <c r="B1005" s="0" t="s">
        <v>25</v>
      </c>
      <c r="C1005" s="0" t="s">
        <v>26</v>
      </c>
      <c r="D1005" s="0" t="n">
        <v>6</v>
      </c>
      <c r="E1005" s="2" t="n">
        <v>40632.5298611111</v>
      </c>
      <c r="F1005" s="0" t="n">
        <v>2.21</v>
      </c>
      <c r="G1005" s="0" t="n">
        <v>12911</v>
      </c>
      <c r="H1005" s="3" t="s">
        <v>14</v>
      </c>
      <c r="I1005" s="4" t="n">
        <f aca="false">D1005*F1005</f>
        <v>13.26</v>
      </c>
      <c r="J1005" s="3" t="n">
        <f aca="false">IF(AND(LEFT(A1005,1)&lt;&gt;"C",D1005&gt;0,F1005&gt;0),1,0)</f>
        <v>1</v>
      </c>
      <c r="K1005" s="3" t="n">
        <f aca="false">IF(AND(H1005="United Kingdom",G1005&lt;&gt;"",COUNTIFS($G$2:G1005,G1005,$H$2:H1005,"United Kingdom")=1),1,0)</f>
        <v>0</v>
      </c>
    </row>
    <row r="1006" customFormat="false" ht="15" hidden="false" customHeight="false" outlineLevel="0" collapsed="false">
      <c r="A1006" s="0" t="s">
        <v>272</v>
      </c>
      <c r="B1006" s="0" t="s">
        <v>75</v>
      </c>
      <c r="C1006" s="0" t="s">
        <v>76</v>
      </c>
      <c r="D1006" s="0" t="n">
        <v>48</v>
      </c>
      <c r="E1006" s="2" t="n">
        <v>40632.5298611111</v>
      </c>
      <c r="F1006" s="0" t="n">
        <v>1.97</v>
      </c>
      <c r="G1006" s="0" t="n">
        <v>12911</v>
      </c>
      <c r="H1006" s="3" t="s">
        <v>14</v>
      </c>
      <c r="I1006" s="4" t="n">
        <f aca="false">D1006*F1006</f>
        <v>94.56</v>
      </c>
      <c r="J1006" s="3" t="n">
        <f aca="false">IF(AND(LEFT(A1006,1)&lt;&gt;"C",D1006&gt;0,F1006&gt;0),1,0)</f>
        <v>1</v>
      </c>
      <c r="K1006" s="3" t="n">
        <f aca="false">IF(AND(H1006="United Kingdom",G1006&lt;&gt;"",COUNTIFS($G$2:G1006,G1006,$H$2:H1006,"United Kingdom")=1),1,0)</f>
        <v>0</v>
      </c>
    </row>
    <row r="1007" customFormat="false" ht="15" hidden="false" customHeight="false" outlineLevel="0" collapsed="false">
      <c r="A1007" s="0" t="s">
        <v>272</v>
      </c>
      <c r="B1007" s="0" t="s">
        <v>12</v>
      </c>
      <c r="C1007" s="0" t="s">
        <v>13</v>
      </c>
      <c r="D1007" s="0" t="n">
        <v>192</v>
      </c>
      <c r="E1007" s="2" t="n">
        <v>40632.5298611111</v>
      </c>
      <c r="F1007" s="0" t="n">
        <v>3.33</v>
      </c>
      <c r="G1007" s="0" t="n">
        <v>12911</v>
      </c>
      <c r="H1007" s="3" t="s">
        <v>14</v>
      </c>
      <c r="I1007" s="4" t="n">
        <f aca="false">D1007*F1007</f>
        <v>639.36</v>
      </c>
      <c r="J1007" s="3" t="n">
        <f aca="false">IF(AND(LEFT(A1007,1)&lt;&gt;"C",D1007&gt;0,F1007&gt;0),1,0)</f>
        <v>1</v>
      </c>
      <c r="K1007" s="3" t="n">
        <f aca="false">IF(AND(H1007="United Kingdom",G1007&lt;&gt;"",COUNTIFS($G$2:G1007,G1007,$H$2:H1007,"United Kingdom")=1),1,0)</f>
        <v>0</v>
      </c>
    </row>
    <row r="1008" customFormat="false" ht="15" hidden="false" customHeight="false" outlineLevel="0" collapsed="false">
      <c r="A1008" s="0" t="s">
        <v>273</v>
      </c>
      <c r="B1008" s="0" t="s">
        <v>17</v>
      </c>
      <c r="C1008" s="0" t="s">
        <v>18</v>
      </c>
      <c r="D1008" s="0" t="n">
        <v>1</v>
      </c>
      <c r="E1008" s="2" t="n">
        <v>40632.5347222222</v>
      </c>
      <c r="F1008" s="0" t="n">
        <v>1.92</v>
      </c>
      <c r="G1008" s="0" t="n">
        <v>13965</v>
      </c>
      <c r="H1008" s="3" t="s">
        <v>14</v>
      </c>
      <c r="I1008" s="4" t="n">
        <f aca="false">D1008*F1008</f>
        <v>1.92</v>
      </c>
      <c r="J1008" s="3" t="n">
        <f aca="false">IF(AND(LEFT(A1008,1)&lt;&gt;"C",D1008&gt;0,F1008&gt;0),1,0)</f>
        <v>1</v>
      </c>
      <c r="K1008" s="3" t="n">
        <f aca="false">IF(AND(H1008="United Kingdom",G1008&lt;&gt;"",COUNTIFS($G$2:G1008,G1008,$H$2:H1008,"United Kingdom")=1),1,0)</f>
        <v>0</v>
      </c>
    </row>
    <row r="1009" customFormat="false" ht="15" hidden="false" customHeight="false" outlineLevel="0" collapsed="false">
      <c r="A1009" s="0" t="s">
        <v>273</v>
      </c>
      <c r="B1009" s="0" t="s">
        <v>25</v>
      </c>
      <c r="C1009" s="0" t="s">
        <v>26</v>
      </c>
      <c r="D1009" s="0" t="n">
        <v>2</v>
      </c>
      <c r="E1009" s="2" t="n">
        <v>40632.5347222222</v>
      </c>
      <c r="F1009" s="0" t="n">
        <v>2.21</v>
      </c>
      <c r="G1009" s="0" t="n">
        <v>13965</v>
      </c>
      <c r="H1009" s="3" t="s">
        <v>14</v>
      </c>
      <c r="I1009" s="4" t="n">
        <f aca="false">D1009*F1009</f>
        <v>4.42</v>
      </c>
      <c r="J1009" s="3" t="n">
        <f aca="false">IF(AND(LEFT(A1009,1)&lt;&gt;"C",D1009&gt;0,F1009&gt;0),1,0)</f>
        <v>1</v>
      </c>
      <c r="K1009" s="3" t="n">
        <f aca="false">IF(AND(H1009="United Kingdom",G1009&lt;&gt;"",COUNTIFS($G$2:G1009,G1009,$H$2:H1009,"United Kingdom")=1),1,0)</f>
        <v>0</v>
      </c>
    </row>
    <row r="1010" customFormat="false" ht="15" hidden="false" customHeight="false" outlineLevel="0" collapsed="false">
      <c r="A1010" s="0" t="s">
        <v>273</v>
      </c>
      <c r="B1010" s="0" t="s">
        <v>15</v>
      </c>
      <c r="C1010" s="0" t="s">
        <v>16</v>
      </c>
      <c r="D1010" s="0" t="n">
        <v>1</v>
      </c>
      <c r="E1010" s="2" t="n">
        <v>40632.5347222222</v>
      </c>
      <c r="F1010" s="0" t="n">
        <v>3.18</v>
      </c>
      <c r="G1010" s="0" t="n">
        <v>13965</v>
      </c>
      <c r="H1010" s="3" t="s">
        <v>14</v>
      </c>
      <c r="I1010" s="4" t="n">
        <f aca="false">D1010*F1010</f>
        <v>3.18</v>
      </c>
      <c r="J1010" s="3" t="n">
        <f aca="false">IF(AND(LEFT(A1010,1)&lt;&gt;"C",D1010&gt;0,F1010&gt;0),1,0)</f>
        <v>1</v>
      </c>
      <c r="K1010" s="3" t="n">
        <f aca="false">IF(AND(H1010="United Kingdom",G1010&lt;&gt;"",COUNTIFS($G$2:G1010,G1010,$H$2:H1010,"United Kingdom")=1),1,0)</f>
        <v>0</v>
      </c>
    </row>
    <row r="1011" customFormat="false" ht="15" hidden="false" customHeight="false" outlineLevel="0" collapsed="false">
      <c r="A1011" s="0" t="s">
        <v>274</v>
      </c>
      <c r="B1011" s="0" t="s">
        <v>43</v>
      </c>
      <c r="C1011" s="0" t="s">
        <v>44</v>
      </c>
      <c r="D1011" s="0" t="n">
        <v>1</v>
      </c>
      <c r="E1011" s="2" t="n">
        <v>40632.7020833333</v>
      </c>
      <c r="F1011" s="0" t="n">
        <v>1.35</v>
      </c>
      <c r="G1011" s="0" t="n">
        <v>13299</v>
      </c>
      <c r="H1011" s="3" t="s">
        <v>14</v>
      </c>
      <c r="I1011" s="4" t="n">
        <f aca="false">D1011*F1011</f>
        <v>1.35</v>
      </c>
      <c r="J1011" s="3" t="n">
        <f aca="false">IF(AND(LEFT(A1011,1)&lt;&gt;"C",D1011&gt;0,F1011&gt;0),1,0)</f>
        <v>1</v>
      </c>
      <c r="K1011" s="3" t="n">
        <f aca="false">IF(AND(H1011="United Kingdom",G1011&lt;&gt;"",COUNTIFS($G$2:G1011,G1011,$H$2:H1011,"United Kingdom")=1),1,0)</f>
        <v>0</v>
      </c>
    </row>
    <row r="1012" customFormat="false" ht="15" hidden="false" customHeight="false" outlineLevel="0" collapsed="false">
      <c r="A1012" s="0" t="s">
        <v>274</v>
      </c>
      <c r="B1012" s="0" t="s">
        <v>12</v>
      </c>
      <c r="C1012" s="0" t="s">
        <v>13</v>
      </c>
      <c r="D1012" s="0" t="n">
        <v>2</v>
      </c>
      <c r="E1012" s="2" t="n">
        <v>40632.7020833333</v>
      </c>
      <c r="F1012" s="0" t="n">
        <v>3.33</v>
      </c>
      <c r="G1012" s="0" t="n">
        <v>13299</v>
      </c>
      <c r="H1012" s="3" t="s">
        <v>14</v>
      </c>
      <c r="I1012" s="4" t="n">
        <f aca="false">D1012*F1012</f>
        <v>6.66</v>
      </c>
      <c r="J1012" s="3" t="n">
        <f aca="false">IF(AND(LEFT(A1012,1)&lt;&gt;"C",D1012&gt;0,F1012&gt;0),1,0)</f>
        <v>1</v>
      </c>
      <c r="K1012" s="3" t="n">
        <f aca="false">IF(AND(H1012="United Kingdom",G1012&lt;&gt;"",COUNTIFS($G$2:G1012,G1012,$H$2:H1012,"United Kingdom")=1),1,0)</f>
        <v>0</v>
      </c>
    </row>
    <row r="1013" customFormat="false" ht="15" hidden="false" customHeight="false" outlineLevel="0" collapsed="false">
      <c r="A1013" s="0" t="s">
        <v>274</v>
      </c>
      <c r="B1013" s="0" t="s">
        <v>32</v>
      </c>
      <c r="C1013" s="0" t="s">
        <v>33</v>
      </c>
      <c r="D1013" s="0" t="n">
        <v>3</v>
      </c>
      <c r="E1013" s="2" t="n">
        <v>40632.7020833333</v>
      </c>
      <c r="F1013" s="0" t="n">
        <v>1.19</v>
      </c>
      <c r="G1013" s="0" t="n">
        <v>13299</v>
      </c>
      <c r="H1013" s="3" t="s">
        <v>14</v>
      </c>
      <c r="I1013" s="4" t="n">
        <f aca="false">D1013*F1013</f>
        <v>3.57</v>
      </c>
      <c r="J1013" s="3" t="n">
        <f aca="false">IF(AND(LEFT(A1013,1)&lt;&gt;"C",D1013&gt;0,F1013&gt;0),1,0)</f>
        <v>1</v>
      </c>
      <c r="K1013" s="3" t="n">
        <f aca="false">IF(AND(H1013="United Kingdom",G1013&lt;&gt;"",COUNTIFS($G$2:G1013,G1013,$H$2:H1013,"United Kingdom")=1),1,0)</f>
        <v>0</v>
      </c>
    </row>
    <row r="1014" customFormat="false" ht="15" hidden="false" customHeight="false" outlineLevel="0" collapsed="false">
      <c r="A1014" s="0" t="s">
        <v>274</v>
      </c>
      <c r="B1014" s="0" t="s">
        <v>50</v>
      </c>
      <c r="C1014" s="0" t="s">
        <v>51</v>
      </c>
      <c r="D1014" s="0" t="n">
        <v>2</v>
      </c>
      <c r="E1014" s="2" t="n">
        <v>40632.7020833333</v>
      </c>
      <c r="F1014" s="0" t="n">
        <v>5.41</v>
      </c>
      <c r="G1014" s="0" t="n">
        <v>13299</v>
      </c>
      <c r="H1014" s="3" t="s">
        <v>14</v>
      </c>
      <c r="I1014" s="4" t="n">
        <f aca="false">D1014*F1014</f>
        <v>10.82</v>
      </c>
      <c r="J1014" s="3" t="n">
        <f aca="false">IF(AND(LEFT(A1014,1)&lt;&gt;"C",D1014&gt;0,F1014&gt;0),1,0)</f>
        <v>1</v>
      </c>
      <c r="K1014" s="3" t="n">
        <f aca="false">IF(AND(H1014="United Kingdom",G1014&lt;&gt;"",COUNTIFS($G$2:G1014,G1014,$H$2:H1014,"United Kingdom")=1),1,0)</f>
        <v>0</v>
      </c>
    </row>
    <row r="1015" customFormat="false" ht="15" hidden="false" customHeight="false" outlineLevel="0" collapsed="false">
      <c r="A1015" s="0" t="s">
        <v>274</v>
      </c>
      <c r="B1015" s="0" t="s">
        <v>77</v>
      </c>
      <c r="C1015" s="0" t="s">
        <v>78</v>
      </c>
      <c r="D1015" s="0" t="n">
        <v>3</v>
      </c>
      <c r="E1015" s="2" t="n">
        <v>40632.7020833333</v>
      </c>
      <c r="F1015" s="0" t="n">
        <v>3.41</v>
      </c>
      <c r="G1015" s="0" t="n">
        <v>13299</v>
      </c>
      <c r="H1015" s="3" t="s">
        <v>14</v>
      </c>
      <c r="I1015" s="4" t="n">
        <f aca="false">D1015*F1015</f>
        <v>10.23</v>
      </c>
      <c r="J1015" s="3" t="n">
        <f aca="false">IF(AND(LEFT(A1015,1)&lt;&gt;"C",D1015&gt;0,F1015&gt;0),1,0)</f>
        <v>1</v>
      </c>
      <c r="K1015" s="3" t="n">
        <f aca="false">IF(AND(H1015="United Kingdom",G1015&lt;&gt;"",COUNTIFS($G$2:G1015,G1015,$H$2:H1015,"United Kingdom")=1),1,0)</f>
        <v>0</v>
      </c>
    </row>
    <row r="1016" customFormat="false" ht="15" hidden="false" customHeight="false" outlineLevel="0" collapsed="false">
      <c r="A1016" s="0" t="s">
        <v>274</v>
      </c>
      <c r="B1016" s="0" t="s">
        <v>34</v>
      </c>
      <c r="C1016" s="0" t="s">
        <v>35</v>
      </c>
      <c r="D1016" s="0" t="n">
        <v>2</v>
      </c>
      <c r="E1016" s="2" t="n">
        <v>40632.7020833333</v>
      </c>
      <c r="F1016" s="0" t="n">
        <v>2.38</v>
      </c>
      <c r="G1016" s="0" t="n">
        <v>13299</v>
      </c>
      <c r="H1016" s="3" t="s">
        <v>14</v>
      </c>
      <c r="I1016" s="4" t="n">
        <f aca="false">D1016*F1016</f>
        <v>4.76</v>
      </c>
      <c r="J1016" s="3" t="n">
        <f aca="false">IF(AND(LEFT(A1016,1)&lt;&gt;"C",D1016&gt;0,F1016&gt;0),1,0)</f>
        <v>1</v>
      </c>
      <c r="K1016" s="3" t="n">
        <f aca="false">IF(AND(H1016="United Kingdom",G1016&lt;&gt;"",COUNTIFS($G$2:G1016,G1016,$H$2:H1016,"United Kingdom")=1),1,0)</f>
        <v>0</v>
      </c>
    </row>
    <row r="1017" customFormat="false" ht="15" hidden="false" customHeight="false" outlineLevel="0" collapsed="false">
      <c r="A1017" s="0" t="s">
        <v>275</v>
      </c>
      <c r="B1017" s="0" t="s">
        <v>37</v>
      </c>
      <c r="C1017" s="0" t="s">
        <v>38</v>
      </c>
      <c r="D1017" s="0" t="n">
        <v>1</v>
      </c>
      <c r="E1017" s="2" t="n">
        <v>40633.6138888889</v>
      </c>
      <c r="F1017" s="0" t="n">
        <v>1.82</v>
      </c>
      <c r="G1017" s="0" t="n">
        <v>16228</v>
      </c>
      <c r="H1017" s="3" t="s">
        <v>14</v>
      </c>
      <c r="I1017" s="4" t="n">
        <f aca="false">D1017*F1017</f>
        <v>1.82</v>
      </c>
      <c r="J1017" s="3" t="n">
        <f aca="false">IF(AND(LEFT(A1017,1)&lt;&gt;"C",D1017&gt;0,F1017&gt;0),1,0)</f>
        <v>1</v>
      </c>
      <c r="K1017" s="3" t="n">
        <f aca="false">IF(AND(H1017="United Kingdom",G1017&lt;&gt;"",COUNTIFS($G$2:G1017,G1017,$H$2:H1017,"United Kingdom")=1),1,0)</f>
        <v>0</v>
      </c>
    </row>
    <row r="1018" customFormat="false" ht="15" hidden="false" customHeight="false" outlineLevel="0" collapsed="false">
      <c r="A1018" s="0" t="s">
        <v>275</v>
      </c>
      <c r="B1018" s="0" t="s">
        <v>45</v>
      </c>
      <c r="C1018" s="0" t="s">
        <v>46</v>
      </c>
      <c r="D1018" s="0" t="n">
        <v>1</v>
      </c>
      <c r="E1018" s="2" t="n">
        <v>40633.6138888889</v>
      </c>
      <c r="F1018" s="0" t="n">
        <v>4.55</v>
      </c>
      <c r="G1018" s="0" t="n">
        <v>16228</v>
      </c>
      <c r="H1018" s="3" t="s">
        <v>14</v>
      </c>
      <c r="I1018" s="4" t="n">
        <f aca="false">D1018*F1018</f>
        <v>4.55</v>
      </c>
      <c r="J1018" s="3" t="n">
        <f aca="false">IF(AND(LEFT(A1018,1)&lt;&gt;"C",D1018&gt;0,F1018&gt;0),1,0)</f>
        <v>1</v>
      </c>
      <c r="K1018" s="3" t="n">
        <f aca="false">IF(AND(H1018="United Kingdom",G1018&lt;&gt;"",COUNTIFS($G$2:G1018,G1018,$H$2:H1018,"United Kingdom")=1),1,0)</f>
        <v>0</v>
      </c>
    </row>
    <row r="1019" customFormat="false" ht="15" hidden="false" customHeight="false" outlineLevel="0" collapsed="false">
      <c r="A1019" s="0" t="s">
        <v>276</v>
      </c>
      <c r="B1019" s="0" t="s">
        <v>77</v>
      </c>
      <c r="C1019" s="0" t="s">
        <v>78</v>
      </c>
      <c r="D1019" s="0" t="n">
        <v>3</v>
      </c>
      <c r="E1019" s="2" t="n">
        <v>40633.7798611111</v>
      </c>
      <c r="F1019" s="0" t="n">
        <v>3.41</v>
      </c>
      <c r="G1019" s="0" t="n">
        <v>15308</v>
      </c>
      <c r="H1019" s="3" t="s">
        <v>14</v>
      </c>
      <c r="I1019" s="4" t="n">
        <f aca="false">D1019*F1019</f>
        <v>10.23</v>
      </c>
      <c r="J1019" s="3" t="n">
        <f aca="false">IF(AND(LEFT(A1019,1)&lt;&gt;"C",D1019&gt;0,F1019&gt;0),1,0)</f>
        <v>1</v>
      </c>
      <c r="K1019" s="3" t="n">
        <f aca="false">IF(AND(H1019="United Kingdom",G1019&lt;&gt;"",COUNTIFS($G$2:G1019,G1019,$H$2:H1019,"United Kingdom")=1),1,0)</f>
        <v>1</v>
      </c>
    </row>
    <row r="1020" customFormat="false" ht="15" hidden="false" customHeight="false" outlineLevel="0" collapsed="false">
      <c r="A1020" s="0" t="s">
        <v>276</v>
      </c>
      <c r="B1020" s="0" t="s">
        <v>41</v>
      </c>
      <c r="C1020" s="0" t="s">
        <v>42</v>
      </c>
      <c r="D1020" s="0" t="n">
        <v>6</v>
      </c>
      <c r="E1020" s="2" t="n">
        <v>40633.7798611111</v>
      </c>
      <c r="F1020" s="0" t="n">
        <v>3.28</v>
      </c>
      <c r="G1020" s="0" t="n">
        <v>15308</v>
      </c>
      <c r="H1020" s="3" t="s">
        <v>14</v>
      </c>
      <c r="I1020" s="4" t="n">
        <f aca="false">D1020*F1020</f>
        <v>19.68</v>
      </c>
      <c r="J1020" s="3" t="n">
        <f aca="false">IF(AND(LEFT(A1020,1)&lt;&gt;"C",D1020&gt;0,F1020&gt;0),1,0)</f>
        <v>1</v>
      </c>
      <c r="K1020" s="3" t="n">
        <f aca="false">IF(AND(H1020="United Kingdom",G1020&lt;&gt;"",COUNTIFS($G$2:G1020,G1020,$H$2:H1020,"United Kingdom")=1),1,0)</f>
        <v>0</v>
      </c>
    </row>
    <row r="1021" customFormat="false" ht="15" hidden="false" customHeight="false" outlineLevel="0" collapsed="false">
      <c r="A1021" s="0" t="s">
        <v>277</v>
      </c>
      <c r="B1021" s="0" t="s">
        <v>20</v>
      </c>
      <c r="C1021" s="0" t="s">
        <v>21</v>
      </c>
      <c r="D1021" s="0" t="n">
        <v>2</v>
      </c>
      <c r="E1021" s="2" t="n">
        <v>40635.4076388889</v>
      </c>
      <c r="F1021" s="0" t="n">
        <v>4.24</v>
      </c>
      <c r="G1021" s="0" t="n">
        <v>16177</v>
      </c>
      <c r="H1021" s="3" t="s">
        <v>14</v>
      </c>
      <c r="I1021" s="4" t="n">
        <f aca="false">D1021*F1021</f>
        <v>8.48</v>
      </c>
      <c r="J1021" s="3" t="n">
        <f aca="false">IF(AND(LEFT(A1021,1)&lt;&gt;"C",D1021&gt;0,F1021&gt;0),1,0)</f>
        <v>1</v>
      </c>
      <c r="K1021" s="3" t="n">
        <f aca="false">IF(AND(H1021="United Kingdom",G1021&lt;&gt;"",COUNTIFS($G$2:G1021,G1021,$H$2:H1021,"United Kingdom")=1),1,0)</f>
        <v>1</v>
      </c>
    </row>
    <row r="1022" customFormat="false" ht="15" hidden="false" customHeight="false" outlineLevel="0" collapsed="false">
      <c r="A1022" s="0" t="s">
        <v>277</v>
      </c>
      <c r="B1022" s="0" t="s">
        <v>68</v>
      </c>
      <c r="C1022" s="0" t="s">
        <v>69</v>
      </c>
      <c r="D1022" s="0" t="n">
        <v>1</v>
      </c>
      <c r="E1022" s="2" t="n">
        <v>40635.4076388889</v>
      </c>
      <c r="F1022" s="0" t="n">
        <v>1.26</v>
      </c>
      <c r="G1022" s="0" t="n">
        <v>16177</v>
      </c>
      <c r="H1022" s="3" t="s">
        <v>14</v>
      </c>
      <c r="I1022" s="4" t="n">
        <f aca="false">D1022*F1022</f>
        <v>1.26</v>
      </c>
      <c r="J1022" s="3" t="n">
        <f aca="false">IF(AND(LEFT(A1022,1)&lt;&gt;"C",D1022&gt;0,F1022&gt;0),1,0)</f>
        <v>1</v>
      </c>
      <c r="K1022" s="3" t="n">
        <f aca="false">IF(AND(H1022="United Kingdom",G1022&lt;&gt;"",COUNTIFS($G$2:G1022,G1022,$H$2:H1022,"United Kingdom")=1),1,0)</f>
        <v>0</v>
      </c>
    </row>
    <row r="1023" customFormat="false" ht="15" hidden="false" customHeight="false" outlineLevel="0" collapsed="false">
      <c r="A1023" s="0" t="s">
        <v>277</v>
      </c>
      <c r="B1023" s="0" t="s">
        <v>43</v>
      </c>
      <c r="C1023" s="0" t="s">
        <v>44</v>
      </c>
      <c r="D1023" s="0" t="n">
        <v>8</v>
      </c>
      <c r="E1023" s="2" t="n">
        <v>40635.4076388889</v>
      </c>
      <c r="F1023" s="0" t="n">
        <v>1.35</v>
      </c>
      <c r="G1023" s="0" t="n">
        <v>16177</v>
      </c>
      <c r="H1023" s="3" t="s">
        <v>14</v>
      </c>
      <c r="I1023" s="4" t="n">
        <f aca="false">D1023*F1023</f>
        <v>10.8</v>
      </c>
      <c r="J1023" s="3" t="n">
        <f aca="false">IF(AND(LEFT(A1023,1)&lt;&gt;"C",D1023&gt;0,F1023&gt;0),1,0)</f>
        <v>1</v>
      </c>
      <c r="K1023" s="3" t="n">
        <f aca="false">IF(AND(H1023="United Kingdom",G1023&lt;&gt;"",COUNTIFS($G$2:G1023,G1023,$H$2:H1023,"United Kingdom")=1),1,0)</f>
        <v>0</v>
      </c>
    </row>
    <row r="1024" customFormat="false" ht="15" hidden="false" customHeight="false" outlineLevel="0" collapsed="false">
      <c r="A1024" s="0" t="s">
        <v>278</v>
      </c>
      <c r="B1024" s="0" t="s">
        <v>75</v>
      </c>
      <c r="C1024" s="0" t="s">
        <v>76</v>
      </c>
      <c r="D1024" s="0" t="n">
        <v>1</v>
      </c>
      <c r="E1024" s="2" t="n">
        <v>40636.6930555556</v>
      </c>
      <c r="F1024" s="0" t="n">
        <v>1.97</v>
      </c>
      <c r="G1024" s="0" t="n">
        <v>18051</v>
      </c>
      <c r="H1024" s="3" t="s">
        <v>14</v>
      </c>
      <c r="I1024" s="4" t="n">
        <f aca="false">D1024*F1024</f>
        <v>1.97</v>
      </c>
      <c r="J1024" s="3" t="n">
        <f aca="false">IF(AND(LEFT(A1024,1)&lt;&gt;"C",D1024&gt;0,F1024&gt;0),1,0)</f>
        <v>1</v>
      </c>
      <c r="K1024" s="3" t="n">
        <f aca="false">IF(AND(H1024="United Kingdom",G1024&lt;&gt;"",COUNTIFS($G$2:G1024,G1024,$H$2:H1024,"United Kingdom")=1),1,0)</f>
        <v>0</v>
      </c>
    </row>
    <row r="1025" customFormat="false" ht="15" hidden="false" customHeight="false" outlineLevel="0" collapsed="false">
      <c r="A1025" s="0" t="s">
        <v>278</v>
      </c>
      <c r="B1025" s="0" t="s">
        <v>12</v>
      </c>
      <c r="C1025" s="0" t="s">
        <v>13</v>
      </c>
      <c r="D1025" s="0" t="n">
        <v>2</v>
      </c>
      <c r="E1025" s="2" t="n">
        <v>40636.6930555556</v>
      </c>
      <c r="F1025" s="0" t="n">
        <v>3.33</v>
      </c>
      <c r="G1025" s="0" t="n">
        <v>18051</v>
      </c>
      <c r="H1025" s="3" t="s">
        <v>14</v>
      </c>
      <c r="I1025" s="4" t="n">
        <f aca="false">D1025*F1025</f>
        <v>6.66</v>
      </c>
      <c r="J1025" s="3" t="n">
        <f aca="false">IF(AND(LEFT(A1025,1)&lt;&gt;"C",D1025&gt;0,F1025&gt;0),1,0)</f>
        <v>1</v>
      </c>
      <c r="K1025" s="3" t="n">
        <f aca="false">IF(AND(H1025="United Kingdom",G1025&lt;&gt;"",COUNTIFS($G$2:G1025,G1025,$H$2:H1025,"United Kingdom")=1),1,0)</f>
        <v>0</v>
      </c>
    </row>
    <row r="1026" customFormat="false" ht="15" hidden="false" customHeight="false" outlineLevel="0" collapsed="false">
      <c r="A1026" s="0" t="s">
        <v>278</v>
      </c>
      <c r="B1026" s="0" t="s">
        <v>20</v>
      </c>
      <c r="C1026" s="0" t="s">
        <v>21</v>
      </c>
      <c r="D1026" s="0" t="n">
        <v>1</v>
      </c>
      <c r="E1026" s="2" t="n">
        <v>40636.6930555556</v>
      </c>
      <c r="F1026" s="0" t="n">
        <v>4.24</v>
      </c>
      <c r="G1026" s="0" t="n">
        <v>18051</v>
      </c>
      <c r="H1026" s="3" t="s">
        <v>14</v>
      </c>
      <c r="I1026" s="4" t="n">
        <f aca="false">D1026*F1026</f>
        <v>4.24</v>
      </c>
      <c r="J1026" s="3" t="n">
        <f aca="false">IF(AND(LEFT(A1026,1)&lt;&gt;"C",D1026&gt;0,F1026&gt;0),1,0)</f>
        <v>1</v>
      </c>
      <c r="K1026" s="3" t="n">
        <f aca="false">IF(AND(H1026="United Kingdom",G1026&lt;&gt;"",COUNTIFS($G$2:G1026,G1026,$H$2:H1026,"United Kingdom")=1),1,0)</f>
        <v>0</v>
      </c>
    </row>
    <row r="1027" customFormat="false" ht="15" hidden="false" customHeight="false" outlineLevel="0" collapsed="false">
      <c r="A1027" s="0" t="s">
        <v>278</v>
      </c>
      <c r="B1027" s="0" t="s">
        <v>25</v>
      </c>
      <c r="C1027" s="0" t="s">
        <v>26</v>
      </c>
      <c r="D1027" s="0" t="n">
        <v>3</v>
      </c>
      <c r="E1027" s="2" t="n">
        <v>40636.6930555556</v>
      </c>
      <c r="F1027" s="0" t="n">
        <v>2.21</v>
      </c>
      <c r="G1027" s="0" t="n">
        <v>18051</v>
      </c>
      <c r="H1027" s="3" t="s">
        <v>14</v>
      </c>
      <c r="I1027" s="4" t="n">
        <f aca="false">D1027*F1027</f>
        <v>6.63</v>
      </c>
      <c r="J1027" s="3" t="n">
        <f aca="false">IF(AND(LEFT(A1027,1)&lt;&gt;"C",D1027&gt;0,F1027&gt;0),1,0)</f>
        <v>1</v>
      </c>
      <c r="K1027" s="3" t="n">
        <f aca="false">IF(AND(H1027="United Kingdom",G1027&lt;&gt;"",COUNTIFS($G$2:G1027,G1027,$H$2:H1027,"United Kingdom")=1),1,0)</f>
        <v>0</v>
      </c>
    </row>
    <row r="1028" customFormat="false" ht="15" hidden="false" customHeight="false" outlineLevel="0" collapsed="false">
      <c r="A1028" s="0" t="s">
        <v>278</v>
      </c>
      <c r="B1028" s="0" t="s">
        <v>52</v>
      </c>
      <c r="C1028" s="0" t="s">
        <v>53</v>
      </c>
      <c r="D1028" s="0" t="n">
        <v>24</v>
      </c>
      <c r="E1028" s="2" t="n">
        <v>40636.6930555556</v>
      </c>
      <c r="F1028" s="0" t="n">
        <v>4.16</v>
      </c>
      <c r="G1028" s="0" t="n">
        <v>18051</v>
      </c>
      <c r="H1028" s="3" t="s">
        <v>14</v>
      </c>
      <c r="I1028" s="4" t="n">
        <f aca="false">D1028*F1028</f>
        <v>99.84</v>
      </c>
      <c r="J1028" s="3" t="n">
        <f aca="false">IF(AND(LEFT(A1028,1)&lt;&gt;"C",D1028&gt;0,F1028&gt;0),1,0)</f>
        <v>1</v>
      </c>
      <c r="K1028" s="3" t="n">
        <f aca="false">IF(AND(H1028="United Kingdom",G1028&lt;&gt;"",COUNTIFS($G$2:G1028,G1028,$H$2:H1028,"United Kingdom")=1),1,0)</f>
        <v>0</v>
      </c>
    </row>
    <row r="1029" customFormat="false" ht="15" hidden="false" customHeight="false" outlineLevel="0" collapsed="false">
      <c r="A1029" s="0" t="s">
        <v>278</v>
      </c>
      <c r="B1029" s="0" t="s">
        <v>80</v>
      </c>
      <c r="C1029" s="0" t="s">
        <v>81</v>
      </c>
      <c r="D1029" s="0" t="n">
        <v>3</v>
      </c>
      <c r="E1029" s="2" t="n">
        <v>40636.6930555556</v>
      </c>
      <c r="F1029" s="0" t="n">
        <v>1.53</v>
      </c>
      <c r="G1029" s="0" t="n">
        <v>18051</v>
      </c>
      <c r="H1029" s="3" t="s">
        <v>14</v>
      </c>
      <c r="I1029" s="4" t="n">
        <f aca="false">D1029*F1029</f>
        <v>4.59</v>
      </c>
      <c r="J1029" s="3" t="n">
        <f aca="false">IF(AND(LEFT(A1029,1)&lt;&gt;"C",D1029&gt;0,F1029&gt;0),1,0)</f>
        <v>1</v>
      </c>
      <c r="K1029" s="3" t="n">
        <f aca="false">IF(AND(H1029="United Kingdom",G1029&lt;&gt;"",COUNTIFS($G$2:G1029,G1029,$H$2:H1029,"United Kingdom")=1),1,0)</f>
        <v>0</v>
      </c>
    </row>
    <row r="1030" customFormat="false" ht="15" hidden="false" customHeight="false" outlineLevel="0" collapsed="false">
      <c r="A1030" s="0" t="s">
        <v>278</v>
      </c>
      <c r="B1030" s="0" t="s">
        <v>34</v>
      </c>
      <c r="C1030" s="0" t="s">
        <v>35</v>
      </c>
      <c r="D1030" s="0" t="n">
        <v>2</v>
      </c>
      <c r="E1030" s="2" t="n">
        <v>40636.6930555556</v>
      </c>
      <c r="F1030" s="0" t="n">
        <v>2.38</v>
      </c>
      <c r="G1030" s="0" t="n">
        <v>18051</v>
      </c>
      <c r="H1030" s="3" t="s">
        <v>14</v>
      </c>
      <c r="I1030" s="4" t="n">
        <f aca="false">D1030*F1030</f>
        <v>4.76</v>
      </c>
      <c r="J1030" s="3" t="n">
        <f aca="false">IF(AND(LEFT(A1030,1)&lt;&gt;"C",D1030&gt;0,F1030&gt;0),1,0)</f>
        <v>1</v>
      </c>
      <c r="K1030" s="3" t="n">
        <f aca="false">IF(AND(H1030="United Kingdom",G1030&lt;&gt;"",COUNTIFS($G$2:G1030,G1030,$H$2:H1030,"United Kingdom")=1),1,0)</f>
        <v>0</v>
      </c>
    </row>
    <row r="1031" customFormat="false" ht="15" hidden="false" customHeight="false" outlineLevel="0" collapsed="false">
      <c r="A1031" s="0" t="s">
        <v>278</v>
      </c>
      <c r="B1031" s="0" t="s">
        <v>48</v>
      </c>
      <c r="C1031" s="0" t="s">
        <v>49</v>
      </c>
      <c r="D1031" s="0" t="n">
        <v>2</v>
      </c>
      <c r="E1031" s="2" t="n">
        <v>40636.6930555556</v>
      </c>
      <c r="F1031" s="0" t="n">
        <v>1.35</v>
      </c>
      <c r="G1031" s="0" t="n">
        <v>18051</v>
      </c>
      <c r="H1031" s="3" t="s">
        <v>14</v>
      </c>
      <c r="I1031" s="4" t="n">
        <f aca="false">D1031*F1031</f>
        <v>2.7</v>
      </c>
      <c r="J1031" s="3" t="n">
        <f aca="false">IF(AND(LEFT(A1031,1)&lt;&gt;"C",D1031&gt;0,F1031&gt;0),1,0)</f>
        <v>1</v>
      </c>
      <c r="K1031" s="3" t="n">
        <f aca="false">IF(AND(H1031="United Kingdom",G1031&lt;&gt;"",COUNTIFS($G$2:G1031,G1031,$H$2:H1031,"United Kingdom")=1),1,0)</f>
        <v>0</v>
      </c>
    </row>
    <row r="1032" customFormat="false" ht="15" hidden="false" customHeight="false" outlineLevel="0" collapsed="false">
      <c r="A1032" s="0" t="s">
        <v>278</v>
      </c>
      <c r="B1032" s="0" t="s">
        <v>15</v>
      </c>
      <c r="C1032" s="0" t="s">
        <v>16</v>
      </c>
      <c r="D1032" s="0" t="n">
        <v>1</v>
      </c>
      <c r="E1032" s="2" t="n">
        <v>40636.6930555556</v>
      </c>
      <c r="F1032" s="0" t="n">
        <v>3.18</v>
      </c>
      <c r="G1032" s="0" t="n">
        <v>18051</v>
      </c>
      <c r="H1032" s="3" t="s">
        <v>14</v>
      </c>
      <c r="I1032" s="4" t="n">
        <f aca="false">D1032*F1032</f>
        <v>3.18</v>
      </c>
      <c r="J1032" s="3" t="n">
        <f aca="false">IF(AND(LEFT(A1032,1)&lt;&gt;"C",D1032&gt;0,F1032&gt;0),1,0)</f>
        <v>1</v>
      </c>
      <c r="K1032" s="3" t="n">
        <f aca="false">IF(AND(H1032="United Kingdom",G1032&lt;&gt;"",COUNTIFS($G$2:G1032,G1032,$H$2:H1032,"United Kingdom")=1),1,0)</f>
        <v>0</v>
      </c>
    </row>
    <row r="1033" customFormat="false" ht="15" hidden="false" customHeight="false" outlineLevel="0" collapsed="false">
      <c r="A1033" s="0" t="s">
        <v>278</v>
      </c>
      <c r="B1033" s="0" t="s">
        <v>29</v>
      </c>
      <c r="C1033" s="0" t="s">
        <v>30</v>
      </c>
      <c r="D1033" s="0" t="n">
        <v>1</v>
      </c>
      <c r="E1033" s="2" t="n">
        <v>40636.6930555556</v>
      </c>
      <c r="F1033" s="0" t="n">
        <v>5.79</v>
      </c>
      <c r="G1033" s="0" t="n">
        <v>18051</v>
      </c>
      <c r="H1033" s="3" t="s">
        <v>14</v>
      </c>
      <c r="I1033" s="4" t="n">
        <f aca="false">D1033*F1033</f>
        <v>5.79</v>
      </c>
      <c r="J1033" s="3" t="n">
        <f aca="false">IF(AND(LEFT(A1033,1)&lt;&gt;"C",D1033&gt;0,F1033&gt;0),1,0)</f>
        <v>1</v>
      </c>
      <c r="K1033" s="3" t="n">
        <f aca="false">IF(AND(H1033="United Kingdom",G1033&lt;&gt;"",COUNTIFS($G$2:G1033,G1033,$H$2:H1033,"United Kingdom")=1),1,0)</f>
        <v>0</v>
      </c>
    </row>
    <row r="1034" customFormat="false" ht="15" hidden="false" customHeight="false" outlineLevel="0" collapsed="false">
      <c r="A1034" s="0" t="s">
        <v>279</v>
      </c>
      <c r="B1034" s="0" t="s">
        <v>54</v>
      </c>
      <c r="C1034" s="0" t="s">
        <v>55</v>
      </c>
      <c r="D1034" s="0" t="n">
        <v>108</v>
      </c>
      <c r="E1034" s="2" t="n">
        <v>40638.6277777778</v>
      </c>
      <c r="F1034" s="0" t="n">
        <v>0.99</v>
      </c>
      <c r="G1034" s="0" t="n">
        <v>15626</v>
      </c>
      <c r="H1034" s="3" t="s">
        <v>14</v>
      </c>
      <c r="I1034" s="4" t="n">
        <f aca="false">D1034*F1034</f>
        <v>106.92</v>
      </c>
      <c r="J1034" s="3" t="n">
        <f aca="false">IF(AND(LEFT(A1034,1)&lt;&gt;"C",D1034&gt;0,F1034&gt;0),1,0)</f>
        <v>1</v>
      </c>
      <c r="K1034" s="3" t="n">
        <f aca="false">IF(AND(H1034="United Kingdom",G1034&lt;&gt;"",COUNTIFS($G$2:G1034,G1034,$H$2:H1034,"United Kingdom")=1),1,0)</f>
        <v>0</v>
      </c>
    </row>
    <row r="1035" customFormat="false" ht="15" hidden="false" customHeight="false" outlineLevel="0" collapsed="false">
      <c r="A1035" s="0" t="s">
        <v>279</v>
      </c>
      <c r="B1035" s="0" t="s">
        <v>48</v>
      </c>
      <c r="C1035" s="0" t="s">
        <v>49</v>
      </c>
      <c r="D1035" s="0" t="n">
        <v>144</v>
      </c>
      <c r="E1035" s="2" t="n">
        <v>40638.6277777778</v>
      </c>
      <c r="F1035" s="0" t="n">
        <v>1.35</v>
      </c>
      <c r="G1035" s="0" t="n">
        <v>15626</v>
      </c>
      <c r="H1035" s="3" t="s">
        <v>14</v>
      </c>
      <c r="I1035" s="4" t="n">
        <f aca="false">D1035*F1035</f>
        <v>194.4</v>
      </c>
      <c r="J1035" s="3" t="n">
        <f aca="false">IF(AND(LEFT(A1035,1)&lt;&gt;"C",D1035&gt;0,F1035&gt;0),1,0)</f>
        <v>1</v>
      </c>
      <c r="K1035" s="3" t="n">
        <f aca="false">IF(AND(H1035="United Kingdom",G1035&lt;&gt;"",COUNTIFS($G$2:G1035,G1035,$H$2:H1035,"United Kingdom")=1),1,0)</f>
        <v>0</v>
      </c>
    </row>
    <row r="1036" customFormat="false" ht="15" hidden="false" customHeight="false" outlineLevel="0" collapsed="false">
      <c r="A1036" s="0" t="s">
        <v>279</v>
      </c>
      <c r="B1036" s="0" t="s">
        <v>52</v>
      </c>
      <c r="C1036" s="0" t="s">
        <v>53</v>
      </c>
      <c r="D1036" s="0" t="n">
        <v>24</v>
      </c>
      <c r="E1036" s="2" t="n">
        <v>40638.6277777778</v>
      </c>
      <c r="F1036" s="0" t="n">
        <v>4.16</v>
      </c>
      <c r="G1036" s="0" t="n">
        <v>15626</v>
      </c>
      <c r="H1036" s="3" t="s">
        <v>14</v>
      </c>
      <c r="I1036" s="4" t="n">
        <f aca="false">D1036*F1036</f>
        <v>99.84</v>
      </c>
      <c r="J1036" s="3" t="n">
        <f aca="false">IF(AND(LEFT(A1036,1)&lt;&gt;"C",D1036&gt;0,F1036&gt;0),1,0)</f>
        <v>1</v>
      </c>
      <c r="K1036" s="3" t="n">
        <f aca="false">IF(AND(H1036="United Kingdom",G1036&lt;&gt;"",COUNTIFS($G$2:G1036,G1036,$H$2:H1036,"United Kingdom")=1),1,0)</f>
        <v>0</v>
      </c>
    </row>
    <row r="1037" customFormat="false" ht="15" hidden="false" customHeight="false" outlineLevel="0" collapsed="false">
      <c r="A1037" s="0" t="s">
        <v>279</v>
      </c>
      <c r="B1037" s="0" t="s">
        <v>75</v>
      </c>
      <c r="C1037" s="0" t="s">
        <v>76</v>
      </c>
      <c r="D1037" s="0" t="n">
        <v>48</v>
      </c>
      <c r="E1037" s="2" t="n">
        <v>40638.6277777778</v>
      </c>
      <c r="F1037" s="0" t="n">
        <v>1.97</v>
      </c>
      <c r="G1037" s="0" t="n">
        <v>15626</v>
      </c>
      <c r="H1037" s="3" t="s">
        <v>14</v>
      </c>
      <c r="I1037" s="4" t="n">
        <f aca="false">D1037*F1037</f>
        <v>94.56</v>
      </c>
      <c r="J1037" s="3" t="n">
        <f aca="false">IF(AND(LEFT(A1037,1)&lt;&gt;"C",D1037&gt;0,F1037&gt;0),1,0)</f>
        <v>1</v>
      </c>
      <c r="K1037" s="3" t="n">
        <f aca="false">IF(AND(H1037="United Kingdom",G1037&lt;&gt;"",COUNTIFS($G$2:G1037,G1037,$H$2:H1037,"United Kingdom")=1),1,0)</f>
        <v>0</v>
      </c>
    </row>
    <row r="1038" customFormat="false" ht="15" hidden="false" customHeight="false" outlineLevel="0" collapsed="false">
      <c r="A1038" s="0" t="s">
        <v>280</v>
      </c>
      <c r="B1038" s="0" t="s">
        <v>32</v>
      </c>
      <c r="C1038" s="0" t="s">
        <v>33</v>
      </c>
      <c r="D1038" s="0" t="n">
        <v>2</v>
      </c>
      <c r="E1038" s="2" t="n">
        <v>40640.5875</v>
      </c>
      <c r="F1038" s="0" t="n">
        <v>1.19</v>
      </c>
      <c r="G1038" s="0" t="n">
        <v>16009</v>
      </c>
      <c r="H1038" s="3" t="s">
        <v>14</v>
      </c>
      <c r="I1038" s="4" t="n">
        <f aca="false">D1038*F1038</f>
        <v>2.38</v>
      </c>
      <c r="J1038" s="3" t="n">
        <f aca="false">IF(AND(LEFT(A1038,1)&lt;&gt;"C",D1038&gt;0,F1038&gt;0),1,0)</f>
        <v>1</v>
      </c>
      <c r="K1038" s="3" t="n">
        <f aca="false">IF(AND(H1038="United Kingdom",G1038&lt;&gt;"",COUNTIFS($G$2:G1038,G1038,$H$2:H1038,"United Kingdom")=1),1,0)</f>
        <v>0</v>
      </c>
    </row>
    <row r="1039" customFormat="false" ht="15" hidden="false" customHeight="false" outlineLevel="0" collapsed="false">
      <c r="A1039" s="0" t="s">
        <v>281</v>
      </c>
      <c r="B1039" s="0" t="s">
        <v>90</v>
      </c>
      <c r="C1039" s="0" t="s">
        <v>91</v>
      </c>
      <c r="D1039" s="0" t="n">
        <v>76</v>
      </c>
      <c r="E1039" s="2" t="n">
        <v>40640.6958333333</v>
      </c>
      <c r="F1039" s="0" t="n">
        <v>3.04</v>
      </c>
      <c r="G1039" s="0" t="n">
        <v>15427</v>
      </c>
      <c r="H1039" s="3" t="s">
        <v>57</v>
      </c>
      <c r="I1039" s="4" t="n">
        <f aca="false">D1039*F1039</f>
        <v>231.04</v>
      </c>
      <c r="J1039" s="3" t="n">
        <f aca="false">IF(AND(LEFT(A1039,1)&lt;&gt;"C",D1039&gt;0,F1039&gt;0),1,0)</f>
        <v>1</v>
      </c>
      <c r="K1039" s="3" t="n">
        <f aca="false">IF(AND(H1039="United Kingdom",G1039&lt;&gt;"",COUNTIFS($G$2:G1039,G1039,$H$2:H1039,"United Kingdom")=1),1,0)</f>
        <v>0</v>
      </c>
    </row>
    <row r="1040" customFormat="false" ht="15" hidden="false" customHeight="false" outlineLevel="0" collapsed="false">
      <c r="A1040" s="0" t="s">
        <v>281</v>
      </c>
      <c r="B1040" s="0" t="s">
        <v>75</v>
      </c>
      <c r="C1040" s="0" t="s">
        <v>76</v>
      </c>
      <c r="D1040" s="0" t="n">
        <v>76</v>
      </c>
      <c r="E1040" s="2" t="n">
        <v>40640.6958333333</v>
      </c>
      <c r="F1040" s="0" t="n">
        <v>1.97</v>
      </c>
      <c r="G1040" s="0" t="n">
        <v>15427</v>
      </c>
      <c r="H1040" s="3" t="s">
        <v>57</v>
      </c>
      <c r="I1040" s="4" t="n">
        <f aca="false">D1040*F1040</f>
        <v>149.72</v>
      </c>
      <c r="J1040" s="3" t="n">
        <f aca="false">IF(AND(LEFT(A1040,1)&lt;&gt;"C",D1040&gt;0,F1040&gt;0),1,0)</f>
        <v>1</v>
      </c>
      <c r="K1040" s="3" t="n">
        <f aca="false">IF(AND(H1040="United Kingdom",G1040&lt;&gt;"",COUNTIFS($G$2:G1040,G1040,$H$2:H1040,"United Kingdom")=1),1,0)</f>
        <v>0</v>
      </c>
    </row>
    <row r="1041" customFormat="false" ht="15" hidden="false" customHeight="false" outlineLevel="0" collapsed="false">
      <c r="A1041" s="0" t="s">
        <v>281</v>
      </c>
      <c r="B1041" s="0" t="s">
        <v>25</v>
      </c>
      <c r="C1041" s="0" t="s">
        <v>26</v>
      </c>
      <c r="D1041" s="0" t="n">
        <v>230</v>
      </c>
      <c r="E1041" s="2" t="n">
        <v>40640.6958333333</v>
      </c>
      <c r="F1041" s="0" t="n">
        <v>2.21</v>
      </c>
      <c r="G1041" s="0" t="n">
        <v>15427</v>
      </c>
      <c r="H1041" s="3" t="s">
        <v>57</v>
      </c>
      <c r="I1041" s="4" t="n">
        <f aca="false">D1041*F1041</f>
        <v>508.3</v>
      </c>
      <c r="J1041" s="3" t="n">
        <f aca="false">IF(AND(LEFT(A1041,1)&lt;&gt;"C",D1041&gt;0,F1041&gt;0),1,0)</f>
        <v>1</v>
      </c>
      <c r="K1041" s="3" t="n">
        <f aca="false">IF(AND(H1041="United Kingdom",G1041&lt;&gt;"",COUNTIFS($G$2:G1041,G1041,$H$2:H1041,"United Kingdom")=1),1,0)</f>
        <v>0</v>
      </c>
    </row>
    <row r="1042" customFormat="false" ht="15" hidden="false" customHeight="false" outlineLevel="0" collapsed="false">
      <c r="A1042" s="0" t="s">
        <v>281</v>
      </c>
      <c r="B1042" s="0" t="s">
        <v>43</v>
      </c>
      <c r="C1042" s="0" t="s">
        <v>44</v>
      </c>
      <c r="D1042" s="0" t="n">
        <v>921</v>
      </c>
      <c r="E1042" s="2" t="n">
        <v>40640.6958333333</v>
      </c>
      <c r="F1042" s="0" t="n">
        <v>1.35</v>
      </c>
      <c r="G1042" s="0" t="n">
        <v>15427</v>
      </c>
      <c r="H1042" s="3" t="s">
        <v>57</v>
      </c>
      <c r="I1042" s="4" t="n">
        <f aca="false">D1042*F1042</f>
        <v>1243.35</v>
      </c>
      <c r="J1042" s="3" t="n">
        <f aca="false">IF(AND(LEFT(A1042,1)&lt;&gt;"C",D1042&gt;0,F1042&gt;0),1,0)</f>
        <v>1</v>
      </c>
      <c r="K1042" s="3" t="n">
        <f aca="false">IF(AND(H1042="United Kingdom",G1042&lt;&gt;"",COUNTIFS($G$2:G1042,G1042,$H$2:H1042,"United Kingdom")=1),1,0)</f>
        <v>0</v>
      </c>
    </row>
    <row r="1043" customFormat="false" ht="15" hidden="false" customHeight="false" outlineLevel="0" collapsed="false">
      <c r="A1043" s="0" t="s">
        <v>281</v>
      </c>
      <c r="B1043" s="0" t="s">
        <v>68</v>
      </c>
      <c r="C1043" s="0" t="s">
        <v>69</v>
      </c>
      <c r="D1043" s="0" t="n">
        <v>460</v>
      </c>
      <c r="E1043" s="2" t="n">
        <v>40640.6958333333</v>
      </c>
      <c r="F1043" s="0" t="n">
        <v>1.26</v>
      </c>
      <c r="G1043" s="0" t="n">
        <v>15427</v>
      </c>
      <c r="H1043" s="3" t="s">
        <v>57</v>
      </c>
      <c r="I1043" s="4" t="n">
        <f aca="false">D1043*F1043</f>
        <v>579.6</v>
      </c>
      <c r="J1043" s="3" t="n">
        <f aca="false">IF(AND(LEFT(A1043,1)&lt;&gt;"C",D1043&gt;0,F1043&gt;0),1,0)</f>
        <v>1</v>
      </c>
      <c r="K1043" s="3" t="n">
        <f aca="false">IF(AND(H1043="United Kingdom",G1043&lt;&gt;"",COUNTIFS($G$2:G1043,G1043,$H$2:H1043,"United Kingdom")=1),1,0)</f>
        <v>0</v>
      </c>
    </row>
    <row r="1044" customFormat="false" ht="15" hidden="false" customHeight="false" outlineLevel="0" collapsed="false">
      <c r="A1044" s="0" t="s">
        <v>281</v>
      </c>
      <c r="B1044" s="0" t="s">
        <v>37</v>
      </c>
      <c r="C1044" s="0" t="s">
        <v>38</v>
      </c>
      <c r="D1044" s="0" t="n">
        <v>691</v>
      </c>
      <c r="E1044" s="2" t="n">
        <v>40640.6958333333</v>
      </c>
      <c r="F1044" s="0" t="n">
        <v>1.82</v>
      </c>
      <c r="G1044" s="0" t="n">
        <v>15427</v>
      </c>
      <c r="H1044" s="3" t="s">
        <v>57</v>
      </c>
      <c r="I1044" s="4" t="n">
        <f aca="false">D1044*F1044</f>
        <v>1257.62</v>
      </c>
      <c r="J1044" s="3" t="n">
        <f aca="false">IF(AND(LEFT(A1044,1)&lt;&gt;"C",D1044&gt;0,F1044&gt;0),1,0)</f>
        <v>1</v>
      </c>
      <c r="K1044" s="3" t="n">
        <f aca="false">IF(AND(H1044="United Kingdom",G1044&lt;&gt;"",COUNTIFS($G$2:G1044,G1044,$H$2:H1044,"United Kingdom")=1),1,0)</f>
        <v>0</v>
      </c>
    </row>
    <row r="1045" customFormat="false" ht="15" hidden="false" customHeight="false" outlineLevel="0" collapsed="false">
      <c r="A1045" s="0" t="s">
        <v>281</v>
      </c>
      <c r="B1045" s="0" t="s">
        <v>54</v>
      </c>
      <c r="C1045" s="0" t="s">
        <v>55</v>
      </c>
      <c r="D1045" s="0" t="n">
        <v>76</v>
      </c>
      <c r="E1045" s="2" t="n">
        <v>40640.6958333333</v>
      </c>
      <c r="F1045" s="0" t="n">
        <v>0.99</v>
      </c>
      <c r="G1045" s="0" t="n">
        <v>15427</v>
      </c>
      <c r="H1045" s="3" t="s">
        <v>57</v>
      </c>
      <c r="I1045" s="4" t="n">
        <f aca="false">D1045*F1045</f>
        <v>75.24</v>
      </c>
      <c r="J1045" s="3" t="n">
        <f aca="false">IF(AND(LEFT(A1045,1)&lt;&gt;"C",D1045&gt;0,F1045&gt;0),1,0)</f>
        <v>1</v>
      </c>
      <c r="K1045" s="3" t="n">
        <f aca="false">IF(AND(H1045="United Kingdom",G1045&lt;&gt;"",COUNTIFS($G$2:G1045,G1045,$H$2:H1045,"United Kingdom")=1),1,0)</f>
        <v>0</v>
      </c>
    </row>
    <row r="1046" customFormat="false" ht="15" hidden="false" customHeight="false" outlineLevel="0" collapsed="false">
      <c r="A1046" s="0" t="s">
        <v>281</v>
      </c>
      <c r="B1046" s="0" t="s">
        <v>12</v>
      </c>
      <c r="C1046" s="0" t="s">
        <v>13</v>
      </c>
      <c r="D1046" s="0" t="n">
        <v>460</v>
      </c>
      <c r="E1046" s="2" t="n">
        <v>40640.6958333333</v>
      </c>
      <c r="F1046" s="0" t="n">
        <v>3.33</v>
      </c>
      <c r="G1046" s="0" t="n">
        <v>15427</v>
      </c>
      <c r="H1046" s="3" t="s">
        <v>57</v>
      </c>
      <c r="I1046" s="4" t="n">
        <f aca="false">D1046*F1046</f>
        <v>1531.8</v>
      </c>
      <c r="J1046" s="3" t="n">
        <f aca="false">IF(AND(LEFT(A1046,1)&lt;&gt;"C",D1046&gt;0,F1046&gt;0),1,0)</f>
        <v>1</v>
      </c>
      <c r="K1046" s="3" t="n">
        <f aca="false">IF(AND(H1046="United Kingdom",G1046&lt;&gt;"",COUNTIFS($G$2:G1046,G1046,$H$2:H1046,"United Kingdom")=1),1,0)</f>
        <v>0</v>
      </c>
    </row>
    <row r="1047" customFormat="false" ht="15" hidden="false" customHeight="false" outlineLevel="0" collapsed="false">
      <c r="A1047" s="0" t="s">
        <v>281</v>
      </c>
      <c r="B1047" s="0" t="s">
        <v>45</v>
      </c>
      <c r="C1047" s="0" t="s">
        <v>46</v>
      </c>
      <c r="D1047" s="0" t="n">
        <v>38</v>
      </c>
      <c r="E1047" s="2" t="n">
        <v>40640.6958333333</v>
      </c>
      <c r="F1047" s="0" t="n">
        <v>4.55</v>
      </c>
      <c r="G1047" s="0" t="n">
        <v>15427</v>
      </c>
      <c r="H1047" s="3" t="s">
        <v>57</v>
      </c>
      <c r="I1047" s="4" t="n">
        <f aca="false">D1047*F1047</f>
        <v>172.9</v>
      </c>
      <c r="J1047" s="3" t="n">
        <f aca="false">IF(AND(LEFT(A1047,1)&lt;&gt;"C",D1047&gt;0,F1047&gt;0),1,0)</f>
        <v>1</v>
      </c>
      <c r="K1047" s="3" t="n">
        <f aca="false">IF(AND(H1047="United Kingdom",G1047&lt;&gt;"",COUNTIFS($G$2:G1047,G1047,$H$2:H1047,"United Kingdom")=1),1,0)</f>
        <v>0</v>
      </c>
    </row>
    <row r="1048" customFormat="false" ht="15" hidden="false" customHeight="false" outlineLevel="0" collapsed="false">
      <c r="A1048" s="0" t="s">
        <v>281</v>
      </c>
      <c r="B1048" s="0" t="s">
        <v>22</v>
      </c>
      <c r="C1048" s="0" t="s">
        <v>23</v>
      </c>
      <c r="D1048" s="0" t="n">
        <v>9</v>
      </c>
      <c r="E1048" s="2" t="n">
        <v>40640.6958333333</v>
      </c>
      <c r="F1048" s="0" t="n">
        <v>3.18</v>
      </c>
      <c r="G1048" s="0" t="n">
        <v>15427</v>
      </c>
      <c r="H1048" s="3" t="s">
        <v>57</v>
      </c>
      <c r="I1048" s="4" t="n">
        <f aca="false">D1048*F1048</f>
        <v>28.62</v>
      </c>
      <c r="J1048" s="3" t="n">
        <f aca="false">IF(AND(LEFT(A1048,1)&lt;&gt;"C",D1048&gt;0,F1048&gt;0),1,0)</f>
        <v>1</v>
      </c>
      <c r="K1048" s="3" t="n">
        <f aca="false">IF(AND(H1048="United Kingdom",G1048&lt;&gt;"",COUNTIFS($G$2:G1048,G1048,$H$2:H1048,"United Kingdom")=1),1,0)</f>
        <v>0</v>
      </c>
    </row>
    <row r="1049" customFormat="false" ht="15" hidden="false" customHeight="false" outlineLevel="0" collapsed="false">
      <c r="A1049" s="0" t="s">
        <v>281</v>
      </c>
      <c r="B1049" s="0" t="s">
        <v>27</v>
      </c>
      <c r="C1049" s="0" t="s">
        <v>28</v>
      </c>
      <c r="D1049" s="0" t="n">
        <v>115</v>
      </c>
      <c r="E1049" s="2" t="n">
        <v>40640.6958333333</v>
      </c>
      <c r="F1049" s="0" t="n">
        <v>4.55</v>
      </c>
      <c r="G1049" s="0" t="n">
        <v>15427</v>
      </c>
      <c r="H1049" s="3" t="s">
        <v>57</v>
      </c>
      <c r="I1049" s="4" t="n">
        <f aca="false">D1049*F1049</f>
        <v>523.25</v>
      </c>
      <c r="J1049" s="3" t="n">
        <f aca="false">IF(AND(LEFT(A1049,1)&lt;&gt;"C",D1049&gt;0,F1049&gt;0),1,0)</f>
        <v>1</v>
      </c>
      <c r="K1049" s="3" t="n">
        <f aca="false">IF(AND(H1049="United Kingdom",G1049&lt;&gt;"",COUNTIFS($G$2:G1049,G1049,$H$2:H1049,"United Kingdom")=1),1,0)</f>
        <v>0</v>
      </c>
    </row>
    <row r="1050" customFormat="false" ht="15" hidden="false" customHeight="false" outlineLevel="0" collapsed="false">
      <c r="A1050" s="0" t="s">
        <v>282</v>
      </c>
      <c r="B1050" s="0" t="s">
        <v>75</v>
      </c>
      <c r="C1050" s="0" t="s">
        <v>76</v>
      </c>
      <c r="D1050" s="0" t="n">
        <v>8</v>
      </c>
      <c r="E1050" s="2" t="n">
        <v>40641.7868055556</v>
      </c>
      <c r="F1050" s="0" t="n">
        <v>1.97</v>
      </c>
      <c r="G1050" s="0" t="n">
        <v>16243</v>
      </c>
      <c r="H1050" s="3" t="s">
        <v>14</v>
      </c>
      <c r="I1050" s="4" t="n">
        <f aca="false">D1050*F1050</f>
        <v>15.76</v>
      </c>
      <c r="J1050" s="3" t="n">
        <f aca="false">IF(AND(LEFT(A1050,1)&lt;&gt;"C",D1050&gt;0,F1050&gt;0),1,0)</f>
        <v>1</v>
      </c>
      <c r="K1050" s="3" t="n">
        <f aca="false">IF(AND(H1050="United Kingdom",G1050&lt;&gt;"",COUNTIFS($G$2:G1050,G1050,$H$2:H1050,"United Kingdom")=1),1,0)</f>
        <v>1</v>
      </c>
    </row>
    <row r="1051" customFormat="false" ht="15" hidden="false" customHeight="false" outlineLevel="0" collapsed="false">
      <c r="A1051" s="0" t="s">
        <v>282</v>
      </c>
      <c r="B1051" s="0" t="s">
        <v>45</v>
      </c>
      <c r="C1051" s="0" t="s">
        <v>46</v>
      </c>
      <c r="D1051" s="0" t="n">
        <v>2</v>
      </c>
      <c r="E1051" s="2" t="n">
        <v>40641.7868055556</v>
      </c>
      <c r="F1051" s="0" t="n">
        <v>4.55</v>
      </c>
      <c r="G1051" s="0" t="n">
        <v>16243</v>
      </c>
      <c r="H1051" s="3" t="s">
        <v>14</v>
      </c>
      <c r="I1051" s="4" t="n">
        <f aca="false">D1051*F1051</f>
        <v>9.1</v>
      </c>
      <c r="J1051" s="3" t="n">
        <f aca="false">IF(AND(LEFT(A1051,1)&lt;&gt;"C",D1051&gt;0,F1051&gt;0),1,0)</f>
        <v>1</v>
      </c>
      <c r="K1051" s="3" t="n">
        <f aca="false">IF(AND(H1051="United Kingdom",G1051&lt;&gt;"",COUNTIFS($G$2:G1051,G1051,$H$2:H1051,"United Kingdom")=1),1,0)</f>
        <v>0</v>
      </c>
    </row>
    <row r="1052" customFormat="false" ht="15" hidden="false" customHeight="false" outlineLevel="0" collapsed="false">
      <c r="A1052" s="0" t="s">
        <v>282</v>
      </c>
      <c r="B1052" s="0" t="s">
        <v>12</v>
      </c>
      <c r="C1052" s="0" t="s">
        <v>13</v>
      </c>
      <c r="D1052" s="0" t="n">
        <v>8</v>
      </c>
      <c r="E1052" s="2" t="n">
        <v>40641.7868055556</v>
      </c>
      <c r="F1052" s="0" t="n">
        <v>3.33</v>
      </c>
      <c r="G1052" s="0" t="n">
        <v>16243</v>
      </c>
      <c r="H1052" s="3" t="s">
        <v>14</v>
      </c>
      <c r="I1052" s="4" t="n">
        <f aca="false">D1052*F1052</f>
        <v>26.64</v>
      </c>
      <c r="J1052" s="3" t="n">
        <f aca="false">IF(AND(LEFT(A1052,1)&lt;&gt;"C",D1052&gt;0,F1052&gt;0),1,0)</f>
        <v>1</v>
      </c>
      <c r="K1052" s="3" t="n">
        <f aca="false">IF(AND(H1052="United Kingdom",G1052&lt;&gt;"",COUNTIFS($G$2:G1052,G1052,$H$2:H1052,"United Kingdom")=1),1,0)</f>
        <v>0</v>
      </c>
    </row>
    <row r="1053" customFormat="false" ht="15" hidden="false" customHeight="false" outlineLevel="0" collapsed="false">
      <c r="A1053" s="0" t="s">
        <v>282</v>
      </c>
      <c r="B1053" s="0" t="s">
        <v>27</v>
      </c>
      <c r="C1053" s="0" t="s">
        <v>28</v>
      </c>
      <c r="D1053" s="0" t="n">
        <v>2</v>
      </c>
      <c r="E1053" s="2" t="n">
        <v>40641.7868055556</v>
      </c>
      <c r="F1053" s="0" t="n">
        <v>4.55</v>
      </c>
      <c r="G1053" s="0" t="n">
        <v>16243</v>
      </c>
      <c r="H1053" s="3" t="s">
        <v>14</v>
      </c>
      <c r="I1053" s="4" t="n">
        <f aca="false">D1053*F1053</f>
        <v>9.1</v>
      </c>
      <c r="J1053" s="3" t="n">
        <f aca="false">IF(AND(LEFT(A1053,1)&lt;&gt;"C",D1053&gt;0,F1053&gt;0),1,0)</f>
        <v>1</v>
      </c>
      <c r="K1053" s="3" t="n">
        <f aca="false">IF(AND(H1053="United Kingdom",G1053&lt;&gt;"",COUNTIFS($G$2:G1053,G1053,$H$2:H1053,"United Kingdom")=1),1,0)</f>
        <v>0</v>
      </c>
    </row>
    <row r="1054" customFormat="false" ht="15" hidden="false" customHeight="false" outlineLevel="0" collapsed="false">
      <c r="A1054" s="0" t="s">
        <v>282</v>
      </c>
      <c r="B1054" s="0" t="s">
        <v>22</v>
      </c>
      <c r="C1054" s="0" t="s">
        <v>23</v>
      </c>
      <c r="D1054" s="0" t="n">
        <v>2</v>
      </c>
      <c r="E1054" s="2" t="n">
        <v>40641.7868055556</v>
      </c>
      <c r="F1054" s="0" t="n">
        <v>3.18</v>
      </c>
      <c r="G1054" s="0" t="n">
        <v>16243</v>
      </c>
      <c r="H1054" s="3" t="s">
        <v>14</v>
      </c>
      <c r="I1054" s="4" t="n">
        <f aca="false">D1054*F1054</f>
        <v>6.36</v>
      </c>
      <c r="J1054" s="3" t="n">
        <f aca="false">IF(AND(LEFT(A1054,1)&lt;&gt;"C",D1054&gt;0,F1054&gt;0),1,0)</f>
        <v>1</v>
      </c>
      <c r="K1054" s="3" t="n">
        <f aca="false">IF(AND(H1054="United Kingdom",G1054&lt;&gt;"",COUNTIFS($G$2:G1054,G1054,$H$2:H1054,"United Kingdom")=1),1,0)</f>
        <v>0</v>
      </c>
    </row>
    <row r="1055" customFormat="false" ht="15" hidden="false" customHeight="false" outlineLevel="0" collapsed="false">
      <c r="A1055" s="0" t="s">
        <v>282</v>
      </c>
      <c r="B1055" s="0" t="s">
        <v>37</v>
      </c>
      <c r="C1055" s="0" t="s">
        <v>38</v>
      </c>
      <c r="D1055" s="0" t="n">
        <v>2</v>
      </c>
      <c r="E1055" s="2" t="n">
        <v>40641.7868055556</v>
      </c>
      <c r="F1055" s="0" t="n">
        <v>1.82</v>
      </c>
      <c r="G1055" s="0" t="n">
        <v>16243</v>
      </c>
      <c r="H1055" s="3" t="s">
        <v>14</v>
      </c>
      <c r="I1055" s="4" t="n">
        <f aca="false">D1055*F1055</f>
        <v>3.64</v>
      </c>
      <c r="J1055" s="3" t="n">
        <f aca="false">IF(AND(LEFT(A1055,1)&lt;&gt;"C",D1055&gt;0,F1055&gt;0),1,0)</f>
        <v>1</v>
      </c>
      <c r="K1055" s="3" t="n">
        <f aca="false">IF(AND(H1055="United Kingdom",G1055&lt;&gt;"",COUNTIFS($G$2:G1055,G1055,$H$2:H1055,"United Kingdom")=1),1,0)</f>
        <v>0</v>
      </c>
    </row>
    <row r="1056" customFormat="false" ht="15" hidden="false" customHeight="false" outlineLevel="0" collapsed="false">
      <c r="A1056" s="0" t="s">
        <v>282</v>
      </c>
      <c r="B1056" s="0" t="s">
        <v>43</v>
      </c>
      <c r="C1056" s="0" t="s">
        <v>44</v>
      </c>
      <c r="D1056" s="0" t="n">
        <v>4</v>
      </c>
      <c r="E1056" s="2" t="n">
        <v>40641.7868055556</v>
      </c>
      <c r="F1056" s="0" t="n">
        <v>1.35</v>
      </c>
      <c r="G1056" s="0" t="n">
        <v>16243</v>
      </c>
      <c r="H1056" s="3" t="s">
        <v>14</v>
      </c>
      <c r="I1056" s="4" t="n">
        <f aca="false">D1056*F1056</f>
        <v>5.4</v>
      </c>
      <c r="J1056" s="3" t="n">
        <f aca="false">IF(AND(LEFT(A1056,1)&lt;&gt;"C",D1056&gt;0,F1056&gt;0),1,0)</f>
        <v>1</v>
      </c>
      <c r="K1056" s="3" t="n">
        <f aca="false">IF(AND(H1056="United Kingdom",G1056&lt;&gt;"",COUNTIFS($G$2:G1056,G1056,$H$2:H1056,"United Kingdom")=1),1,0)</f>
        <v>0</v>
      </c>
    </row>
    <row r="1057" customFormat="false" ht="15" hidden="false" customHeight="false" outlineLevel="0" collapsed="false">
      <c r="A1057" s="0" t="s">
        <v>283</v>
      </c>
      <c r="B1057" s="0" t="s">
        <v>52</v>
      </c>
      <c r="C1057" s="0" t="s">
        <v>53</v>
      </c>
      <c r="D1057" s="0" t="n">
        <v>1</v>
      </c>
      <c r="E1057" s="2" t="n">
        <v>40642.4979166667</v>
      </c>
      <c r="F1057" s="0" t="n">
        <v>4.16</v>
      </c>
      <c r="G1057" s="0" t="n">
        <v>14235</v>
      </c>
      <c r="H1057" s="3" t="s">
        <v>14</v>
      </c>
      <c r="I1057" s="4" t="n">
        <f aca="false">D1057*F1057</f>
        <v>4.16</v>
      </c>
      <c r="J1057" s="3" t="n">
        <f aca="false">IF(AND(LEFT(A1057,1)&lt;&gt;"C",D1057&gt;0,F1057&gt;0),1,0)</f>
        <v>1</v>
      </c>
      <c r="K1057" s="3" t="n">
        <f aca="false">IF(AND(H1057="United Kingdom",G1057&lt;&gt;"",COUNTIFS($G$2:G1057,G1057,$H$2:H1057,"United Kingdom")=1),1,0)</f>
        <v>1</v>
      </c>
    </row>
    <row r="1058" customFormat="false" ht="15" hidden="false" customHeight="false" outlineLevel="0" collapsed="false">
      <c r="A1058" s="0" t="s">
        <v>283</v>
      </c>
      <c r="B1058" s="0" t="s">
        <v>29</v>
      </c>
      <c r="C1058" s="0" t="s">
        <v>30</v>
      </c>
      <c r="D1058" s="0" t="n">
        <v>12</v>
      </c>
      <c r="E1058" s="2" t="n">
        <v>40642.4979166667</v>
      </c>
      <c r="F1058" s="0" t="n">
        <v>5.79</v>
      </c>
      <c r="G1058" s="0" t="n">
        <v>14235</v>
      </c>
      <c r="H1058" s="3" t="s">
        <v>14</v>
      </c>
      <c r="I1058" s="4" t="n">
        <f aca="false">D1058*F1058</f>
        <v>69.48</v>
      </c>
      <c r="J1058" s="3" t="n">
        <f aca="false">IF(AND(LEFT(A1058,1)&lt;&gt;"C",D1058&gt;0,F1058&gt;0),1,0)</f>
        <v>1</v>
      </c>
      <c r="K1058" s="3" t="n">
        <f aca="false">IF(AND(H1058="United Kingdom",G1058&lt;&gt;"",COUNTIFS($G$2:G1058,G1058,$H$2:H1058,"United Kingdom")=1),1,0)</f>
        <v>0</v>
      </c>
    </row>
    <row r="1059" customFormat="false" ht="15" hidden="false" customHeight="false" outlineLevel="0" collapsed="false">
      <c r="A1059" s="0" t="s">
        <v>283</v>
      </c>
      <c r="B1059" s="0" t="s">
        <v>45</v>
      </c>
      <c r="C1059" s="0" t="s">
        <v>46</v>
      </c>
      <c r="D1059" s="0" t="n">
        <v>4</v>
      </c>
      <c r="E1059" s="2" t="n">
        <v>40642.4979166667</v>
      </c>
      <c r="F1059" s="0" t="n">
        <v>4.55</v>
      </c>
      <c r="G1059" s="0" t="n">
        <v>14235</v>
      </c>
      <c r="H1059" s="3" t="s">
        <v>14</v>
      </c>
      <c r="I1059" s="4" t="n">
        <f aca="false">D1059*F1059</f>
        <v>18.2</v>
      </c>
      <c r="J1059" s="3" t="n">
        <f aca="false">IF(AND(LEFT(A1059,1)&lt;&gt;"C",D1059&gt;0,F1059&gt;0),1,0)</f>
        <v>1</v>
      </c>
      <c r="K1059" s="3" t="n">
        <f aca="false">IF(AND(H1059="United Kingdom",G1059&lt;&gt;"",COUNTIFS($G$2:G1059,G1059,$H$2:H1059,"United Kingdom")=1),1,0)</f>
        <v>0</v>
      </c>
    </row>
    <row r="1060" customFormat="false" ht="15" hidden="false" customHeight="false" outlineLevel="0" collapsed="false">
      <c r="A1060" s="0" t="s">
        <v>283</v>
      </c>
      <c r="B1060" s="0" t="s">
        <v>32</v>
      </c>
      <c r="C1060" s="0" t="s">
        <v>33</v>
      </c>
      <c r="D1060" s="0" t="n">
        <v>6</v>
      </c>
      <c r="E1060" s="2" t="n">
        <v>40642.4979166667</v>
      </c>
      <c r="F1060" s="0" t="n">
        <v>1.19</v>
      </c>
      <c r="G1060" s="0" t="n">
        <v>14235</v>
      </c>
      <c r="H1060" s="3" t="s">
        <v>14</v>
      </c>
      <c r="I1060" s="4" t="n">
        <f aca="false">D1060*F1060</f>
        <v>7.14</v>
      </c>
      <c r="J1060" s="3" t="n">
        <f aca="false">IF(AND(LEFT(A1060,1)&lt;&gt;"C",D1060&gt;0,F1060&gt;0),1,0)</f>
        <v>1</v>
      </c>
      <c r="K1060" s="3" t="n">
        <f aca="false">IF(AND(H1060="United Kingdom",G1060&lt;&gt;"",COUNTIFS($G$2:G1060,G1060,$H$2:H1060,"United Kingdom")=1),1,0)</f>
        <v>0</v>
      </c>
    </row>
    <row r="1061" customFormat="false" ht="15" hidden="false" customHeight="false" outlineLevel="0" collapsed="false">
      <c r="A1061" s="0" t="s">
        <v>283</v>
      </c>
      <c r="B1061" s="0" t="s">
        <v>39</v>
      </c>
      <c r="C1061" s="0" t="s">
        <v>40</v>
      </c>
      <c r="D1061" s="0" t="n">
        <v>1</v>
      </c>
      <c r="E1061" s="2" t="n">
        <v>40642.4979166667</v>
      </c>
      <c r="F1061" s="0" t="n">
        <v>2.58</v>
      </c>
      <c r="G1061" s="0" t="n">
        <v>14235</v>
      </c>
      <c r="H1061" s="3" t="s">
        <v>14</v>
      </c>
      <c r="I1061" s="4" t="n">
        <f aca="false">D1061*F1061</f>
        <v>2.58</v>
      </c>
      <c r="J1061" s="3" t="n">
        <f aca="false">IF(AND(LEFT(A1061,1)&lt;&gt;"C",D1061&gt;0,F1061&gt;0),1,0)</f>
        <v>1</v>
      </c>
      <c r="K1061" s="3" t="n">
        <f aca="false">IF(AND(H1061="United Kingdom",G1061&lt;&gt;"",COUNTIFS($G$2:G1061,G1061,$H$2:H1061,"United Kingdom")=1),1,0)</f>
        <v>0</v>
      </c>
    </row>
    <row r="1062" customFormat="false" ht="15" hidden="false" customHeight="false" outlineLevel="0" collapsed="false">
      <c r="A1062" s="0" t="s">
        <v>283</v>
      </c>
      <c r="B1062" s="0" t="s">
        <v>17</v>
      </c>
      <c r="C1062" s="0" t="s">
        <v>18</v>
      </c>
      <c r="D1062" s="0" t="n">
        <v>6</v>
      </c>
      <c r="E1062" s="2" t="n">
        <v>40642.4979166667</v>
      </c>
      <c r="F1062" s="0" t="n">
        <v>1.92</v>
      </c>
      <c r="G1062" s="0" t="n">
        <v>14235</v>
      </c>
      <c r="H1062" s="3" t="s">
        <v>14</v>
      </c>
      <c r="I1062" s="4" t="n">
        <f aca="false">D1062*F1062</f>
        <v>11.52</v>
      </c>
      <c r="J1062" s="3" t="n">
        <f aca="false">IF(AND(LEFT(A1062,1)&lt;&gt;"C",D1062&gt;0,F1062&gt;0),1,0)</f>
        <v>1</v>
      </c>
      <c r="K1062" s="3" t="n">
        <f aca="false">IF(AND(H1062="United Kingdom",G1062&lt;&gt;"",COUNTIFS($G$2:G1062,G1062,$H$2:H1062,"United Kingdom")=1),1,0)</f>
        <v>0</v>
      </c>
    </row>
    <row r="1063" customFormat="false" ht="15" hidden="false" customHeight="false" outlineLevel="0" collapsed="false">
      <c r="A1063" s="0" t="s">
        <v>284</v>
      </c>
      <c r="B1063" s="0" t="s">
        <v>45</v>
      </c>
      <c r="C1063" s="0" t="s">
        <v>46</v>
      </c>
      <c r="D1063" s="0" t="n">
        <v>4</v>
      </c>
      <c r="E1063" s="2" t="n">
        <v>40643.4277777778</v>
      </c>
      <c r="F1063" s="0" t="n">
        <v>4.55</v>
      </c>
      <c r="G1063" s="0" t="n">
        <v>15070</v>
      </c>
      <c r="H1063" s="3" t="s">
        <v>14</v>
      </c>
      <c r="I1063" s="4" t="n">
        <f aca="false">D1063*F1063</f>
        <v>18.2</v>
      </c>
      <c r="J1063" s="3" t="n">
        <f aca="false">IF(AND(LEFT(A1063,1)&lt;&gt;"C",D1063&gt;0,F1063&gt;0),1,0)</f>
        <v>1</v>
      </c>
      <c r="K1063" s="3" t="n">
        <f aca="false">IF(AND(H1063="United Kingdom",G1063&lt;&gt;"",COUNTIFS($G$2:G1063,G1063,$H$2:H1063,"United Kingdom")=1),1,0)</f>
        <v>1</v>
      </c>
    </row>
    <row r="1064" customFormat="false" ht="15" hidden="false" customHeight="false" outlineLevel="0" collapsed="false">
      <c r="A1064" s="0" t="s">
        <v>284</v>
      </c>
      <c r="B1064" s="0" t="s">
        <v>68</v>
      </c>
      <c r="C1064" s="0" t="s">
        <v>69</v>
      </c>
      <c r="D1064" s="0" t="n">
        <v>4</v>
      </c>
      <c r="E1064" s="2" t="n">
        <v>40643.4277777778</v>
      </c>
      <c r="F1064" s="0" t="n">
        <v>1.26</v>
      </c>
      <c r="G1064" s="0" t="n">
        <v>15070</v>
      </c>
      <c r="H1064" s="3" t="s">
        <v>14</v>
      </c>
      <c r="I1064" s="4" t="n">
        <f aca="false">D1064*F1064</f>
        <v>5.04</v>
      </c>
      <c r="J1064" s="3" t="n">
        <f aca="false">IF(AND(LEFT(A1064,1)&lt;&gt;"C",D1064&gt;0,F1064&gt;0),1,0)</f>
        <v>1</v>
      </c>
      <c r="K1064" s="3" t="n">
        <f aca="false">IF(AND(H1064="United Kingdom",G1064&lt;&gt;"",COUNTIFS($G$2:G1064,G1064,$H$2:H1064,"United Kingdom")=1),1,0)</f>
        <v>0</v>
      </c>
    </row>
    <row r="1065" customFormat="false" ht="15" hidden="false" customHeight="false" outlineLevel="0" collapsed="false">
      <c r="A1065" s="0" t="s">
        <v>284</v>
      </c>
      <c r="B1065" s="0" t="s">
        <v>54</v>
      </c>
      <c r="C1065" s="0" t="s">
        <v>55</v>
      </c>
      <c r="D1065" s="0" t="n">
        <v>4</v>
      </c>
      <c r="E1065" s="2" t="n">
        <v>40643.4277777778</v>
      </c>
      <c r="F1065" s="0" t="n">
        <v>0.99</v>
      </c>
      <c r="G1065" s="0" t="n">
        <v>15070</v>
      </c>
      <c r="H1065" s="3" t="s">
        <v>14</v>
      </c>
      <c r="I1065" s="4" t="n">
        <f aca="false">D1065*F1065</f>
        <v>3.96</v>
      </c>
      <c r="J1065" s="3" t="n">
        <f aca="false">IF(AND(LEFT(A1065,1)&lt;&gt;"C",D1065&gt;0,F1065&gt;0),1,0)</f>
        <v>1</v>
      </c>
      <c r="K1065" s="3" t="n">
        <f aca="false">IF(AND(H1065="United Kingdom",G1065&lt;&gt;"",COUNTIFS($G$2:G1065,G1065,$H$2:H1065,"United Kingdom")=1),1,0)</f>
        <v>0</v>
      </c>
    </row>
    <row r="1066" customFormat="false" ht="15" hidden="false" customHeight="false" outlineLevel="0" collapsed="false">
      <c r="A1066" s="0" t="s">
        <v>284</v>
      </c>
      <c r="B1066" s="0" t="s">
        <v>25</v>
      </c>
      <c r="C1066" s="0" t="s">
        <v>26</v>
      </c>
      <c r="D1066" s="0" t="n">
        <v>2</v>
      </c>
      <c r="E1066" s="2" t="n">
        <v>40643.4277777778</v>
      </c>
      <c r="F1066" s="0" t="n">
        <v>2.21</v>
      </c>
      <c r="G1066" s="0" t="n">
        <v>15070</v>
      </c>
      <c r="H1066" s="3" t="s">
        <v>14</v>
      </c>
      <c r="I1066" s="4" t="n">
        <f aca="false">D1066*F1066</f>
        <v>4.42</v>
      </c>
      <c r="J1066" s="3" t="n">
        <f aca="false">IF(AND(LEFT(A1066,1)&lt;&gt;"C",D1066&gt;0,F1066&gt;0),1,0)</f>
        <v>1</v>
      </c>
      <c r="K1066" s="3" t="n">
        <f aca="false">IF(AND(H1066="United Kingdom",G1066&lt;&gt;"",COUNTIFS($G$2:G1066,G1066,$H$2:H1066,"United Kingdom")=1),1,0)</f>
        <v>0</v>
      </c>
    </row>
    <row r="1067" customFormat="false" ht="15" hidden="false" customHeight="false" outlineLevel="0" collapsed="false">
      <c r="A1067" s="0" t="s">
        <v>285</v>
      </c>
      <c r="B1067" s="0" t="s">
        <v>37</v>
      </c>
      <c r="C1067" s="0" t="s">
        <v>38</v>
      </c>
      <c r="D1067" s="0" t="n">
        <v>144</v>
      </c>
      <c r="E1067" s="2" t="n">
        <v>40643.5423611111</v>
      </c>
      <c r="F1067" s="0" t="n">
        <v>1.82</v>
      </c>
      <c r="G1067" s="0" t="n">
        <v>14074</v>
      </c>
      <c r="H1067" s="3" t="s">
        <v>14</v>
      </c>
      <c r="I1067" s="4" t="n">
        <f aca="false">D1067*F1067</f>
        <v>262.08</v>
      </c>
      <c r="J1067" s="3" t="n">
        <f aca="false">IF(AND(LEFT(A1067,1)&lt;&gt;"C",D1067&gt;0,F1067&gt;0),1,0)</f>
        <v>1</v>
      </c>
      <c r="K1067" s="3" t="n">
        <f aca="false">IF(AND(H1067="United Kingdom",G1067&lt;&gt;"",COUNTIFS($G$2:G1067,G1067,$H$2:H1067,"United Kingdom")=1),1,0)</f>
        <v>0</v>
      </c>
    </row>
    <row r="1068" customFormat="false" ht="15" hidden="false" customHeight="false" outlineLevel="0" collapsed="false">
      <c r="A1068" s="0" t="s">
        <v>285</v>
      </c>
      <c r="B1068" s="0" t="s">
        <v>45</v>
      </c>
      <c r="C1068" s="0" t="s">
        <v>46</v>
      </c>
      <c r="D1068" s="0" t="n">
        <v>144</v>
      </c>
      <c r="E1068" s="2" t="n">
        <v>40643.5423611111</v>
      </c>
      <c r="F1068" s="0" t="n">
        <v>4.55</v>
      </c>
      <c r="G1068" s="0" t="n">
        <v>14074</v>
      </c>
      <c r="H1068" s="3" t="s">
        <v>14</v>
      </c>
      <c r="I1068" s="4" t="n">
        <f aca="false">D1068*F1068</f>
        <v>655.2</v>
      </c>
      <c r="J1068" s="3" t="n">
        <f aca="false">IF(AND(LEFT(A1068,1)&lt;&gt;"C",D1068&gt;0,F1068&gt;0),1,0)</f>
        <v>1</v>
      </c>
      <c r="K1068" s="3" t="n">
        <f aca="false">IF(AND(H1068="United Kingdom",G1068&lt;&gt;"",COUNTIFS($G$2:G1068,G1068,$H$2:H1068,"United Kingdom")=1),1,0)</f>
        <v>0</v>
      </c>
    </row>
    <row r="1069" customFormat="false" ht="15" hidden="false" customHeight="false" outlineLevel="0" collapsed="false">
      <c r="A1069" s="0" t="s">
        <v>285</v>
      </c>
      <c r="B1069" s="0" t="s">
        <v>117</v>
      </c>
      <c r="C1069" s="0" t="s">
        <v>118</v>
      </c>
      <c r="D1069" s="0" t="n">
        <v>2607</v>
      </c>
      <c r="E1069" s="2" t="n">
        <v>40643.5423611111</v>
      </c>
      <c r="F1069" s="0" t="n">
        <v>3.45</v>
      </c>
      <c r="G1069" s="0" t="n">
        <v>14074</v>
      </c>
      <c r="H1069" s="3" t="s">
        <v>14</v>
      </c>
      <c r="I1069" s="4" t="n">
        <f aca="false">D1069*F1069</f>
        <v>8994.15</v>
      </c>
      <c r="J1069" s="3" t="n">
        <f aca="false">IF(AND(LEFT(A1069,1)&lt;&gt;"C",D1069&gt;0,F1069&gt;0),1,0)</f>
        <v>1</v>
      </c>
      <c r="K1069" s="3" t="n">
        <f aca="false">IF(AND(H1069="United Kingdom",G1069&lt;&gt;"",COUNTIFS($G$2:G1069,G1069,$H$2:H1069,"United Kingdom")=1),1,0)</f>
        <v>0</v>
      </c>
    </row>
    <row r="1070" customFormat="false" ht="15" hidden="false" customHeight="false" outlineLevel="0" collapsed="false">
      <c r="A1070" s="0" t="s">
        <v>286</v>
      </c>
      <c r="B1070" s="0" t="s">
        <v>22</v>
      </c>
      <c r="C1070" s="0" t="s">
        <v>23</v>
      </c>
      <c r="D1070" s="0" t="n">
        <v>2</v>
      </c>
      <c r="E1070" s="2" t="n">
        <v>40643.65625</v>
      </c>
      <c r="F1070" s="0" t="n">
        <v>3.18</v>
      </c>
      <c r="G1070" s="0" t="n">
        <v>12535</v>
      </c>
      <c r="H1070" s="3" t="s">
        <v>120</v>
      </c>
      <c r="I1070" s="4" t="n">
        <f aca="false">D1070*F1070</f>
        <v>6.36</v>
      </c>
      <c r="J1070" s="3" t="n">
        <f aca="false">IF(AND(LEFT(A1070,1)&lt;&gt;"C",D1070&gt;0,F1070&gt;0),1,0)</f>
        <v>1</v>
      </c>
      <c r="K1070" s="3" t="n">
        <f aca="false">IF(AND(H1070="United Kingdom",G1070&lt;&gt;"",COUNTIFS($G$2:G1070,G1070,$H$2:H1070,"United Kingdom")=1),1,0)</f>
        <v>0</v>
      </c>
    </row>
    <row r="1071" customFormat="false" ht="15" hidden="false" customHeight="false" outlineLevel="0" collapsed="false">
      <c r="A1071" s="0" t="s">
        <v>286</v>
      </c>
      <c r="B1071" s="0" t="s">
        <v>32</v>
      </c>
      <c r="C1071" s="0" t="s">
        <v>33</v>
      </c>
      <c r="D1071" s="0" t="n">
        <v>15</v>
      </c>
      <c r="E1071" s="2" t="n">
        <v>40643.65625</v>
      </c>
      <c r="F1071" s="0" t="n">
        <v>1.19</v>
      </c>
      <c r="G1071" s="0" t="n">
        <v>12535</v>
      </c>
      <c r="H1071" s="3" t="s">
        <v>120</v>
      </c>
      <c r="I1071" s="4" t="n">
        <f aca="false">D1071*F1071</f>
        <v>17.85</v>
      </c>
      <c r="J1071" s="3" t="n">
        <f aca="false">IF(AND(LEFT(A1071,1)&lt;&gt;"C",D1071&gt;0,F1071&gt;0),1,0)</f>
        <v>1</v>
      </c>
      <c r="K1071" s="3" t="n">
        <f aca="false">IF(AND(H1071="United Kingdom",G1071&lt;&gt;"",COUNTIFS($G$2:G1071,G1071,$H$2:H1071,"United Kingdom")=1),1,0)</f>
        <v>0</v>
      </c>
    </row>
    <row r="1072" customFormat="false" ht="15" hidden="false" customHeight="false" outlineLevel="0" collapsed="false">
      <c r="A1072" s="0" t="s">
        <v>287</v>
      </c>
      <c r="B1072" s="0" t="s">
        <v>60</v>
      </c>
      <c r="C1072" s="0" t="s">
        <v>61</v>
      </c>
      <c r="D1072" s="0" t="n">
        <v>8</v>
      </c>
      <c r="E1072" s="2" t="n">
        <v>40644.5340277778</v>
      </c>
      <c r="F1072" s="0" t="n">
        <v>0.63</v>
      </c>
      <c r="G1072" s="0" t="n">
        <v>12388</v>
      </c>
      <c r="H1072" s="3" t="s">
        <v>14</v>
      </c>
      <c r="I1072" s="4" t="n">
        <f aca="false">D1072*F1072</f>
        <v>5.04</v>
      </c>
      <c r="J1072" s="3" t="n">
        <f aca="false">IF(AND(LEFT(A1072,1)&lt;&gt;"C",D1072&gt;0,F1072&gt;0),1,0)</f>
        <v>1</v>
      </c>
      <c r="K1072" s="3" t="n">
        <f aca="false">IF(AND(H1072="United Kingdom",G1072&lt;&gt;"",COUNTIFS($G$2:G1072,G1072,$H$2:H1072,"United Kingdom")=1),1,0)</f>
        <v>0</v>
      </c>
    </row>
    <row r="1073" customFormat="false" ht="15" hidden="false" customHeight="false" outlineLevel="0" collapsed="false">
      <c r="A1073" s="0" t="s">
        <v>287</v>
      </c>
      <c r="B1073" s="0" t="s">
        <v>72</v>
      </c>
      <c r="C1073" s="0" t="s">
        <v>73</v>
      </c>
      <c r="D1073" s="0" t="n">
        <v>1</v>
      </c>
      <c r="E1073" s="2" t="n">
        <v>40644.5340277778</v>
      </c>
      <c r="F1073" s="0" t="n">
        <v>2.69</v>
      </c>
      <c r="G1073" s="0" t="n">
        <v>12388</v>
      </c>
      <c r="H1073" s="3" t="s">
        <v>14</v>
      </c>
      <c r="I1073" s="4" t="n">
        <f aca="false">D1073*F1073</f>
        <v>2.69</v>
      </c>
      <c r="J1073" s="3" t="n">
        <f aca="false">IF(AND(LEFT(A1073,1)&lt;&gt;"C",D1073&gt;0,F1073&gt;0),1,0)</f>
        <v>1</v>
      </c>
      <c r="K1073" s="3" t="n">
        <f aca="false">IF(AND(H1073="United Kingdom",G1073&lt;&gt;"",COUNTIFS($G$2:G1073,G1073,$H$2:H1073,"United Kingdom")=1),1,0)</f>
        <v>0</v>
      </c>
    </row>
    <row r="1074" customFormat="false" ht="15" hidden="false" customHeight="false" outlineLevel="0" collapsed="false">
      <c r="A1074" s="0" t="s">
        <v>287</v>
      </c>
      <c r="B1074" s="0" t="s">
        <v>68</v>
      </c>
      <c r="C1074" s="0" t="s">
        <v>69</v>
      </c>
      <c r="D1074" s="0" t="n">
        <v>6</v>
      </c>
      <c r="E1074" s="2" t="n">
        <v>40644.5340277778</v>
      </c>
      <c r="F1074" s="0" t="n">
        <v>1.26</v>
      </c>
      <c r="G1074" s="0" t="n">
        <v>12388</v>
      </c>
      <c r="H1074" s="3" t="s">
        <v>14</v>
      </c>
      <c r="I1074" s="4" t="n">
        <f aca="false">D1074*F1074</f>
        <v>7.56</v>
      </c>
      <c r="J1074" s="3" t="n">
        <f aca="false">IF(AND(LEFT(A1074,1)&lt;&gt;"C",D1074&gt;0,F1074&gt;0),1,0)</f>
        <v>1</v>
      </c>
      <c r="K1074" s="3" t="n">
        <f aca="false">IF(AND(H1074="United Kingdom",G1074&lt;&gt;"",COUNTIFS($G$2:G1074,G1074,$H$2:H1074,"United Kingdom")=1),1,0)</f>
        <v>0</v>
      </c>
    </row>
    <row r="1075" customFormat="false" ht="15" hidden="false" customHeight="false" outlineLevel="0" collapsed="false">
      <c r="A1075" s="0" t="s">
        <v>287</v>
      </c>
      <c r="B1075" s="0" t="s">
        <v>12</v>
      </c>
      <c r="C1075" s="0" t="s">
        <v>13</v>
      </c>
      <c r="D1075" s="0" t="n">
        <v>1</v>
      </c>
      <c r="E1075" s="2" t="n">
        <v>40644.5340277778</v>
      </c>
      <c r="F1075" s="0" t="n">
        <v>3.33</v>
      </c>
      <c r="G1075" s="0" t="n">
        <v>12388</v>
      </c>
      <c r="H1075" s="3" t="s">
        <v>14</v>
      </c>
      <c r="I1075" s="4" t="n">
        <f aca="false">D1075*F1075</f>
        <v>3.33</v>
      </c>
      <c r="J1075" s="3" t="n">
        <f aca="false">IF(AND(LEFT(A1075,1)&lt;&gt;"C",D1075&gt;0,F1075&gt;0),1,0)</f>
        <v>1</v>
      </c>
      <c r="K1075" s="3" t="n">
        <f aca="false">IF(AND(H1075="United Kingdom",G1075&lt;&gt;"",COUNTIFS($G$2:G1075,G1075,$H$2:H1075,"United Kingdom")=1),1,0)</f>
        <v>0</v>
      </c>
    </row>
    <row r="1076" customFormat="false" ht="15" hidden="false" customHeight="false" outlineLevel="0" collapsed="false">
      <c r="A1076" s="0" t="s">
        <v>288</v>
      </c>
      <c r="B1076" s="0" t="s">
        <v>50</v>
      </c>
      <c r="C1076" s="0" t="s">
        <v>51</v>
      </c>
      <c r="D1076" s="0" t="n">
        <v>4</v>
      </c>
      <c r="E1076" s="2" t="n">
        <v>40646.5041666667</v>
      </c>
      <c r="F1076" s="0" t="n">
        <v>5.41</v>
      </c>
      <c r="G1076" s="0" t="n">
        <v>17540</v>
      </c>
      <c r="H1076" s="3" t="s">
        <v>97</v>
      </c>
      <c r="I1076" s="4" t="n">
        <f aca="false">D1076*F1076</f>
        <v>21.64</v>
      </c>
      <c r="J1076" s="3" t="n">
        <f aca="false">IF(AND(LEFT(A1076,1)&lt;&gt;"C",D1076&gt;0,F1076&gt;0),1,0)</f>
        <v>1</v>
      </c>
      <c r="K1076" s="3" t="n">
        <f aca="false">IF(AND(H1076="United Kingdom",G1076&lt;&gt;"",COUNTIFS($G$2:G1076,G1076,$H$2:H1076,"United Kingdom")=1),1,0)</f>
        <v>0</v>
      </c>
    </row>
    <row r="1077" customFormat="false" ht="15" hidden="false" customHeight="false" outlineLevel="0" collapsed="false">
      <c r="A1077" s="0" t="s">
        <v>288</v>
      </c>
      <c r="B1077" s="0" t="s">
        <v>43</v>
      </c>
      <c r="C1077" s="0" t="s">
        <v>44</v>
      </c>
      <c r="D1077" s="0" t="n">
        <v>8</v>
      </c>
      <c r="E1077" s="2" t="n">
        <v>40646.5041666667</v>
      </c>
      <c r="F1077" s="0" t="n">
        <v>1.35</v>
      </c>
      <c r="G1077" s="0" t="n">
        <v>17540</v>
      </c>
      <c r="H1077" s="3" t="s">
        <v>97</v>
      </c>
      <c r="I1077" s="4" t="n">
        <f aca="false">D1077*F1077</f>
        <v>10.8</v>
      </c>
      <c r="J1077" s="3" t="n">
        <f aca="false">IF(AND(LEFT(A1077,1)&lt;&gt;"C",D1077&gt;0,F1077&gt;0),1,0)</f>
        <v>1</v>
      </c>
      <c r="K1077" s="3" t="n">
        <f aca="false">IF(AND(H1077="United Kingdom",G1077&lt;&gt;"",COUNTIFS($G$2:G1077,G1077,$H$2:H1077,"United Kingdom")=1),1,0)</f>
        <v>0</v>
      </c>
    </row>
    <row r="1078" customFormat="false" ht="15" hidden="false" customHeight="false" outlineLevel="0" collapsed="false">
      <c r="A1078" s="0" t="s">
        <v>288</v>
      </c>
      <c r="B1078" s="0" t="s">
        <v>65</v>
      </c>
      <c r="C1078" s="0" t="s">
        <v>66</v>
      </c>
      <c r="D1078" s="0" t="n">
        <v>8</v>
      </c>
      <c r="E1078" s="2" t="n">
        <v>40646.5041666667</v>
      </c>
      <c r="F1078" s="0" t="n">
        <v>4.75</v>
      </c>
      <c r="G1078" s="0" t="n">
        <v>17540</v>
      </c>
      <c r="H1078" s="3" t="s">
        <v>97</v>
      </c>
      <c r="I1078" s="4" t="n">
        <f aca="false">D1078*F1078</f>
        <v>38</v>
      </c>
      <c r="J1078" s="3" t="n">
        <f aca="false">IF(AND(LEFT(A1078,1)&lt;&gt;"C",D1078&gt;0,F1078&gt;0),1,0)</f>
        <v>1</v>
      </c>
      <c r="K1078" s="3" t="n">
        <f aca="false">IF(AND(H1078="United Kingdom",G1078&lt;&gt;"",COUNTIFS($G$2:G1078,G1078,$H$2:H1078,"United Kingdom")=1),1,0)</f>
        <v>0</v>
      </c>
    </row>
    <row r="1079" customFormat="false" ht="15" hidden="false" customHeight="false" outlineLevel="0" collapsed="false">
      <c r="A1079" s="0" t="s">
        <v>288</v>
      </c>
      <c r="B1079" s="0" t="s">
        <v>90</v>
      </c>
      <c r="C1079" s="0" t="s">
        <v>91</v>
      </c>
      <c r="D1079" s="0" t="n">
        <v>4</v>
      </c>
      <c r="E1079" s="2" t="n">
        <v>40646.5041666667</v>
      </c>
      <c r="F1079" s="0" t="n">
        <v>3.04</v>
      </c>
      <c r="G1079" s="0" t="n">
        <v>17540</v>
      </c>
      <c r="H1079" s="3" t="s">
        <v>97</v>
      </c>
      <c r="I1079" s="4" t="n">
        <f aca="false">D1079*F1079</f>
        <v>12.16</v>
      </c>
      <c r="J1079" s="3" t="n">
        <f aca="false">IF(AND(LEFT(A1079,1)&lt;&gt;"C",D1079&gt;0,F1079&gt;0),1,0)</f>
        <v>1</v>
      </c>
      <c r="K1079" s="3" t="n">
        <f aca="false">IF(AND(H1079="United Kingdom",G1079&lt;&gt;"",COUNTIFS($G$2:G1079,G1079,$H$2:H1079,"United Kingdom")=1),1,0)</f>
        <v>0</v>
      </c>
    </row>
    <row r="1080" customFormat="false" ht="15" hidden="false" customHeight="false" outlineLevel="0" collapsed="false">
      <c r="A1080" s="0" t="s">
        <v>289</v>
      </c>
      <c r="B1080" s="0" t="s">
        <v>22</v>
      </c>
      <c r="C1080" s="0" t="s">
        <v>23</v>
      </c>
      <c r="D1080" s="0" t="n">
        <v>4</v>
      </c>
      <c r="E1080" s="2" t="n">
        <v>40646.5368055556</v>
      </c>
      <c r="F1080" s="0" t="n">
        <v>3.18</v>
      </c>
      <c r="G1080" s="0" t="n">
        <v>17737</v>
      </c>
      <c r="H1080" s="3" t="s">
        <v>14</v>
      </c>
      <c r="I1080" s="4" t="n">
        <f aca="false">D1080*F1080</f>
        <v>12.72</v>
      </c>
      <c r="J1080" s="3" t="n">
        <f aca="false">IF(AND(LEFT(A1080,1)&lt;&gt;"C",D1080&gt;0,F1080&gt;0),1,0)</f>
        <v>1</v>
      </c>
      <c r="K1080" s="3" t="n">
        <f aca="false">IF(AND(H1080="United Kingdom",G1080&lt;&gt;"",COUNTIFS($G$2:G1080,G1080,$H$2:H1080,"United Kingdom")=1),1,0)</f>
        <v>1</v>
      </c>
    </row>
    <row r="1081" customFormat="false" ht="15" hidden="false" customHeight="false" outlineLevel="0" collapsed="false">
      <c r="A1081" s="0" t="s">
        <v>289</v>
      </c>
      <c r="B1081" s="0" t="s">
        <v>34</v>
      </c>
      <c r="C1081" s="0" t="s">
        <v>35</v>
      </c>
      <c r="D1081" s="0" t="n">
        <v>3</v>
      </c>
      <c r="E1081" s="2" t="n">
        <v>40646.5368055556</v>
      </c>
      <c r="F1081" s="0" t="n">
        <v>2.38</v>
      </c>
      <c r="G1081" s="0" t="n">
        <v>17737</v>
      </c>
      <c r="H1081" s="3" t="s">
        <v>14</v>
      </c>
      <c r="I1081" s="4" t="n">
        <f aca="false">D1081*F1081</f>
        <v>7.14</v>
      </c>
      <c r="J1081" s="3" t="n">
        <f aca="false">IF(AND(LEFT(A1081,1)&lt;&gt;"C",D1081&gt;0,F1081&gt;0),1,0)</f>
        <v>1</v>
      </c>
      <c r="K1081" s="3" t="n">
        <f aca="false">IF(AND(H1081="United Kingdom",G1081&lt;&gt;"",COUNTIFS($G$2:G1081,G1081,$H$2:H1081,"United Kingdom")=1),1,0)</f>
        <v>0</v>
      </c>
    </row>
    <row r="1082" customFormat="false" ht="15" hidden="false" customHeight="false" outlineLevel="0" collapsed="false">
      <c r="A1082" s="0" t="s">
        <v>290</v>
      </c>
      <c r="B1082" s="0" t="s">
        <v>80</v>
      </c>
      <c r="C1082" s="0" t="s">
        <v>81</v>
      </c>
      <c r="D1082" s="0" t="n">
        <v>1</v>
      </c>
      <c r="E1082" s="2" t="n">
        <v>40646.5652777778</v>
      </c>
      <c r="F1082" s="0" t="n">
        <v>1.53</v>
      </c>
      <c r="H1082" s="3" t="s">
        <v>14</v>
      </c>
      <c r="I1082" s="4" t="n">
        <f aca="false">D1082*F1082</f>
        <v>1.53</v>
      </c>
      <c r="J1082" s="3" t="n">
        <f aca="false">IF(AND(LEFT(A1082,1)&lt;&gt;"C",D1082&gt;0,F1082&gt;0),1,0)</f>
        <v>1</v>
      </c>
      <c r="K1082" s="3" t="n">
        <f aca="false">IF(AND(H1082="United Kingdom",G1082&lt;&gt;"",COUNTIFS($G$2:G1082,G1082,$H$2:H1082,"United Kingdom")=1),1,0)</f>
        <v>0</v>
      </c>
    </row>
    <row r="1083" customFormat="false" ht="15" hidden="false" customHeight="false" outlineLevel="0" collapsed="false">
      <c r="A1083" s="0" t="s">
        <v>290</v>
      </c>
      <c r="B1083" s="0" t="s">
        <v>32</v>
      </c>
      <c r="C1083" s="0" t="s">
        <v>33</v>
      </c>
      <c r="D1083" s="0" t="n">
        <v>16</v>
      </c>
      <c r="E1083" s="2" t="n">
        <v>40646.5652777778</v>
      </c>
      <c r="F1083" s="0" t="n">
        <v>1.19</v>
      </c>
      <c r="H1083" s="3" t="s">
        <v>14</v>
      </c>
      <c r="I1083" s="4" t="n">
        <f aca="false">D1083*F1083</f>
        <v>19.04</v>
      </c>
      <c r="J1083" s="3" t="n">
        <f aca="false">IF(AND(LEFT(A1083,1)&lt;&gt;"C",D1083&gt;0,F1083&gt;0),1,0)</f>
        <v>1</v>
      </c>
      <c r="K1083" s="3" t="n">
        <f aca="false">IF(AND(H1083="United Kingdom",G1083&lt;&gt;"",COUNTIFS($G$2:G1083,G1083,$H$2:H1083,"United Kingdom")=1),1,0)</f>
        <v>0</v>
      </c>
    </row>
    <row r="1084" customFormat="false" ht="15" hidden="false" customHeight="false" outlineLevel="0" collapsed="false">
      <c r="A1084" s="0" t="s">
        <v>291</v>
      </c>
      <c r="B1084" s="0" t="s">
        <v>50</v>
      </c>
      <c r="C1084" s="0" t="s">
        <v>51</v>
      </c>
      <c r="D1084" s="0" t="n">
        <v>2</v>
      </c>
      <c r="E1084" s="2" t="n">
        <v>40646.68125</v>
      </c>
      <c r="F1084" s="0" t="n">
        <v>5.41</v>
      </c>
      <c r="G1084" s="0" t="n">
        <v>15100</v>
      </c>
      <c r="H1084" s="3" t="s">
        <v>14</v>
      </c>
      <c r="I1084" s="4" t="n">
        <f aca="false">D1084*F1084</f>
        <v>10.82</v>
      </c>
      <c r="J1084" s="3" t="n">
        <f aca="false">IF(AND(LEFT(A1084,1)&lt;&gt;"C",D1084&gt;0,F1084&gt;0),1,0)</f>
        <v>1</v>
      </c>
      <c r="K1084" s="3" t="n">
        <f aca="false">IF(AND(H1084="United Kingdom",G1084&lt;&gt;"",COUNTIFS($G$2:G1084,G1084,$H$2:H1084,"United Kingdom")=1),1,0)</f>
        <v>0</v>
      </c>
    </row>
    <row r="1085" customFormat="false" ht="15" hidden="false" customHeight="false" outlineLevel="0" collapsed="false">
      <c r="A1085" s="0" t="s">
        <v>291</v>
      </c>
      <c r="B1085" s="0" t="s">
        <v>63</v>
      </c>
      <c r="C1085" s="0" t="s">
        <v>64</v>
      </c>
      <c r="D1085" s="0" t="n">
        <v>3</v>
      </c>
      <c r="E1085" s="2" t="n">
        <v>40646.68125</v>
      </c>
      <c r="F1085" s="0" t="n">
        <v>2.43</v>
      </c>
      <c r="G1085" s="0" t="n">
        <v>15100</v>
      </c>
      <c r="H1085" s="3" t="s">
        <v>14</v>
      </c>
      <c r="I1085" s="4" t="n">
        <f aca="false">D1085*F1085</f>
        <v>7.29</v>
      </c>
      <c r="J1085" s="3" t="n">
        <f aca="false">IF(AND(LEFT(A1085,1)&lt;&gt;"C",D1085&gt;0,F1085&gt;0),1,0)</f>
        <v>1</v>
      </c>
      <c r="K1085" s="3" t="n">
        <f aca="false">IF(AND(H1085="United Kingdom",G1085&lt;&gt;"",COUNTIFS($G$2:G1085,G1085,$H$2:H1085,"United Kingdom")=1),1,0)</f>
        <v>0</v>
      </c>
    </row>
    <row r="1086" customFormat="false" ht="15" hidden="false" customHeight="false" outlineLevel="0" collapsed="false">
      <c r="A1086" s="0" t="s">
        <v>291</v>
      </c>
      <c r="B1086" s="0" t="s">
        <v>29</v>
      </c>
      <c r="C1086" s="0" t="s">
        <v>30</v>
      </c>
      <c r="D1086" s="0" t="n">
        <v>12</v>
      </c>
      <c r="E1086" s="2" t="n">
        <v>40646.68125</v>
      </c>
      <c r="F1086" s="0" t="n">
        <v>5.79</v>
      </c>
      <c r="G1086" s="0" t="n">
        <v>15100</v>
      </c>
      <c r="H1086" s="3" t="s">
        <v>14</v>
      </c>
      <c r="I1086" s="4" t="n">
        <f aca="false">D1086*F1086</f>
        <v>69.48</v>
      </c>
      <c r="J1086" s="3" t="n">
        <f aca="false">IF(AND(LEFT(A1086,1)&lt;&gt;"C",D1086&gt;0,F1086&gt;0),1,0)</f>
        <v>1</v>
      </c>
      <c r="K1086" s="3" t="n">
        <f aca="false">IF(AND(H1086="United Kingdom",G1086&lt;&gt;"",COUNTIFS($G$2:G1086,G1086,$H$2:H1086,"United Kingdom")=1),1,0)</f>
        <v>0</v>
      </c>
    </row>
    <row r="1087" customFormat="false" ht="15" hidden="false" customHeight="false" outlineLevel="0" collapsed="false">
      <c r="A1087" s="0" t="s">
        <v>291</v>
      </c>
      <c r="B1087" s="0" t="s">
        <v>113</v>
      </c>
      <c r="C1087" s="0" t="s">
        <v>114</v>
      </c>
      <c r="D1087" s="0" t="n">
        <v>2</v>
      </c>
      <c r="E1087" s="2" t="n">
        <v>40646.68125</v>
      </c>
      <c r="F1087" s="0" t="n">
        <v>3.57</v>
      </c>
      <c r="G1087" s="0" t="n">
        <v>15100</v>
      </c>
      <c r="H1087" s="3" t="s">
        <v>14</v>
      </c>
      <c r="I1087" s="4" t="n">
        <f aca="false">D1087*F1087</f>
        <v>7.14</v>
      </c>
      <c r="J1087" s="3" t="n">
        <f aca="false">IF(AND(LEFT(A1087,1)&lt;&gt;"C",D1087&gt;0,F1087&gt;0),1,0)</f>
        <v>1</v>
      </c>
      <c r="K1087" s="3" t="n">
        <f aca="false">IF(AND(H1087="United Kingdom",G1087&lt;&gt;"",COUNTIFS($G$2:G1087,G1087,$H$2:H1087,"United Kingdom")=1),1,0)</f>
        <v>0</v>
      </c>
    </row>
    <row r="1088" customFormat="false" ht="15" hidden="false" customHeight="false" outlineLevel="0" collapsed="false">
      <c r="A1088" s="0" t="s">
        <v>291</v>
      </c>
      <c r="B1088" s="0" t="s">
        <v>45</v>
      </c>
      <c r="C1088" s="0" t="s">
        <v>46</v>
      </c>
      <c r="D1088" s="0" t="n">
        <v>6</v>
      </c>
      <c r="E1088" s="2" t="n">
        <v>40646.68125</v>
      </c>
      <c r="F1088" s="0" t="n">
        <v>4.55</v>
      </c>
      <c r="G1088" s="0" t="n">
        <v>15100</v>
      </c>
      <c r="H1088" s="3" t="s">
        <v>14</v>
      </c>
      <c r="I1088" s="4" t="n">
        <f aca="false">D1088*F1088</f>
        <v>27.3</v>
      </c>
      <c r="J1088" s="3" t="n">
        <f aca="false">IF(AND(LEFT(A1088,1)&lt;&gt;"C",D1088&gt;0,F1088&gt;0),1,0)</f>
        <v>1</v>
      </c>
      <c r="K1088" s="3" t="n">
        <f aca="false">IF(AND(H1088="United Kingdom",G1088&lt;&gt;"",COUNTIFS($G$2:G1088,G1088,$H$2:H1088,"United Kingdom")=1),1,0)</f>
        <v>0</v>
      </c>
    </row>
    <row r="1089" customFormat="false" ht="15" hidden="false" customHeight="false" outlineLevel="0" collapsed="false">
      <c r="A1089" s="0" t="s">
        <v>292</v>
      </c>
      <c r="B1089" s="0" t="s">
        <v>45</v>
      </c>
      <c r="C1089" s="0" t="s">
        <v>46</v>
      </c>
      <c r="D1089" s="0" t="n">
        <v>12</v>
      </c>
      <c r="E1089" s="2" t="n">
        <v>40647.5527777778</v>
      </c>
      <c r="F1089" s="0" t="n">
        <v>4.55</v>
      </c>
      <c r="G1089" s="0" t="n">
        <v>17032</v>
      </c>
      <c r="H1089" s="3" t="s">
        <v>14</v>
      </c>
      <c r="I1089" s="4" t="n">
        <f aca="false">D1089*F1089</f>
        <v>54.6</v>
      </c>
      <c r="J1089" s="3" t="n">
        <f aca="false">IF(AND(LEFT(A1089,1)&lt;&gt;"C",D1089&gt;0,F1089&gt;0),1,0)</f>
        <v>1</v>
      </c>
      <c r="K1089" s="3" t="n">
        <f aca="false">IF(AND(H1089="United Kingdom",G1089&lt;&gt;"",COUNTIFS($G$2:G1089,G1089,$H$2:H1089,"United Kingdom")=1),1,0)</f>
        <v>0</v>
      </c>
    </row>
    <row r="1090" customFormat="false" ht="15" hidden="false" customHeight="false" outlineLevel="0" collapsed="false">
      <c r="A1090" s="0" t="s">
        <v>292</v>
      </c>
      <c r="B1090" s="0" t="s">
        <v>90</v>
      </c>
      <c r="C1090" s="0" t="s">
        <v>91</v>
      </c>
      <c r="D1090" s="0" t="n">
        <v>1</v>
      </c>
      <c r="E1090" s="2" t="n">
        <v>40647.5527777778</v>
      </c>
      <c r="F1090" s="0" t="n">
        <v>3.04</v>
      </c>
      <c r="G1090" s="0" t="n">
        <v>17032</v>
      </c>
      <c r="H1090" s="3" t="s">
        <v>14</v>
      </c>
      <c r="I1090" s="4" t="n">
        <f aca="false">D1090*F1090</f>
        <v>3.04</v>
      </c>
      <c r="J1090" s="3" t="n">
        <f aca="false">IF(AND(LEFT(A1090,1)&lt;&gt;"C",D1090&gt;0,F1090&gt;0),1,0)</f>
        <v>1</v>
      </c>
      <c r="K1090" s="3" t="n">
        <f aca="false">IF(AND(H1090="United Kingdom",G1090&lt;&gt;"",COUNTIFS($G$2:G1090,G1090,$H$2:H1090,"United Kingdom")=1),1,0)</f>
        <v>0</v>
      </c>
    </row>
    <row r="1091" customFormat="false" ht="15" hidden="false" customHeight="false" outlineLevel="0" collapsed="false">
      <c r="A1091" s="0" t="s">
        <v>292</v>
      </c>
      <c r="B1091" s="0" t="s">
        <v>32</v>
      </c>
      <c r="C1091" s="0" t="s">
        <v>33</v>
      </c>
      <c r="D1091" s="0" t="n">
        <v>1</v>
      </c>
      <c r="E1091" s="2" t="n">
        <v>40647.5527777778</v>
      </c>
      <c r="F1091" s="0" t="n">
        <v>1.19</v>
      </c>
      <c r="G1091" s="0" t="n">
        <v>17032</v>
      </c>
      <c r="H1091" s="3" t="s">
        <v>14</v>
      </c>
      <c r="I1091" s="4" t="n">
        <f aca="false">D1091*F1091</f>
        <v>1.19</v>
      </c>
      <c r="J1091" s="3" t="n">
        <f aca="false">IF(AND(LEFT(A1091,1)&lt;&gt;"C",D1091&gt;0,F1091&gt;0),1,0)</f>
        <v>1</v>
      </c>
      <c r="K1091" s="3" t="n">
        <f aca="false">IF(AND(H1091="United Kingdom",G1091&lt;&gt;"",COUNTIFS($G$2:G1091,G1091,$H$2:H1091,"United Kingdom")=1),1,0)</f>
        <v>0</v>
      </c>
    </row>
    <row r="1092" customFormat="false" ht="15" hidden="false" customHeight="false" outlineLevel="0" collapsed="false">
      <c r="A1092" s="0" t="s">
        <v>292</v>
      </c>
      <c r="B1092" s="0" t="s">
        <v>39</v>
      </c>
      <c r="C1092" s="0" t="s">
        <v>40</v>
      </c>
      <c r="D1092" s="0" t="n">
        <v>4</v>
      </c>
      <c r="E1092" s="2" t="n">
        <v>40647.5527777778</v>
      </c>
      <c r="F1092" s="0" t="n">
        <v>2.58</v>
      </c>
      <c r="G1092" s="0" t="n">
        <v>17032</v>
      </c>
      <c r="H1092" s="3" t="s">
        <v>14</v>
      </c>
      <c r="I1092" s="4" t="n">
        <f aca="false">D1092*F1092</f>
        <v>10.32</v>
      </c>
      <c r="J1092" s="3" t="n">
        <f aca="false">IF(AND(LEFT(A1092,1)&lt;&gt;"C",D1092&gt;0,F1092&gt;0),1,0)</f>
        <v>1</v>
      </c>
      <c r="K1092" s="3" t="n">
        <f aca="false">IF(AND(H1092="United Kingdom",G1092&lt;&gt;"",COUNTIFS($G$2:G1092,G1092,$H$2:H1092,"United Kingdom")=1),1,0)</f>
        <v>0</v>
      </c>
    </row>
    <row r="1093" customFormat="false" ht="15" hidden="false" customHeight="false" outlineLevel="0" collapsed="false">
      <c r="A1093" s="0" t="s">
        <v>292</v>
      </c>
      <c r="B1093" s="0" t="s">
        <v>50</v>
      </c>
      <c r="C1093" s="0" t="s">
        <v>51</v>
      </c>
      <c r="D1093" s="0" t="n">
        <v>2</v>
      </c>
      <c r="E1093" s="2" t="n">
        <v>40647.5527777778</v>
      </c>
      <c r="F1093" s="0" t="n">
        <v>5.41</v>
      </c>
      <c r="G1093" s="0" t="n">
        <v>17032</v>
      </c>
      <c r="H1093" s="3" t="s">
        <v>14</v>
      </c>
      <c r="I1093" s="4" t="n">
        <f aca="false">D1093*F1093</f>
        <v>10.82</v>
      </c>
      <c r="J1093" s="3" t="n">
        <f aca="false">IF(AND(LEFT(A1093,1)&lt;&gt;"C",D1093&gt;0,F1093&gt;0),1,0)</f>
        <v>1</v>
      </c>
      <c r="K1093" s="3" t="n">
        <f aca="false">IF(AND(H1093="United Kingdom",G1093&lt;&gt;"",COUNTIFS($G$2:G1093,G1093,$H$2:H1093,"United Kingdom")=1),1,0)</f>
        <v>0</v>
      </c>
    </row>
    <row r="1094" customFormat="false" ht="15" hidden="false" customHeight="false" outlineLevel="0" collapsed="false">
      <c r="A1094" s="0" t="s">
        <v>292</v>
      </c>
      <c r="B1094" s="0" t="s">
        <v>68</v>
      </c>
      <c r="C1094" s="0" t="s">
        <v>69</v>
      </c>
      <c r="D1094" s="0" t="n">
        <v>2</v>
      </c>
      <c r="E1094" s="2" t="n">
        <v>40647.5527777778</v>
      </c>
      <c r="F1094" s="0" t="n">
        <v>1.26</v>
      </c>
      <c r="G1094" s="0" t="n">
        <v>17032</v>
      </c>
      <c r="H1094" s="3" t="s">
        <v>14</v>
      </c>
      <c r="I1094" s="4" t="n">
        <f aca="false">D1094*F1094</f>
        <v>2.52</v>
      </c>
      <c r="J1094" s="3" t="n">
        <f aca="false">IF(AND(LEFT(A1094,1)&lt;&gt;"C",D1094&gt;0,F1094&gt;0),1,0)</f>
        <v>1</v>
      </c>
      <c r="K1094" s="3" t="n">
        <f aca="false">IF(AND(H1094="United Kingdom",G1094&lt;&gt;"",COUNTIFS($G$2:G1094,G1094,$H$2:H1094,"United Kingdom")=1),1,0)</f>
        <v>0</v>
      </c>
    </row>
    <row r="1095" customFormat="false" ht="15" hidden="false" customHeight="false" outlineLevel="0" collapsed="false">
      <c r="A1095" s="0" t="s">
        <v>292</v>
      </c>
      <c r="B1095" s="0" t="s">
        <v>25</v>
      </c>
      <c r="C1095" s="0" t="s">
        <v>26</v>
      </c>
      <c r="D1095" s="0" t="n">
        <v>6</v>
      </c>
      <c r="E1095" s="2" t="n">
        <v>40647.5527777778</v>
      </c>
      <c r="F1095" s="0" t="n">
        <v>2.21</v>
      </c>
      <c r="G1095" s="0" t="n">
        <v>17032</v>
      </c>
      <c r="H1095" s="3" t="s">
        <v>14</v>
      </c>
      <c r="I1095" s="4" t="n">
        <f aca="false">D1095*F1095</f>
        <v>13.26</v>
      </c>
      <c r="J1095" s="3" t="n">
        <f aca="false">IF(AND(LEFT(A1095,1)&lt;&gt;"C",D1095&gt;0,F1095&gt;0),1,0)</f>
        <v>1</v>
      </c>
      <c r="K1095" s="3" t="n">
        <f aca="false">IF(AND(H1095="United Kingdom",G1095&lt;&gt;"",COUNTIFS($G$2:G1095,G1095,$H$2:H1095,"United Kingdom")=1),1,0)</f>
        <v>0</v>
      </c>
    </row>
    <row r="1096" customFormat="false" ht="15" hidden="false" customHeight="false" outlineLevel="0" collapsed="false">
      <c r="A1096" s="0" t="s">
        <v>293</v>
      </c>
      <c r="B1096" s="0" t="s">
        <v>27</v>
      </c>
      <c r="C1096" s="0" t="s">
        <v>28</v>
      </c>
      <c r="D1096" s="0" t="n">
        <v>8</v>
      </c>
      <c r="E1096" s="2" t="n">
        <v>40648.3958333333</v>
      </c>
      <c r="F1096" s="0" t="n">
        <v>4.55</v>
      </c>
      <c r="H1096" s="3" t="s">
        <v>14</v>
      </c>
      <c r="I1096" s="4" t="n">
        <f aca="false">D1096*F1096</f>
        <v>36.4</v>
      </c>
      <c r="J1096" s="3" t="n">
        <f aca="false">IF(AND(LEFT(A1096,1)&lt;&gt;"C",D1096&gt;0,F1096&gt;0),1,0)</f>
        <v>1</v>
      </c>
      <c r="K1096" s="3" t="n">
        <f aca="false">IF(AND(H1096="United Kingdom",G1096&lt;&gt;"",COUNTIFS($G$2:G1096,G1096,$H$2:H1096,"United Kingdom")=1),1,0)</f>
        <v>0</v>
      </c>
    </row>
    <row r="1097" customFormat="false" ht="15" hidden="false" customHeight="false" outlineLevel="0" collapsed="false">
      <c r="A1097" s="0" t="s">
        <v>293</v>
      </c>
      <c r="B1097" s="0" t="s">
        <v>22</v>
      </c>
      <c r="C1097" s="0" t="s">
        <v>23</v>
      </c>
      <c r="D1097" s="0" t="n">
        <v>6</v>
      </c>
      <c r="E1097" s="2" t="n">
        <v>40648.3958333333</v>
      </c>
      <c r="F1097" s="0" t="n">
        <v>3.18</v>
      </c>
      <c r="H1097" s="3" t="s">
        <v>14</v>
      </c>
      <c r="I1097" s="4" t="n">
        <f aca="false">D1097*F1097</f>
        <v>19.08</v>
      </c>
      <c r="J1097" s="3" t="n">
        <f aca="false">IF(AND(LEFT(A1097,1)&lt;&gt;"C",D1097&gt;0,F1097&gt;0),1,0)</f>
        <v>1</v>
      </c>
      <c r="K1097" s="3" t="n">
        <f aca="false">IF(AND(H1097="United Kingdom",G1097&lt;&gt;"",COUNTIFS($G$2:G1097,G1097,$H$2:H1097,"United Kingdom")=1),1,0)</f>
        <v>0</v>
      </c>
    </row>
    <row r="1098" customFormat="false" ht="15" hidden="false" customHeight="false" outlineLevel="0" collapsed="false">
      <c r="A1098" s="0" t="s">
        <v>293</v>
      </c>
      <c r="B1098" s="0" t="s">
        <v>113</v>
      </c>
      <c r="C1098" s="0" t="s">
        <v>114</v>
      </c>
      <c r="D1098" s="0" t="n">
        <v>2</v>
      </c>
      <c r="E1098" s="2" t="n">
        <v>40648.3958333333</v>
      </c>
      <c r="F1098" s="0" t="n">
        <v>3.57</v>
      </c>
      <c r="H1098" s="3" t="s">
        <v>14</v>
      </c>
      <c r="I1098" s="4" t="n">
        <f aca="false">D1098*F1098</f>
        <v>7.14</v>
      </c>
      <c r="J1098" s="3" t="n">
        <f aca="false">IF(AND(LEFT(A1098,1)&lt;&gt;"C",D1098&gt;0,F1098&gt;0),1,0)</f>
        <v>1</v>
      </c>
      <c r="K1098" s="3" t="n">
        <f aca="false">IF(AND(H1098="United Kingdom",G1098&lt;&gt;"",COUNTIFS($G$2:G1098,G1098,$H$2:H1098,"United Kingdom")=1),1,0)</f>
        <v>0</v>
      </c>
    </row>
    <row r="1099" customFormat="false" ht="15" hidden="false" customHeight="false" outlineLevel="0" collapsed="false">
      <c r="A1099" s="0" t="s">
        <v>293</v>
      </c>
      <c r="B1099" s="0" t="s">
        <v>90</v>
      </c>
      <c r="C1099" s="0" t="s">
        <v>91</v>
      </c>
      <c r="D1099" s="0" t="n">
        <v>2</v>
      </c>
      <c r="E1099" s="2" t="n">
        <v>40648.3958333333</v>
      </c>
      <c r="F1099" s="0" t="n">
        <v>3.04</v>
      </c>
      <c r="H1099" s="3" t="s">
        <v>14</v>
      </c>
      <c r="I1099" s="4" t="n">
        <f aca="false">D1099*F1099</f>
        <v>6.08</v>
      </c>
      <c r="J1099" s="3" t="n">
        <f aca="false">IF(AND(LEFT(A1099,1)&lt;&gt;"C",D1099&gt;0,F1099&gt;0),1,0)</f>
        <v>1</v>
      </c>
      <c r="K1099" s="3" t="n">
        <f aca="false">IF(AND(H1099="United Kingdom",G1099&lt;&gt;"",COUNTIFS($G$2:G1099,G1099,$H$2:H1099,"United Kingdom")=1),1,0)</f>
        <v>0</v>
      </c>
    </row>
    <row r="1100" customFormat="false" ht="15" hidden="false" customHeight="false" outlineLevel="0" collapsed="false">
      <c r="A1100" s="0" t="s">
        <v>294</v>
      </c>
      <c r="B1100" s="0" t="s">
        <v>25</v>
      </c>
      <c r="C1100" s="0" t="s">
        <v>26</v>
      </c>
      <c r="D1100" s="0" t="n">
        <v>4</v>
      </c>
      <c r="E1100" s="2" t="n">
        <v>40648.4625</v>
      </c>
      <c r="F1100" s="0" t="n">
        <v>2.21</v>
      </c>
      <c r="G1100" s="0" t="n">
        <v>13016</v>
      </c>
      <c r="H1100" s="3" t="s">
        <v>14</v>
      </c>
      <c r="I1100" s="4" t="n">
        <f aca="false">D1100*F1100</f>
        <v>8.84</v>
      </c>
      <c r="J1100" s="3" t="n">
        <f aca="false">IF(AND(LEFT(A1100,1)&lt;&gt;"C",D1100&gt;0,F1100&gt;0),1,0)</f>
        <v>1</v>
      </c>
      <c r="K1100" s="3" t="n">
        <f aca="false">IF(AND(H1100="United Kingdom",G1100&lt;&gt;"",COUNTIFS($G$2:G1100,G1100,$H$2:H1100,"United Kingdom")=1),1,0)</f>
        <v>0</v>
      </c>
    </row>
    <row r="1101" customFormat="false" ht="15" hidden="false" customHeight="false" outlineLevel="0" collapsed="false">
      <c r="A1101" s="0" t="s">
        <v>294</v>
      </c>
      <c r="B1101" s="0" t="s">
        <v>52</v>
      </c>
      <c r="C1101" s="0" t="s">
        <v>53</v>
      </c>
      <c r="D1101" s="0" t="n">
        <v>2</v>
      </c>
      <c r="E1101" s="2" t="n">
        <v>40648.4625</v>
      </c>
      <c r="F1101" s="0" t="n">
        <v>4.16</v>
      </c>
      <c r="G1101" s="0" t="n">
        <v>13016</v>
      </c>
      <c r="H1101" s="3" t="s">
        <v>14</v>
      </c>
      <c r="I1101" s="4" t="n">
        <f aca="false">D1101*F1101</f>
        <v>8.32</v>
      </c>
      <c r="J1101" s="3" t="n">
        <f aca="false">IF(AND(LEFT(A1101,1)&lt;&gt;"C",D1101&gt;0,F1101&gt;0),1,0)</f>
        <v>1</v>
      </c>
      <c r="K1101" s="3" t="n">
        <f aca="false">IF(AND(H1101="United Kingdom",G1101&lt;&gt;"",COUNTIFS($G$2:G1101,G1101,$H$2:H1101,"United Kingdom")=1),1,0)</f>
        <v>0</v>
      </c>
    </row>
    <row r="1102" customFormat="false" ht="15" hidden="false" customHeight="false" outlineLevel="0" collapsed="false">
      <c r="A1102" s="0" t="s">
        <v>295</v>
      </c>
      <c r="B1102" s="0" t="s">
        <v>52</v>
      </c>
      <c r="C1102" s="0" t="s">
        <v>53</v>
      </c>
      <c r="D1102" s="0" t="n">
        <v>3</v>
      </c>
      <c r="E1102" s="2" t="n">
        <v>40650.7465277778</v>
      </c>
      <c r="F1102" s="0" t="n">
        <v>4.16</v>
      </c>
      <c r="G1102" s="0" t="n">
        <v>12535</v>
      </c>
      <c r="H1102" s="3" t="s">
        <v>120</v>
      </c>
      <c r="I1102" s="4" t="n">
        <f aca="false">D1102*F1102</f>
        <v>12.48</v>
      </c>
      <c r="J1102" s="3" t="n">
        <f aca="false">IF(AND(LEFT(A1102,1)&lt;&gt;"C",D1102&gt;0,F1102&gt;0),1,0)</f>
        <v>1</v>
      </c>
      <c r="K1102" s="3" t="n">
        <f aca="false">IF(AND(H1102="United Kingdom",G1102&lt;&gt;"",COUNTIFS($G$2:G1102,G1102,$H$2:H1102,"United Kingdom")=1),1,0)</f>
        <v>0</v>
      </c>
    </row>
    <row r="1103" customFormat="false" ht="15" hidden="false" customHeight="false" outlineLevel="0" collapsed="false">
      <c r="A1103" s="0" t="s">
        <v>295</v>
      </c>
      <c r="B1103" s="0" t="s">
        <v>43</v>
      </c>
      <c r="C1103" s="0" t="s">
        <v>44</v>
      </c>
      <c r="D1103" s="0" t="n">
        <v>2</v>
      </c>
      <c r="E1103" s="2" t="n">
        <v>40650.7465277778</v>
      </c>
      <c r="F1103" s="0" t="n">
        <v>1.35</v>
      </c>
      <c r="G1103" s="0" t="n">
        <v>12535</v>
      </c>
      <c r="H1103" s="3" t="s">
        <v>120</v>
      </c>
      <c r="I1103" s="4" t="n">
        <f aca="false">D1103*F1103</f>
        <v>2.7</v>
      </c>
      <c r="J1103" s="3" t="n">
        <f aca="false">IF(AND(LEFT(A1103,1)&lt;&gt;"C",D1103&gt;0,F1103&gt;0),1,0)</f>
        <v>1</v>
      </c>
      <c r="K1103" s="3" t="n">
        <f aca="false">IF(AND(H1103="United Kingdom",G1103&lt;&gt;"",COUNTIFS($G$2:G1103,G1103,$H$2:H1103,"United Kingdom")=1),1,0)</f>
        <v>0</v>
      </c>
    </row>
    <row r="1104" customFormat="false" ht="15" hidden="false" customHeight="false" outlineLevel="0" collapsed="false">
      <c r="A1104" s="0" t="s">
        <v>295</v>
      </c>
      <c r="B1104" s="0" t="s">
        <v>39</v>
      </c>
      <c r="C1104" s="0" t="s">
        <v>40</v>
      </c>
      <c r="D1104" s="0" t="n">
        <v>1</v>
      </c>
      <c r="E1104" s="2" t="n">
        <v>40650.7465277778</v>
      </c>
      <c r="F1104" s="0" t="n">
        <v>2.58</v>
      </c>
      <c r="G1104" s="0" t="n">
        <v>12535</v>
      </c>
      <c r="H1104" s="3" t="s">
        <v>120</v>
      </c>
      <c r="I1104" s="4" t="n">
        <f aca="false">D1104*F1104</f>
        <v>2.58</v>
      </c>
      <c r="J1104" s="3" t="n">
        <f aca="false">IF(AND(LEFT(A1104,1)&lt;&gt;"C",D1104&gt;0,F1104&gt;0),1,0)</f>
        <v>1</v>
      </c>
      <c r="K1104" s="3" t="n">
        <f aca="false">IF(AND(H1104="United Kingdom",G1104&lt;&gt;"",COUNTIFS($G$2:G1104,G1104,$H$2:H1104,"United Kingdom")=1),1,0)</f>
        <v>0</v>
      </c>
    </row>
    <row r="1105" customFormat="false" ht="15" hidden="false" customHeight="false" outlineLevel="0" collapsed="false">
      <c r="A1105" s="0" t="s">
        <v>295</v>
      </c>
      <c r="B1105" s="0" t="s">
        <v>22</v>
      </c>
      <c r="C1105" s="0" t="s">
        <v>23</v>
      </c>
      <c r="D1105" s="0" t="n">
        <v>1</v>
      </c>
      <c r="E1105" s="2" t="n">
        <v>40650.7465277778</v>
      </c>
      <c r="F1105" s="0" t="n">
        <v>3.18</v>
      </c>
      <c r="G1105" s="0" t="n">
        <v>12535</v>
      </c>
      <c r="H1105" s="3" t="s">
        <v>120</v>
      </c>
      <c r="I1105" s="4" t="n">
        <f aca="false">D1105*F1105</f>
        <v>3.18</v>
      </c>
      <c r="J1105" s="3" t="n">
        <f aca="false">IF(AND(LEFT(A1105,1)&lt;&gt;"C",D1105&gt;0,F1105&gt;0),1,0)</f>
        <v>1</v>
      </c>
      <c r="K1105" s="3" t="n">
        <f aca="false">IF(AND(H1105="United Kingdom",G1105&lt;&gt;"",COUNTIFS($G$2:G1105,G1105,$H$2:H1105,"United Kingdom")=1),1,0)</f>
        <v>0</v>
      </c>
    </row>
    <row r="1106" customFormat="false" ht="15" hidden="false" customHeight="false" outlineLevel="0" collapsed="false">
      <c r="A1106" s="0" t="s">
        <v>295</v>
      </c>
      <c r="B1106" s="0" t="s">
        <v>113</v>
      </c>
      <c r="C1106" s="0" t="s">
        <v>114</v>
      </c>
      <c r="D1106" s="0" t="n">
        <v>3</v>
      </c>
      <c r="E1106" s="2" t="n">
        <v>40650.7465277778</v>
      </c>
      <c r="F1106" s="0" t="n">
        <v>3.57</v>
      </c>
      <c r="G1106" s="0" t="n">
        <v>12535</v>
      </c>
      <c r="H1106" s="3" t="s">
        <v>120</v>
      </c>
      <c r="I1106" s="4" t="n">
        <f aca="false">D1106*F1106</f>
        <v>10.71</v>
      </c>
      <c r="J1106" s="3" t="n">
        <f aca="false">IF(AND(LEFT(A1106,1)&lt;&gt;"C",D1106&gt;0,F1106&gt;0),1,0)</f>
        <v>1</v>
      </c>
      <c r="K1106" s="3" t="n">
        <f aca="false">IF(AND(H1106="United Kingdom",G1106&lt;&gt;"",COUNTIFS($G$2:G1106,G1106,$H$2:H1106,"United Kingdom")=1),1,0)</f>
        <v>0</v>
      </c>
    </row>
    <row r="1107" customFormat="false" ht="15" hidden="false" customHeight="false" outlineLevel="0" collapsed="false">
      <c r="A1107" s="0" t="s">
        <v>295</v>
      </c>
      <c r="B1107" s="0" t="s">
        <v>27</v>
      </c>
      <c r="C1107" s="0" t="s">
        <v>28</v>
      </c>
      <c r="D1107" s="0" t="n">
        <v>3</v>
      </c>
      <c r="E1107" s="2" t="n">
        <v>40650.7465277778</v>
      </c>
      <c r="F1107" s="0" t="n">
        <v>4.55</v>
      </c>
      <c r="G1107" s="0" t="n">
        <v>12535</v>
      </c>
      <c r="H1107" s="3" t="s">
        <v>120</v>
      </c>
      <c r="I1107" s="4" t="n">
        <f aca="false">D1107*F1107</f>
        <v>13.65</v>
      </c>
      <c r="J1107" s="3" t="n">
        <f aca="false">IF(AND(LEFT(A1107,1)&lt;&gt;"C",D1107&gt;0,F1107&gt;0),1,0)</f>
        <v>1</v>
      </c>
      <c r="K1107" s="3" t="n">
        <f aca="false">IF(AND(H1107="United Kingdom",G1107&lt;&gt;"",COUNTIFS($G$2:G1107,G1107,$H$2:H1107,"United Kingdom")=1),1,0)</f>
        <v>0</v>
      </c>
    </row>
    <row r="1108" customFormat="false" ht="15" hidden="false" customHeight="false" outlineLevel="0" collapsed="false">
      <c r="A1108" s="0" t="s">
        <v>295</v>
      </c>
      <c r="B1108" s="0" t="s">
        <v>65</v>
      </c>
      <c r="C1108" s="0" t="s">
        <v>66</v>
      </c>
      <c r="D1108" s="0" t="n">
        <v>5</v>
      </c>
      <c r="E1108" s="2" t="n">
        <v>40650.7465277778</v>
      </c>
      <c r="F1108" s="0" t="n">
        <v>4.75</v>
      </c>
      <c r="G1108" s="0" t="n">
        <v>12535</v>
      </c>
      <c r="H1108" s="3" t="s">
        <v>120</v>
      </c>
      <c r="I1108" s="4" t="n">
        <f aca="false">D1108*F1108</f>
        <v>23.75</v>
      </c>
      <c r="J1108" s="3" t="n">
        <f aca="false">IF(AND(LEFT(A1108,1)&lt;&gt;"C",D1108&gt;0,F1108&gt;0),1,0)</f>
        <v>1</v>
      </c>
      <c r="K1108" s="3" t="n">
        <f aca="false">IF(AND(H1108="United Kingdom",G1108&lt;&gt;"",COUNTIFS($G$2:G1108,G1108,$H$2:H1108,"United Kingdom")=1),1,0)</f>
        <v>0</v>
      </c>
    </row>
    <row r="1109" customFormat="false" ht="15" hidden="false" customHeight="false" outlineLevel="0" collapsed="false">
      <c r="A1109" s="0" t="s">
        <v>295</v>
      </c>
      <c r="B1109" s="0" t="s">
        <v>80</v>
      </c>
      <c r="C1109" s="0" t="s">
        <v>81</v>
      </c>
      <c r="D1109" s="0" t="n">
        <v>2</v>
      </c>
      <c r="E1109" s="2" t="n">
        <v>40650.7465277778</v>
      </c>
      <c r="F1109" s="0" t="n">
        <v>1.53</v>
      </c>
      <c r="G1109" s="0" t="n">
        <v>12535</v>
      </c>
      <c r="H1109" s="3" t="s">
        <v>120</v>
      </c>
      <c r="I1109" s="4" t="n">
        <f aca="false">D1109*F1109</f>
        <v>3.06</v>
      </c>
      <c r="J1109" s="3" t="n">
        <f aca="false">IF(AND(LEFT(A1109,1)&lt;&gt;"C",D1109&gt;0,F1109&gt;0),1,0)</f>
        <v>1</v>
      </c>
      <c r="K1109" s="3" t="n">
        <f aca="false">IF(AND(H1109="United Kingdom",G1109&lt;&gt;"",COUNTIFS($G$2:G1109,G1109,$H$2:H1109,"United Kingdom")=1),1,0)</f>
        <v>0</v>
      </c>
    </row>
    <row r="1110" customFormat="false" ht="15" hidden="false" customHeight="false" outlineLevel="0" collapsed="false">
      <c r="A1110" s="0" t="s">
        <v>295</v>
      </c>
      <c r="B1110" s="0" t="s">
        <v>12</v>
      </c>
      <c r="C1110" s="0" t="s">
        <v>13</v>
      </c>
      <c r="D1110" s="0" t="n">
        <v>31</v>
      </c>
      <c r="E1110" s="2" t="n">
        <v>40650.7465277778</v>
      </c>
      <c r="F1110" s="0" t="n">
        <v>3.33</v>
      </c>
      <c r="G1110" s="0" t="n">
        <v>12535</v>
      </c>
      <c r="H1110" s="3" t="s">
        <v>120</v>
      </c>
      <c r="I1110" s="4" t="n">
        <f aca="false">D1110*F1110</f>
        <v>103.23</v>
      </c>
      <c r="J1110" s="3" t="n">
        <f aca="false">IF(AND(LEFT(A1110,1)&lt;&gt;"C",D1110&gt;0,F1110&gt;0),1,0)</f>
        <v>1</v>
      </c>
      <c r="K1110" s="3" t="n">
        <f aca="false">IF(AND(H1110="United Kingdom",G1110&lt;&gt;"",COUNTIFS($G$2:G1110,G1110,$H$2:H1110,"United Kingdom")=1),1,0)</f>
        <v>0</v>
      </c>
    </row>
    <row r="1111" customFormat="false" ht="15" hidden="false" customHeight="false" outlineLevel="0" collapsed="false">
      <c r="A1111" s="0" t="s">
        <v>295</v>
      </c>
      <c r="B1111" s="0" t="s">
        <v>54</v>
      </c>
      <c r="C1111" s="0" t="s">
        <v>55</v>
      </c>
      <c r="D1111" s="0" t="n">
        <v>5</v>
      </c>
      <c r="E1111" s="2" t="n">
        <v>40650.7465277778</v>
      </c>
      <c r="F1111" s="0" t="n">
        <v>0.99</v>
      </c>
      <c r="G1111" s="0" t="n">
        <v>12535</v>
      </c>
      <c r="H1111" s="3" t="s">
        <v>120</v>
      </c>
      <c r="I1111" s="4" t="n">
        <f aca="false">D1111*F1111</f>
        <v>4.95</v>
      </c>
      <c r="J1111" s="3" t="n">
        <f aca="false">IF(AND(LEFT(A1111,1)&lt;&gt;"C",D1111&gt;0,F1111&gt;0),1,0)</f>
        <v>1</v>
      </c>
      <c r="K1111" s="3" t="n">
        <f aca="false">IF(AND(H1111="United Kingdom",G1111&lt;&gt;"",COUNTIFS($G$2:G1111,G1111,$H$2:H1111,"United Kingdom")=1),1,0)</f>
        <v>0</v>
      </c>
    </row>
    <row r="1112" customFormat="false" ht="15" hidden="false" customHeight="false" outlineLevel="0" collapsed="false">
      <c r="A1112" s="0" t="s">
        <v>295</v>
      </c>
      <c r="B1112" s="0" t="s">
        <v>48</v>
      </c>
      <c r="C1112" s="0" t="s">
        <v>49</v>
      </c>
      <c r="D1112" s="0" t="n">
        <v>3</v>
      </c>
      <c r="E1112" s="2" t="n">
        <v>40650.7465277778</v>
      </c>
      <c r="F1112" s="0" t="n">
        <v>1.35</v>
      </c>
      <c r="G1112" s="0" t="n">
        <v>12535</v>
      </c>
      <c r="H1112" s="3" t="s">
        <v>120</v>
      </c>
      <c r="I1112" s="4" t="n">
        <f aca="false">D1112*F1112</f>
        <v>4.05</v>
      </c>
      <c r="J1112" s="3" t="n">
        <f aca="false">IF(AND(LEFT(A1112,1)&lt;&gt;"C",D1112&gt;0,F1112&gt;0),1,0)</f>
        <v>1</v>
      </c>
      <c r="K1112" s="3" t="n">
        <f aca="false">IF(AND(H1112="United Kingdom",G1112&lt;&gt;"",COUNTIFS($G$2:G1112,G1112,$H$2:H1112,"United Kingdom")=1),1,0)</f>
        <v>0</v>
      </c>
    </row>
    <row r="1113" customFormat="false" ht="15" hidden="false" customHeight="false" outlineLevel="0" collapsed="false">
      <c r="A1113" s="0" t="s">
        <v>295</v>
      </c>
      <c r="B1113" s="0" t="s">
        <v>90</v>
      </c>
      <c r="C1113" s="0" t="s">
        <v>91</v>
      </c>
      <c r="D1113" s="0" t="n">
        <v>20</v>
      </c>
      <c r="E1113" s="2" t="n">
        <v>40650.7465277778</v>
      </c>
      <c r="F1113" s="0" t="n">
        <v>3.04</v>
      </c>
      <c r="G1113" s="0" t="n">
        <v>12535</v>
      </c>
      <c r="H1113" s="3" t="s">
        <v>120</v>
      </c>
      <c r="I1113" s="4" t="n">
        <f aca="false">D1113*F1113</f>
        <v>60.8</v>
      </c>
      <c r="J1113" s="3" t="n">
        <f aca="false">IF(AND(LEFT(A1113,1)&lt;&gt;"C",D1113&gt;0,F1113&gt;0),1,0)</f>
        <v>1</v>
      </c>
      <c r="K1113" s="3" t="n">
        <f aca="false">IF(AND(H1113="United Kingdom",G1113&lt;&gt;"",COUNTIFS($G$2:G1113,G1113,$H$2:H1113,"United Kingdom")=1),1,0)</f>
        <v>0</v>
      </c>
    </row>
    <row r="1114" customFormat="false" ht="15" hidden="false" customHeight="false" outlineLevel="0" collapsed="false">
      <c r="A1114" s="0" t="s">
        <v>295</v>
      </c>
      <c r="B1114" s="0" t="s">
        <v>60</v>
      </c>
      <c r="C1114" s="0" t="s">
        <v>61</v>
      </c>
      <c r="D1114" s="0" t="n">
        <v>2</v>
      </c>
      <c r="E1114" s="2" t="n">
        <v>40650.7465277778</v>
      </c>
      <c r="F1114" s="0" t="n">
        <v>0.63</v>
      </c>
      <c r="G1114" s="0" t="n">
        <v>12535</v>
      </c>
      <c r="H1114" s="3" t="s">
        <v>120</v>
      </c>
      <c r="I1114" s="4" t="n">
        <f aca="false">D1114*F1114</f>
        <v>1.26</v>
      </c>
      <c r="J1114" s="3" t="n">
        <f aca="false">IF(AND(LEFT(A1114,1)&lt;&gt;"C",D1114&gt;0,F1114&gt;0),1,0)</f>
        <v>1</v>
      </c>
      <c r="K1114" s="3" t="n">
        <f aca="false">IF(AND(H1114="United Kingdom",G1114&lt;&gt;"",COUNTIFS($G$2:G1114,G1114,$H$2:H1114,"United Kingdom")=1),1,0)</f>
        <v>0</v>
      </c>
    </row>
    <row r="1115" customFormat="false" ht="15" hidden="false" customHeight="false" outlineLevel="0" collapsed="false">
      <c r="A1115" s="0" t="s">
        <v>295</v>
      </c>
      <c r="B1115" s="0" t="s">
        <v>68</v>
      </c>
      <c r="C1115" s="0" t="s">
        <v>69</v>
      </c>
      <c r="D1115" s="0" t="n">
        <v>2</v>
      </c>
      <c r="E1115" s="2" t="n">
        <v>40650.7465277778</v>
      </c>
      <c r="F1115" s="0" t="n">
        <v>1.26</v>
      </c>
      <c r="G1115" s="0" t="n">
        <v>12535</v>
      </c>
      <c r="H1115" s="3" t="s">
        <v>120</v>
      </c>
      <c r="I1115" s="4" t="n">
        <f aca="false">D1115*F1115</f>
        <v>2.52</v>
      </c>
      <c r="J1115" s="3" t="n">
        <f aca="false">IF(AND(LEFT(A1115,1)&lt;&gt;"C",D1115&gt;0,F1115&gt;0),1,0)</f>
        <v>1</v>
      </c>
      <c r="K1115" s="3" t="n">
        <f aca="false">IF(AND(H1115="United Kingdom",G1115&lt;&gt;"",COUNTIFS($G$2:G1115,G1115,$H$2:H1115,"United Kingdom")=1),1,0)</f>
        <v>0</v>
      </c>
    </row>
    <row r="1116" customFormat="false" ht="15" hidden="false" customHeight="false" outlineLevel="0" collapsed="false">
      <c r="A1116" s="0" t="s">
        <v>295</v>
      </c>
      <c r="B1116" s="0" t="s">
        <v>77</v>
      </c>
      <c r="C1116" s="0" t="s">
        <v>78</v>
      </c>
      <c r="D1116" s="0" t="n">
        <v>15</v>
      </c>
      <c r="E1116" s="2" t="n">
        <v>40650.7465277778</v>
      </c>
      <c r="F1116" s="0" t="n">
        <v>3.41</v>
      </c>
      <c r="G1116" s="0" t="n">
        <v>12535</v>
      </c>
      <c r="H1116" s="3" t="s">
        <v>120</v>
      </c>
      <c r="I1116" s="4" t="n">
        <f aca="false">D1116*F1116</f>
        <v>51.15</v>
      </c>
      <c r="J1116" s="3" t="n">
        <f aca="false">IF(AND(LEFT(A1116,1)&lt;&gt;"C",D1116&gt;0,F1116&gt;0),1,0)</f>
        <v>1</v>
      </c>
      <c r="K1116" s="3" t="n">
        <f aca="false">IF(AND(H1116="United Kingdom",G1116&lt;&gt;"",COUNTIFS($G$2:G1116,G1116,$H$2:H1116,"United Kingdom")=1),1,0)</f>
        <v>0</v>
      </c>
    </row>
    <row r="1117" customFormat="false" ht="15" hidden="false" customHeight="false" outlineLevel="0" collapsed="false">
      <c r="A1117" s="0" t="s">
        <v>296</v>
      </c>
      <c r="B1117" s="0" t="s">
        <v>113</v>
      </c>
      <c r="C1117" s="0" t="s">
        <v>114</v>
      </c>
      <c r="D1117" s="0" t="n">
        <v>8</v>
      </c>
      <c r="E1117" s="2" t="n">
        <v>40651.3791666667</v>
      </c>
      <c r="F1117" s="0" t="n">
        <v>3.57</v>
      </c>
      <c r="G1117" s="0" t="n">
        <v>17362</v>
      </c>
      <c r="H1117" s="3" t="s">
        <v>14</v>
      </c>
      <c r="I1117" s="4" t="n">
        <f aca="false">D1117*F1117</f>
        <v>28.56</v>
      </c>
      <c r="J1117" s="3" t="n">
        <f aca="false">IF(AND(LEFT(A1117,1)&lt;&gt;"C",D1117&gt;0,F1117&gt;0),1,0)</f>
        <v>1</v>
      </c>
      <c r="K1117" s="3" t="n">
        <f aca="false">IF(AND(H1117="United Kingdom",G1117&lt;&gt;"",COUNTIFS($G$2:G1117,G1117,$H$2:H1117,"United Kingdom")=1),1,0)</f>
        <v>1</v>
      </c>
    </row>
    <row r="1118" customFormat="false" ht="15" hidden="false" customHeight="false" outlineLevel="0" collapsed="false">
      <c r="A1118" s="0" t="s">
        <v>296</v>
      </c>
      <c r="B1118" s="0" t="s">
        <v>65</v>
      </c>
      <c r="C1118" s="0" t="s">
        <v>66</v>
      </c>
      <c r="D1118" s="0" t="n">
        <v>2</v>
      </c>
      <c r="E1118" s="2" t="n">
        <v>40651.3791666667</v>
      </c>
      <c r="F1118" s="0" t="n">
        <v>4.75</v>
      </c>
      <c r="G1118" s="0" t="n">
        <v>17362</v>
      </c>
      <c r="H1118" s="3" t="s">
        <v>14</v>
      </c>
      <c r="I1118" s="4" t="n">
        <f aca="false">D1118*F1118</f>
        <v>9.5</v>
      </c>
      <c r="J1118" s="3" t="n">
        <f aca="false">IF(AND(LEFT(A1118,1)&lt;&gt;"C",D1118&gt;0,F1118&gt;0),1,0)</f>
        <v>1</v>
      </c>
      <c r="K1118" s="3" t="n">
        <f aca="false">IF(AND(H1118="United Kingdom",G1118&lt;&gt;"",COUNTIFS($G$2:G1118,G1118,$H$2:H1118,"United Kingdom")=1),1,0)</f>
        <v>0</v>
      </c>
    </row>
    <row r="1119" customFormat="false" ht="15" hidden="false" customHeight="false" outlineLevel="0" collapsed="false">
      <c r="A1119" s="0" t="s">
        <v>296</v>
      </c>
      <c r="B1119" s="0" t="s">
        <v>34</v>
      </c>
      <c r="C1119" s="0" t="s">
        <v>35</v>
      </c>
      <c r="D1119" s="0" t="n">
        <v>4</v>
      </c>
      <c r="E1119" s="2" t="n">
        <v>40651.3791666667</v>
      </c>
      <c r="F1119" s="0" t="n">
        <v>2.38</v>
      </c>
      <c r="G1119" s="0" t="n">
        <v>17362</v>
      </c>
      <c r="H1119" s="3" t="s">
        <v>14</v>
      </c>
      <c r="I1119" s="4" t="n">
        <f aca="false">D1119*F1119</f>
        <v>9.52</v>
      </c>
      <c r="J1119" s="3" t="n">
        <f aca="false">IF(AND(LEFT(A1119,1)&lt;&gt;"C",D1119&gt;0,F1119&gt;0),1,0)</f>
        <v>1</v>
      </c>
      <c r="K1119" s="3" t="n">
        <f aca="false">IF(AND(H1119="United Kingdom",G1119&lt;&gt;"",COUNTIFS($G$2:G1119,G1119,$H$2:H1119,"United Kingdom")=1),1,0)</f>
        <v>0</v>
      </c>
    </row>
    <row r="1120" customFormat="false" ht="15" hidden="false" customHeight="false" outlineLevel="0" collapsed="false">
      <c r="A1120" s="0" t="s">
        <v>296</v>
      </c>
      <c r="B1120" s="0" t="s">
        <v>45</v>
      </c>
      <c r="C1120" s="0" t="s">
        <v>46</v>
      </c>
      <c r="D1120" s="0" t="n">
        <v>12</v>
      </c>
      <c r="E1120" s="2" t="n">
        <v>40651.3791666667</v>
      </c>
      <c r="F1120" s="0" t="n">
        <v>4.55</v>
      </c>
      <c r="G1120" s="0" t="n">
        <v>17362</v>
      </c>
      <c r="H1120" s="3" t="s">
        <v>14</v>
      </c>
      <c r="I1120" s="4" t="n">
        <f aca="false">D1120*F1120</f>
        <v>54.6</v>
      </c>
      <c r="J1120" s="3" t="n">
        <f aca="false">IF(AND(LEFT(A1120,1)&lt;&gt;"C",D1120&gt;0,F1120&gt;0),1,0)</f>
        <v>1</v>
      </c>
      <c r="K1120" s="3" t="n">
        <f aca="false">IF(AND(H1120="United Kingdom",G1120&lt;&gt;"",COUNTIFS($G$2:G1120,G1120,$H$2:H1120,"United Kingdom")=1),1,0)</f>
        <v>0</v>
      </c>
    </row>
    <row r="1121" customFormat="false" ht="15" hidden="false" customHeight="false" outlineLevel="0" collapsed="false">
      <c r="A1121" s="0" t="s">
        <v>296</v>
      </c>
      <c r="B1121" s="0" t="s">
        <v>68</v>
      </c>
      <c r="C1121" s="0" t="s">
        <v>69</v>
      </c>
      <c r="D1121" s="0" t="n">
        <v>1</v>
      </c>
      <c r="E1121" s="2" t="n">
        <v>40651.3791666667</v>
      </c>
      <c r="F1121" s="0" t="n">
        <v>1.26</v>
      </c>
      <c r="G1121" s="0" t="n">
        <v>17362</v>
      </c>
      <c r="H1121" s="3" t="s">
        <v>14</v>
      </c>
      <c r="I1121" s="4" t="n">
        <f aca="false">D1121*F1121</f>
        <v>1.26</v>
      </c>
      <c r="J1121" s="3" t="n">
        <f aca="false">IF(AND(LEFT(A1121,1)&lt;&gt;"C",D1121&gt;0,F1121&gt;0),1,0)</f>
        <v>1</v>
      </c>
      <c r="K1121" s="3" t="n">
        <f aca="false">IF(AND(H1121="United Kingdom",G1121&lt;&gt;"",COUNTIFS($G$2:G1121,G1121,$H$2:H1121,"United Kingdom")=1),1,0)</f>
        <v>0</v>
      </c>
    </row>
    <row r="1122" customFormat="false" ht="15" hidden="false" customHeight="false" outlineLevel="0" collapsed="false">
      <c r="A1122" s="0" t="s">
        <v>296</v>
      </c>
      <c r="B1122" s="0" t="s">
        <v>50</v>
      </c>
      <c r="C1122" s="0" t="s">
        <v>51</v>
      </c>
      <c r="D1122" s="0" t="n">
        <v>12</v>
      </c>
      <c r="E1122" s="2" t="n">
        <v>40651.3791666667</v>
      </c>
      <c r="F1122" s="0" t="n">
        <v>5.41</v>
      </c>
      <c r="G1122" s="0" t="n">
        <v>17362</v>
      </c>
      <c r="H1122" s="3" t="s">
        <v>14</v>
      </c>
      <c r="I1122" s="4" t="n">
        <f aca="false">D1122*F1122</f>
        <v>64.92</v>
      </c>
      <c r="J1122" s="3" t="n">
        <f aca="false">IF(AND(LEFT(A1122,1)&lt;&gt;"C",D1122&gt;0,F1122&gt;0),1,0)</f>
        <v>1</v>
      </c>
      <c r="K1122" s="3" t="n">
        <f aca="false">IF(AND(H1122="United Kingdom",G1122&lt;&gt;"",COUNTIFS($G$2:G1122,G1122,$H$2:H1122,"United Kingdom")=1),1,0)</f>
        <v>0</v>
      </c>
    </row>
    <row r="1123" customFormat="false" ht="15" hidden="false" customHeight="false" outlineLevel="0" collapsed="false">
      <c r="A1123" s="0" t="s">
        <v>296</v>
      </c>
      <c r="B1123" s="0" t="s">
        <v>41</v>
      </c>
      <c r="C1123" s="0" t="s">
        <v>42</v>
      </c>
      <c r="D1123" s="0" t="n">
        <v>4</v>
      </c>
      <c r="E1123" s="2" t="n">
        <v>40651.3791666667</v>
      </c>
      <c r="F1123" s="0" t="n">
        <v>3.28</v>
      </c>
      <c r="G1123" s="0" t="n">
        <v>17362</v>
      </c>
      <c r="H1123" s="3" t="s">
        <v>14</v>
      </c>
      <c r="I1123" s="4" t="n">
        <f aca="false">D1123*F1123</f>
        <v>13.12</v>
      </c>
      <c r="J1123" s="3" t="n">
        <f aca="false">IF(AND(LEFT(A1123,1)&lt;&gt;"C",D1123&gt;0,F1123&gt;0),1,0)</f>
        <v>1</v>
      </c>
      <c r="K1123" s="3" t="n">
        <f aca="false">IF(AND(H1123="United Kingdom",G1123&lt;&gt;"",COUNTIFS($G$2:G1123,G1123,$H$2:H1123,"United Kingdom")=1),1,0)</f>
        <v>0</v>
      </c>
    </row>
    <row r="1124" customFormat="false" ht="15" hidden="false" customHeight="false" outlineLevel="0" collapsed="false">
      <c r="A1124" s="0" t="s">
        <v>296</v>
      </c>
      <c r="B1124" s="0" t="s">
        <v>43</v>
      </c>
      <c r="C1124" s="0" t="s">
        <v>44</v>
      </c>
      <c r="D1124" s="0" t="n">
        <v>2</v>
      </c>
      <c r="E1124" s="2" t="n">
        <v>40651.3791666667</v>
      </c>
      <c r="F1124" s="0" t="n">
        <v>1.35</v>
      </c>
      <c r="G1124" s="0" t="n">
        <v>17362</v>
      </c>
      <c r="H1124" s="3" t="s">
        <v>14</v>
      </c>
      <c r="I1124" s="4" t="n">
        <f aca="false">D1124*F1124</f>
        <v>2.7</v>
      </c>
      <c r="J1124" s="3" t="n">
        <f aca="false">IF(AND(LEFT(A1124,1)&lt;&gt;"C",D1124&gt;0,F1124&gt;0),1,0)</f>
        <v>1</v>
      </c>
      <c r="K1124" s="3" t="n">
        <f aca="false">IF(AND(H1124="United Kingdom",G1124&lt;&gt;"",COUNTIFS($G$2:G1124,G1124,$H$2:H1124,"United Kingdom")=1),1,0)</f>
        <v>0</v>
      </c>
    </row>
    <row r="1125" customFormat="false" ht="15" hidden="false" customHeight="false" outlineLevel="0" collapsed="false">
      <c r="A1125" s="0" t="s">
        <v>297</v>
      </c>
      <c r="B1125" s="0" t="s">
        <v>37</v>
      </c>
      <c r="C1125" s="0" t="s">
        <v>38</v>
      </c>
      <c r="D1125" s="0" t="n">
        <v>8</v>
      </c>
      <c r="E1125" s="2" t="n">
        <v>40651.3986111111</v>
      </c>
      <c r="F1125" s="0" t="n">
        <v>1.82</v>
      </c>
      <c r="G1125" s="0" t="n">
        <v>17188</v>
      </c>
      <c r="H1125" s="3" t="s">
        <v>14</v>
      </c>
      <c r="I1125" s="4" t="n">
        <f aca="false">D1125*F1125</f>
        <v>14.56</v>
      </c>
      <c r="J1125" s="3" t="n">
        <f aca="false">IF(AND(LEFT(A1125,1)&lt;&gt;"C",D1125&gt;0,F1125&gt;0),1,0)</f>
        <v>1</v>
      </c>
      <c r="K1125" s="3" t="n">
        <f aca="false">IF(AND(H1125="United Kingdom",G1125&lt;&gt;"",COUNTIFS($G$2:G1125,G1125,$H$2:H1125,"United Kingdom")=1),1,0)</f>
        <v>0</v>
      </c>
    </row>
    <row r="1126" customFormat="false" ht="15" hidden="false" customHeight="false" outlineLevel="0" collapsed="false">
      <c r="A1126" s="0" t="s">
        <v>297</v>
      </c>
      <c r="B1126" s="0" t="s">
        <v>39</v>
      </c>
      <c r="C1126" s="0" t="s">
        <v>40</v>
      </c>
      <c r="D1126" s="0" t="n">
        <v>6</v>
      </c>
      <c r="E1126" s="2" t="n">
        <v>40651.3986111111</v>
      </c>
      <c r="F1126" s="0" t="n">
        <v>2.58</v>
      </c>
      <c r="G1126" s="0" t="n">
        <v>17188</v>
      </c>
      <c r="H1126" s="3" t="s">
        <v>14</v>
      </c>
      <c r="I1126" s="4" t="n">
        <f aca="false">D1126*F1126</f>
        <v>15.48</v>
      </c>
      <c r="J1126" s="3" t="n">
        <f aca="false">IF(AND(LEFT(A1126,1)&lt;&gt;"C",D1126&gt;0,F1126&gt;0),1,0)</f>
        <v>1</v>
      </c>
      <c r="K1126" s="3" t="n">
        <f aca="false">IF(AND(H1126="United Kingdom",G1126&lt;&gt;"",COUNTIFS($G$2:G1126,G1126,$H$2:H1126,"United Kingdom")=1),1,0)</f>
        <v>0</v>
      </c>
    </row>
    <row r="1127" customFormat="false" ht="15" hidden="false" customHeight="false" outlineLevel="0" collapsed="false">
      <c r="A1127" s="0" t="s">
        <v>297</v>
      </c>
      <c r="B1127" s="0" t="s">
        <v>63</v>
      </c>
      <c r="C1127" s="0" t="s">
        <v>64</v>
      </c>
      <c r="D1127" s="0" t="n">
        <v>2</v>
      </c>
      <c r="E1127" s="2" t="n">
        <v>40651.3986111111</v>
      </c>
      <c r="F1127" s="0" t="n">
        <v>2.43</v>
      </c>
      <c r="G1127" s="0" t="n">
        <v>17188</v>
      </c>
      <c r="H1127" s="3" t="s">
        <v>14</v>
      </c>
      <c r="I1127" s="4" t="n">
        <f aca="false">D1127*F1127</f>
        <v>4.86</v>
      </c>
      <c r="J1127" s="3" t="n">
        <f aca="false">IF(AND(LEFT(A1127,1)&lt;&gt;"C",D1127&gt;0,F1127&gt;0),1,0)</f>
        <v>1</v>
      </c>
      <c r="K1127" s="3" t="n">
        <f aca="false">IF(AND(H1127="United Kingdom",G1127&lt;&gt;"",COUNTIFS($G$2:G1127,G1127,$H$2:H1127,"United Kingdom")=1),1,0)</f>
        <v>0</v>
      </c>
    </row>
    <row r="1128" customFormat="false" ht="15" hidden="false" customHeight="false" outlineLevel="0" collapsed="false">
      <c r="A1128" s="0" t="s">
        <v>297</v>
      </c>
      <c r="B1128" s="0" t="s">
        <v>32</v>
      </c>
      <c r="C1128" s="0" t="s">
        <v>33</v>
      </c>
      <c r="D1128" s="0" t="n">
        <v>1</v>
      </c>
      <c r="E1128" s="2" t="n">
        <v>40651.3986111111</v>
      </c>
      <c r="F1128" s="0" t="n">
        <v>1.19</v>
      </c>
      <c r="G1128" s="0" t="n">
        <v>17188</v>
      </c>
      <c r="H1128" s="3" t="s">
        <v>14</v>
      </c>
      <c r="I1128" s="4" t="n">
        <f aca="false">D1128*F1128</f>
        <v>1.19</v>
      </c>
      <c r="J1128" s="3" t="n">
        <f aca="false">IF(AND(LEFT(A1128,1)&lt;&gt;"C",D1128&gt;0,F1128&gt;0),1,0)</f>
        <v>1</v>
      </c>
      <c r="K1128" s="3" t="n">
        <f aca="false">IF(AND(H1128="United Kingdom",G1128&lt;&gt;"",COUNTIFS($G$2:G1128,G1128,$H$2:H1128,"United Kingdom")=1),1,0)</f>
        <v>0</v>
      </c>
    </row>
    <row r="1129" customFormat="false" ht="15" hidden="false" customHeight="false" outlineLevel="0" collapsed="false">
      <c r="A1129" s="0" t="s">
        <v>297</v>
      </c>
      <c r="B1129" s="0" t="s">
        <v>54</v>
      </c>
      <c r="C1129" s="0" t="s">
        <v>55</v>
      </c>
      <c r="D1129" s="0" t="n">
        <v>1</v>
      </c>
      <c r="E1129" s="2" t="n">
        <v>40651.3986111111</v>
      </c>
      <c r="F1129" s="0" t="n">
        <v>0.99</v>
      </c>
      <c r="G1129" s="0" t="n">
        <v>17188</v>
      </c>
      <c r="H1129" s="3" t="s">
        <v>14</v>
      </c>
      <c r="I1129" s="4" t="n">
        <f aca="false">D1129*F1129</f>
        <v>0.99</v>
      </c>
      <c r="J1129" s="3" t="n">
        <f aca="false">IF(AND(LEFT(A1129,1)&lt;&gt;"C",D1129&gt;0,F1129&gt;0),1,0)</f>
        <v>1</v>
      </c>
      <c r="K1129" s="3" t="n">
        <f aca="false">IF(AND(H1129="United Kingdom",G1129&lt;&gt;"",COUNTIFS($G$2:G1129,G1129,$H$2:H1129,"United Kingdom")=1),1,0)</f>
        <v>0</v>
      </c>
    </row>
    <row r="1130" customFormat="false" ht="15" hidden="false" customHeight="false" outlineLevel="0" collapsed="false">
      <c r="A1130" s="0" t="s">
        <v>297</v>
      </c>
      <c r="B1130" s="0" t="s">
        <v>48</v>
      </c>
      <c r="C1130" s="0" t="s">
        <v>49</v>
      </c>
      <c r="D1130" s="0" t="n">
        <v>4</v>
      </c>
      <c r="E1130" s="2" t="n">
        <v>40651.3986111111</v>
      </c>
      <c r="F1130" s="0" t="n">
        <v>1.35</v>
      </c>
      <c r="G1130" s="0" t="n">
        <v>17188</v>
      </c>
      <c r="H1130" s="3" t="s">
        <v>14</v>
      </c>
      <c r="I1130" s="4" t="n">
        <f aca="false">D1130*F1130</f>
        <v>5.4</v>
      </c>
      <c r="J1130" s="3" t="n">
        <f aca="false">IF(AND(LEFT(A1130,1)&lt;&gt;"C",D1130&gt;0,F1130&gt;0),1,0)</f>
        <v>1</v>
      </c>
      <c r="K1130" s="3" t="n">
        <f aca="false">IF(AND(H1130="United Kingdom",G1130&lt;&gt;"",COUNTIFS($G$2:G1130,G1130,$H$2:H1130,"United Kingdom")=1),1,0)</f>
        <v>0</v>
      </c>
    </row>
    <row r="1131" customFormat="false" ht="15" hidden="false" customHeight="false" outlineLevel="0" collapsed="false">
      <c r="A1131" s="0" t="s">
        <v>297</v>
      </c>
      <c r="B1131" s="0" t="s">
        <v>68</v>
      </c>
      <c r="C1131" s="0" t="s">
        <v>69</v>
      </c>
      <c r="D1131" s="0" t="n">
        <v>6</v>
      </c>
      <c r="E1131" s="2" t="n">
        <v>40651.3986111111</v>
      </c>
      <c r="F1131" s="0" t="n">
        <v>1.26</v>
      </c>
      <c r="G1131" s="0" t="n">
        <v>17188</v>
      </c>
      <c r="H1131" s="3" t="s">
        <v>14</v>
      </c>
      <c r="I1131" s="4" t="n">
        <f aca="false">D1131*F1131</f>
        <v>7.56</v>
      </c>
      <c r="J1131" s="3" t="n">
        <f aca="false">IF(AND(LEFT(A1131,1)&lt;&gt;"C",D1131&gt;0,F1131&gt;0),1,0)</f>
        <v>1</v>
      </c>
      <c r="K1131" s="3" t="n">
        <f aca="false">IF(AND(H1131="United Kingdom",G1131&lt;&gt;"",COUNTIFS($G$2:G1131,G1131,$H$2:H1131,"United Kingdom")=1),1,0)</f>
        <v>0</v>
      </c>
    </row>
    <row r="1132" customFormat="false" ht="15" hidden="false" customHeight="false" outlineLevel="0" collapsed="false">
      <c r="A1132" s="0" t="s">
        <v>298</v>
      </c>
      <c r="B1132" s="0" t="s">
        <v>90</v>
      </c>
      <c r="C1132" s="0" t="s">
        <v>91</v>
      </c>
      <c r="D1132" s="0" t="n">
        <v>2</v>
      </c>
      <c r="E1132" s="2" t="n">
        <v>40651.4951388889</v>
      </c>
      <c r="F1132" s="0" t="n">
        <v>3.04</v>
      </c>
      <c r="G1132" s="0" t="n">
        <v>16324</v>
      </c>
      <c r="H1132" s="3" t="s">
        <v>14</v>
      </c>
      <c r="I1132" s="4" t="n">
        <f aca="false">D1132*F1132</f>
        <v>6.08</v>
      </c>
      <c r="J1132" s="3" t="n">
        <f aca="false">IF(AND(LEFT(A1132,1)&lt;&gt;"C",D1132&gt;0,F1132&gt;0),1,0)</f>
        <v>1</v>
      </c>
      <c r="K1132" s="3" t="n">
        <f aca="false">IF(AND(H1132="United Kingdom",G1132&lt;&gt;"",COUNTIFS($G$2:G1132,G1132,$H$2:H1132,"United Kingdom")=1),1,0)</f>
        <v>0</v>
      </c>
    </row>
    <row r="1133" customFormat="false" ht="15" hidden="false" customHeight="false" outlineLevel="0" collapsed="false">
      <c r="A1133" s="0" t="s">
        <v>299</v>
      </c>
      <c r="B1133" s="0" t="s">
        <v>75</v>
      </c>
      <c r="C1133" s="0" t="s">
        <v>76</v>
      </c>
      <c r="D1133" s="0" t="n">
        <v>3</v>
      </c>
      <c r="E1133" s="2" t="n">
        <v>40651.6604166667</v>
      </c>
      <c r="F1133" s="0" t="n">
        <v>1.97</v>
      </c>
      <c r="G1133" s="0" t="n">
        <v>16940</v>
      </c>
      <c r="H1133" s="3" t="s">
        <v>14</v>
      </c>
      <c r="I1133" s="4" t="n">
        <f aca="false">D1133*F1133</f>
        <v>5.91</v>
      </c>
      <c r="J1133" s="3" t="n">
        <f aca="false">IF(AND(LEFT(A1133,1)&lt;&gt;"C",D1133&gt;0,F1133&gt;0),1,0)</f>
        <v>1</v>
      </c>
      <c r="K1133" s="3" t="n">
        <f aca="false">IF(AND(H1133="United Kingdom",G1133&lt;&gt;"",COUNTIFS($G$2:G1133,G1133,$H$2:H1133,"United Kingdom")=1),1,0)</f>
        <v>1</v>
      </c>
    </row>
    <row r="1134" customFormat="false" ht="15" hidden="false" customHeight="false" outlineLevel="0" collapsed="false">
      <c r="A1134" s="0" t="s">
        <v>299</v>
      </c>
      <c r="B1134" s="0" t="s">
        <v>27</v>
      </c>
      <c r="C1134" s="0" t="s">
        <v>28</v>
      </c>
      <c r="D1134" s="0" t="n">
        <v>8</v>
      </c>
      <c r="E1134" s="2" t="n">
        <v>40651.6604166667</v>
      </c>
      <c r="F1134" s="0" t="n">
        <v>4.55</v>
      </c>
      <c r="G1134" s="0" t="n">
        <v>16940</v>
      </c>
      <c r="H1134" s="3" t="s">
        <v>14</v>
      </c>
      <c r="I1134" s="4" t="n">
        <f aca="false">D1134*F1134</f>
        <v>36.4</v>
      </c>
      <c r="J1134" s="3" t="n">
        <f aca="false">IF(AND(LEFT(A1134,1)&lt;&gt;"C",D1134&gt;0,F1134&gt;0),1,0)</f>
        <v>1</v>
      </c>
      <c r="K1134" s="3" t="n">
        <f aca="false">IF(AND(H1134="United Kingdom",G1134&lt;&gt;"",COUNTIFS($G$2:G1134,G1134,$H$2:H1134,"United Kingdom")=1),1,0)</f>
        <v>0</v>
      </c>
    </row>
    <row r="1135" customFormat="false" ht="15" hidden="false" customHeight="false" outlineLevel="0" collapsed="false">
      <c r="A1135" s="0" t="s">
        <v>299</v>
      </c>
      <c r="B1135" s="0" t="s">
        <v>72</v>
      </c>
      <c r="C1135" s="0" t="s">
        <v>73</v>
      </c>
      <c r="D1135" s="0" t="n">
        <v>4</v>
      </c>
      <c r="E1135" s="2" t="n">
        <v>40651.6604166667</v>
      </c>
      <c r="F1135" s="0" t="n">
        <v>2.69</v>
      </c>
      <c r="G1135" s="0" t="n">
        <v>16940</v>
      </c>
      <c r="H1135" s="3" t="s">
        <v>14</v>
      </c>
      <c r="I1135" s="4" t="n">
        <f aca="false">D1135*F1135</f>
        <v>10.76</v>
      </c>
      <c r="J1135" s="3" t="n">
        <f aca="false">IF(AND(LEFT(A1135,1)&lt;&gt;"C",D1135&gt;0,F1135&gt;0),1,0)</f>
        <v>1</v>
      </c>
      <c r="K1135" s="3" t="n">
        <f aca="false">IF(AND(H1135="United Kingdom",G1135&lt;&gt;"",COUNTIFS($G$2:G1135,G1135,$H$2:H1135,"United Kingdom")=1),1,0)</f>
        <v>0</v>
      </c>
    </row>
    <row r="1136" customFormat="false" ht="15" hidden="false" customHeight="false" outlineLevel="0" collapsed="false">
      <c r="A1136" s="0" t="s">
        <v>299</v>
      </c>
      <c r="B1136" s="0" t="s">
        <v>68</v>
      </c>
      <c r="C1136" s="0" t="s">
        <v>69</v>
      </c>
      <c r="D1136" s="0" t="n">
        <v>2</v>
      </c>
      <c r="E1136" s="2" t="n">
        <v>40651.6604166667</v>
      </c>
      <c r="F1136" s="0" t="n">
        <v>1.26</v>
      </c>
      <c r="G1136" s="0" t="n">
        <v>16940</v>
      </c>
      <c r="H1136" s="3" t="s">
        <v>14</v>
      </c>
      <c r="I1136" s="4" t="n">
        <f aca="false">D1136*F1136</f>
        <v>2.52</v>
      </c>
      <c r="J1136" s="3" t="n">
        <f aca="false">IF(AND(LEFT(A1136,1)&lt;&gt;"C",D1136&gt;0,F1136&gt;0),1,0)</f>
        <v>1</v>
      </c>
      <c r="K1136" s="3" t="n">
        <f aca="false">IF(AND(H1136="United Kingdom",G1136&lt;&gt;"",COUNTIFS($G$2:G1136,G1136,$H$2:H1136,"United Kingdom")=1),1,0)</f>
        <v>0</v>
      </c>
    </row>
    <row r="1137" customFormat="false" ht="15" hidden="false" customHeight="false" outlineLevel="0" collapsed="false">
      <c r="A1137" s="0" t="s">
        <v>299</v>
      </c>
      <c r="B1137" s="0" t="s">
        <v>25</v>
      </c>
      <c r="C1137" s="0" t="s">
        <v>26</v>
      </c>
      <c r="D1137" s="0" t="n">
        <v>24</v>
      </c>
      <c r="E1137" s="2" t="n">
        <v>40651.6604166667</v>
      </c>
      <c r="F1137" s="0" t="n">
        <v>2.21</v>
      </c>
      <c r="G1137" s="0" t="n">
        <v>16940</v>
      </c>
      <c r="H1137" s="3" t="s">
        <v>14</v>
      </c>
      <c r="I1137" s="4" t="n">
        <f aca="false">D1137*F1137</f>
        <v>53.04</v>
      </c>
      <c r="J1137" s="3" t="n">
        <f aca="false">IF(AND(LEFT(A1137,1)&lt;&gt;"C",D1137&gt;0,F1137&gt;0),1,0)</f>
        <v>1</v>
      </c>
      <c r="K1137" s="3" t="n">
        <f aca="false">IF(AND(H1137="United Kingdom",G1137&lt;&gt;"",COUNTIFS($G$2:G1137,G1137,$H$2:H1137,"United Kingdom")=1),1,0)</f>
        <v>0</v>
      </c>
    </row>
    <row r="1138" customFormat="false" ht="15" hidden="false" customHeight="false" outlineLevel="0" collapsed="false">
      <c r="A1138" s="0" t="s">
        <v>300</v>
      </c>
      <c r="B1138" s="0" t="s">
        <v>12</v>
      </c>
      <c r="C1138" s="0" t="s">
        <v>13</v>
      </c>
      <c r="D1138" s="0" t="n">
        <v>4</v>
      </c>
      <c r="E1138" s="2" t="n">
        <v>40651.6666666667</v>
      </c>
      <c r="F1138" s="0" t="n">
        <v>3.33</v>
      </c>
      <c r="G1138" s="0" t="n">
        <v>12788</v>
      </c>
      <c r="H1138" s="3" t="s">
        <v>14</v>
      </c>
      <c r="I1138" s="4" t="n">
        <f aca="false">D1138*F1138</f>
        <v>13.32</v>
      </c>
      <c r="J1138" s="3" t="n">
        <f aca="false">IF(AND(LEFT(A1138,1)&lt;&gt;"C",D1138&gt;0,F1138&gt;0),1,0)</f>
        <v>1</v>
      </c>
      <c r="K1138" s="3" t="n">
        <f aca="false">IF(AND(H1138="United Kingdom",G1138&lt;&gt;"",COUNTIFS($G$2:G1138,G1138,$H$2:H1138,"United Kingdom")=1),1,0)</f>
        <v>1</v>
      </c>
    </row>
    <row r="1139" customFormat="false" ht="15" hidden="false" customHeight="false" outlineLevel="0" collapsed="false">
      <c r="A1139" s="0" t="s">
        <v>300</v>
      </c>
      <c r="B1139" s="0" t="s">
        <v>25</v>
      </c>
      <c r="C1139" s="0" t="s">
        <v>26</v>
      </c>
      <c r="D1139" s="0" t="n">
        <v>4</v>
      </c>
      <c r="E1139" s="2" t="n">
        <v>40651.6666666667</v>
      </c>
      <c r="F1139" s="0" t="n">
        <v>2.21</v>
      </c>
      <c r="G1139" s="0" t="n">
        <v>12788</v>
      </c>
      <c r="H1139" s="3" t="s">
        <v>14</v>
      </c>
      <c r="I1139" s="4" t="n">
        <f aca="false">D1139*F1139</f>
        <v>8.84</v>
      </c>
      <c r="J1139" s="3" t="n">
        <f aca="false">IF(AND(LEFT(A1139,1)&lt;&gt;"C",D1139&gt;0,F1139&gt;0),1,0)</f>
        <v>1</v>
      </c>
      <c r="K1139" s="3" t="n">
        <f aca="false">IF(AND(H1139="United Kingdom",G1139&lt;&gt;"",COUNTIFS($G$2:G1139,G1139,$H$2:H1139,"United Kingdom")=1),1,0)</f>
        <v>0</v>
      </c>
    </row>
    <row r="1140" customFormat="false" ht="15" hidden="false" customHeight="false" outlineLevel="0" collapsed="false">
      <c r="A1140" s="0" t="s">
        <v>300</v>
      </c>
      <c r="B1140" s="0" t="s">
        <v>22</v>
      </c>
      <c r="C1140" s="0" t="s">
        <v>23</v>
      </c>
      <c r="D1140" s="0" t="n">
        <v>12</v>
      </c>
      <c r="E1140" s="2" t="n">
        <v>40651.6666666667</v>
      </c>
      <c r="F1140" s="0" t="n">
        <v>3.18</v>
      </c>
      <c r="G1140" s="0" t="n">
        <v>12788</v>
      </c>
      <c r="H1140" s="3" t="s">
        <v>14</v>
      </c>
      <c r="I1140" s="4" t="n">
        <f aca="false">D1140*F1140</f>
        <v>38.16</v>
      </c>
      <c r="J1140" s="3" t="n">
        <f aca="false">IF(AND(LEFT(A1140,1)&lt;&gt;"C",D1140&gt;0,F1140&gt;0),1,0)</f>
        <v>1</v>
      </c>
      <c r="K1140" s="3" t="n">
        <f aca="false">IF(AND(H1140="United Kingdom",G1140&lt;&gt;"",COUNTIFS($G$2:G1140,G1140,$H$2:H1140,"United Kingdom")=1),1,0)</f>
        <v>0</v>
      </c>
    </row>
    <row r="1141" customFormat="false" ht="15" hidden="false" customHeight="false" outlineLevel="0" collapsed="false">
      <c r="A1141" s="0" t="s">
        <v>300</v>
      </c>
      <c r="B1141" s="0" t="s">
        <v>39</v>
      </c>
      <c r="C1141" s="0" t="s">
        <v>40</v>
      </c>
      <c r="D1141" s="0" t="n">
        <v>4</v>
      </c>
      <c r="E1141" s="2" t="n">
        <v>40651.6666666667</v>
      </c>
      <c r="F1141" s="0" t="n">
        <v>2.58</v>
      </c>
      <c r="G1141" s="0" t="n">
        <v>12788</v>
      </c>
      <c r="H1141" s="3" t="s">
        <v>14</v>
      </c>
      <c r="I1141" s="4" t="n">
        <f aca="false">D1141*F1141</f>
        <v>10.32</v>
      </c>
      <c r="J1141" s="3" t="n">
        <f aca="false">IF(AND(LEFT(A1141,1)&lt;&gt;"C",D1141&gt;0,F1141&gt;0),1,0)</f>
        <v>1</v>
      </c>
      <c r="K1141" s="3" t="n">
        <f aca="false">IF(AND(H1141="United Kingdom",G1141&lt;&gt;"",COUNTIFS($G$2:G1141,G1141,$H$2:H1141,"United Kingdom")=1),1,0)</f>
        <v>0</v>
      </c>
    </row>
    <row r="1142" customFormat="false" ht="15" hidden="false" customHeight="false" outlineLevel="0" collapsed="false">
      <c r="A1142" s="0" t="s">
        <v>300</v>
      </c>
      <c r="B1142" s="0" t="s">
        <v>72</v>
      </c>
      <c r="C1142" s="0" t="s">
        <v>73</v>
      </c>
      <c r="D1142" s="0" t="n">
        <v>3</v>
      </c>
      <c r="E1142" s="2" t="n">
        <v>40651.6666666667</v>
      </c>
      <c r="F1142" s="0" t="n">
        <v>2.69</v>
      </c>
      <c r="G1142" s="0" t="n">
        <v>12788</v>
      </c>
      <c r="H1142" s="3" t="s">
        <v>14</v>
      </c>
      <c r="I1142" s="4" t="n">
        <f aca="false">D1142*F1142</f>
        <v>8.07</v>
      </c>
      <c r="J1142" s="3" t="n">
        <f aca="false">IF(AND(LEFT(A1142,1)&lt;&gt;"C",D1142&gt;0,F1142&gt;0),1,0)</f>
        <v>1</v>
      </c>
      <c r="K1142" s="3" t="n">
        <f aca="false">IF(AND(H1142="United Kingdom",G1142&lt;&gt;"",COUNTIFS($G$2:G1142,G1142,$H$2:H1142,"United Kingdom")=1),1,0)</f>
        <v>0</v>
      </c>
    </row>
    <row r="1143" customFormat="false" ht="15" hidden="false" customHeight="false" outlineLevel="0" collapsed="false">
      <c r="A1143" s="0" t="s">
        <v>300</v>
      </c>
      <c r="B1143" s="0" t="s">
        <v>113</v>
      </c>
      <c r="C1143" s="0" t="s">
        <v>114</v>
      </c>
      <c r="D1143" s="0" t="n">
        <v>16</v>
      </c>
      <c r="E1143" s="2" t="n">
        <v>40651.6666666667</v>
      </c>
      <c r="F1143" s="0" t="n">
        <v>3.57</v>
      </c>
      <c r="G1143" s="0" t="n">
        <v>12788</v>
      </c>
      <c r="H1143" s="3" t="s">
        <v>14</v>
      </c>
      <c r="I1143" s="4" t="n">
        <f aca="false">D1143*F1143</f>
        <v>57.12</v>
      </c>
      <c r="J1143" s="3" t="n">
        <f aca="false">IF(AND(LEFT(A1143,1)&lt;&gt;"C",D1143&gt;0,F1143&gt;0),1,0)</f>
        <v>1</v>
      </c>
      <c r="K1143" s="3" t="n">
        <f aca="false">IF(AND(H1143="United Kingdom",G1143&lt;&gt;"",COUNTIFS($G$2:G1143,G1143,$H$2:H1143,"United Kingdom")=1),1,0)</f>
        <v>0</v>
      </c>
    </row>
    <row r="1144" customFormat="false" ht="15" hidden="false" customHeight="false" outlineLevel="0" collapsed="false">
      <c r="A1144" s="0" t="s">
        <v>300</v>
      </c>
      <c r="B1144" s="0" t="s">
        <v>17</v>
      </c>
      <c r="C1144" s="0" t="s">
        <v>18</v>
      </c>
      <c r="D1144" s="0" t="n">
        <v>3</v>
      </c>
      <c r="E1144" s="2" t="n">
        <v>40651.6666666667</v>
      </c>
      <c r="F1144" s="0" t="n">
        <v>1.92</v>
      </c>
      <c r="G1144" s="0" t="n">
        <v>12788</v>
      </c>
      <c r="H1144" s="3" t="s">
        <v>14</v>
      </c>
      <c r="I1144" s="4" t="n">
        <f aca="false">D1144*F1144</f>
        <v>5.76</v>
      </c>
      <c r="J1144" s="3" t="n">
        <f aca="false">IF(AND(LEFT(A1144,1)&lt;&gt;"C",D1144&gt;0,F1144&gt;0),1,0)</f>
        <v>1</v>
      </c>
      <c r="K1144" s="3" t="n">
        <f aca="false">IF(AND(H1144="United Kingdom",G1144&lt;&gt;"",COUNTIFS($G$2:G1144,G1144,$H$2:H1144,"United Kingdom")=1),1,0)</f>
        <v>0</v>
      </c>
    </row>
    <row r="1145" customFormat="false" ht="15" hidden="false" customHeight="false" outlineLevel="0" collapsed="false">
      <c r="A1145" s="0" t="s">
        <v>300</v>
      </c>
      <c r="B1145" s="0" t="s">
        <v>80</v>
      </c>
      <c r="C1145" s="0" t="s">
        <v>81</v>
      </c>
      <c r="D1145" s="0" t="n">
        <v>1</v>
      </c>
      <c r="E1145" s="2" t="n">
        <v>40651.6666666667</v>
      </c>
      <c r="F1145" s="0" t="n">
        <v>1.53</v>
      </c>
      <c r="G1145" s="0" t="n">
        <v>12788</v>
      </c>
      <c r="H1145" s="3" t="s">
        <v>14</v>
      </c>
      <c r="I1145" s="4" t="n">
        <f aca="false">D1145*F1145</f>
        <v>1.53</v>
      </c>
      <c r="J1145" s="3" t="n">
        <f aca="false">IF(AND(LEFT(A1145,1)&lt;&gt;"C",D1145&gt;0,F1145&gt;0),1,0)</f>
        <v>1</v>
      </c>
      <c r="K1145" s="3" t="n">
        <f aca="false">IF(AND(H1145="United Kingdom",G1145&lt;&gt;"",COUNTIFS($G$2:G1145,G1145,$H$2:H1145,"United Kingdom")=1),1,0)</f>
        <v>0</v>
      </c>
    </row>
    <row r="1146" customFormat="false" ht="15" hidden="false" customHeight="false" outlineLevel="0" collapsed="false">
      <c r="A1146" s="0" t="s">
        <v>300</v>
      </c>
      <c r="B1146" s="0" t="s">
        <v>45</v>
      </c>
      <c r="C1146" s="0" t="s">
        <v>46</v>
      </c>
      <c r="D1146" s="0" t="n">
        <v>6</v>
      </c>
      <c r="E1146" s="2" t="n">
        <v>40651.6666666667</v>
      </c>
      <c r="F1146" s="0" t="n">
        <v>4.55</v>
      </c>
      <c r="G1146" s="0" t="n">
        <v>12788</v>
      </c>
      <c r="H1146" s="3" t="s">
        <v>14</v>
      </c>
      <c r="I1146" s="4" t="n">
        <f aca="false">D1146*F1146</f>
        <v>27.3</v>
      </c>
      <c r="J1146" s="3" t="n">
        <f aca="false">IF(AND(LEFT(A1146,1)&lt;&gt;"C",D1146&gt;0,F1146&gt;0),1,0)</f>
        <v>1</v>
      </c>
      <c r="K1146" s="3" t="n">
        <f aca="false">IF(AND(H1146="United Kingdom",G1146&lt;&gt;"",COUNTIFS($G$2:G1146,G1146,$H$2:H1146,"United Kingdom")=1),1,0)</f>
        <v>0</v>
      </c>
    </row>
    <row r="1147" customFormat="false" ht="15" hidden="false" customHeight="false" outlineLevel="0" collapsed="false">
      <c r="A1147" s="0" t="s">
        <v>300</v>
      </c>
      <c r="B1147" s="0" t="s">
        <v>75</v>
      </c>
      <c r="C1147" s="0" t="s">
        <v>76</v>
      </c>
      <c r="D1147" s="0" t="n">
        <v>2</v>
      </c>
      <c r="E1147" s="2" t="n">
        <v>40651.6666666667</v>
      </c>
      <c r="F1147" s="0" t="n">
        <v>1.97</v>
      </c>
      <c r="G1147" s="0" t="n">
        <v>12788</v>
      </c>
      <c r="H1147" s="3" t="s">
        <v>14</v>
      </c>
      <c r="I1147" s="4" t="n">
        <f aca="false">D1147*F1147</f>
        <v>3.94</v>
      </c>
      <c r="J1147" s="3" t="n">
        <f aca="false">IF(AND(LEFT(A1147,1)&lt;&gt;"C",D1147&gt;0,F1147&gt;0),1,0)</f>
        <v>1</v>
      </c>
      <c r="K1147" s="3" t="n">
        <f aca="false">IF(AND(H1147="United Kingdom",G1147&lt;&gt;"",COUNTIFS($G$2:G1147,G1147,$H$2:H1147,"United Kingdom")=1),1,0)</f>
        <v>0</v>
      </c>
    </row>
    <row r="1148" customFormat="false" ht="15" hidden="false" customHeight="false" outlineLevel="0" collapsed="false">
      <c r="A1148" s="0" t="s">
        <v>300</v>
      </c>
      <c r="B1148" s="0" t="s">
        <v>68</v>
      </c>
      <c r="C1148" s="0" t="s">
        <v>69</v>
      </c>
      <c r="D1148" s="0" t="n">
        <v>2</v>
      </c>
      <c r="E1148" s="2" t="n">
        <v>40651.6666666667</v>
      </c>
      <c r="F1148" s="0" t="n">
        <v>1.26</v>
      </c>
      <c r="G1148" s="0" t="n">
        <v>12788</v>
      </c>
      <c r="H1148" s="3" t="s">
        <v>14</v>
      </c>
      <c r="I1148" s="4" t="n">
        <f aca="false">D1148*F1148</f>
        <v>2.52</v>
      </c>
      <c r="J1148" s="3" t="n">
        <f aca="false">IF(AND(LEFT(A1148,1)&lt;&gt;"C",D1148&gt;0,F1148&gt;0),1,0)</f>
        <v>1</v>
      </c>
      <c r="K1148" s="3" t="n">
        <f aca="false">IF(AND(H1148="United Kingdom",G1148&lt;&gt;"",COUNTIFS($G$2:G1148,G1148,$H$2:H1148,"United Kingdom")=1),1,0)</f>
        <v>0</v>
      </c>
    </row>
    <row r="1149" customFormat="false" ht="15" hidden="false" customHeight="false" outlineLevel="0" collapsed="false">
      <c r="A1149" s="0" t="s">
        <v>301</v>
      </c>
      <c r="B1149" s="0" t="s">
        <v>65</v>
      </c>
      <c r="C1149" s="0" t="s">
        <v>66</v>
      </c>
      <c r="D1149" s="0" t="n">
        <v>8</v>
      </c>
      <c r="E1149" s="2" t="n">
        <v>40652.6993055556</v>
      </c>
      <c r="F1149" s="0" t="n">
        <v>4.75</v>
      </c>
      <c r="G1149" s="0" t="n">
        <v>16499</v>
      </c>
      <c r="H1149" s="3" t="s">
        <v>14</v>
      </c>
      <c r="I1149" s="4" t="n">
        <f aca="false">D1149*F1149</f>
        <v>38</v>
      </c>
      <c r="J1149" s="3" t="n">
        <f aca="false">IF(AND(LEFT(A1149,1)&lt;&gt;"C",D1149&gt;0,F1149&gt;0),1,0)</f>
        <v>1</v>
      </c>
      <c r="K1149" s="3" t="n">
        <f aca="false">IF(AND(H1149="United Kingdom",G1149&lt;&gt;"",COUNTIFS($G$2:G1149,G1149,$H$2:H1149,"United Kingdom")=1),1,0)</f>
        <v>0</v>
      </c>
    </row>
    <row r="1150" customFormat="false" ht="15" hidden="false" customHeight="false" outlineLevel="0" collapsed="false">
      <c r="A1150" s="0" t="s">
        <v>301</v>
      </c>
      <c r="B1150" s="0" t="s">
        <v>34</v>
      </c>
      <c r="C1150" s="0" t="s">
        <v>35</v>
      </c>
      <c r="D1150" s="0" t="n">
        <v>8</v>
      </c>
      <c r="E1150" s="2" t="n">
        <v>40652.6993055556</v>
      </c>
      <c r="F1150" s="0" t="n">
        <v>2.38</v>
      </c>
      <c r="G1150" s="0" t="n">
        <v>16499</v>
      </c>
      <c r="H1150" s="3" t="s">
        <v>14</v>
      </c>
      <c r="I1150" s="4" t="n">
        <f aca="false">D1150*F1150</f>
        <v>19.04</v>
      </c>
      <c r="J1150" s="3" t="n">
        <f aca="false">IF(AND(LEFT(A1150,1)&lt;&gt;"C",D1150&gt;0,F1150&gt;0),1,0)</f>
        <v>1</v>
      </c>
      <c r="K1150" s="3" t="n">
        <f aca="false">IF(AND(H1150="United Kingdom",G1150&lt;&gt;"",COUNTIFS($G$2:G1150,G1150,$H$2:H1150,"United Kingdom")=1),1,0)</f>
        <v>0</v>
      </c>
    </row>
    <row r="1151" customFormat="false" ht="15" hidden="false" customHeight="false" outlineLevel="0" collapsed="false">
      <c r="A1151" s="0" t="s">
        <v>301</v>
      </c>
      <c r="B1151" s="0" t="s">
        <v>32</v>
      </c>
      <c r="C1151" s="0" t="s">
        <v>33</v>
      </c>
      <c r="D1151" s="0" t="n">
        <v>8</v>
      </c>
      <c r="E1151" s="2" t="n">
        <v>40652.6993055556</v>
      </c>
      <c r="F1151" s="0" t="n">
        <v>1.19</v>
      </c>
      <c r="G1151" s="0" t="n">
        <v>16499</v>
      </c>
      <c r="H1151" s="3" t="s">
        <v>14</v>
      </c>
      <c r="I1151" s="4" t="n">
        <f aca="false">D1151*F1151</f>
        <v>9.52</v>
      </c>
      <c r="J1151" s="3" t="n">
        <f aca="false">IF(AND(LEFT(A1151,1)&lt;&gt;"C",D1151&gt;0,F1151&gt;0),1,0)</f>
        <v>1</v>
      </c>
      <c r="K1151" s="3" t="n">
        <f aca="false">IF(AND(H1151="United Kingdom",G1151&lt;&gt;"",COUNTIFS($G$2:G1151,G1151,$H$2:H1151,"United Kingdom")=1),1,0)</f>
        <v>0</v>
      </c>
    </row>
    <row r="1152" customFormat="false" ht="15" hidden="false" customHeight="false" outlineLevel="0" collapsed="false">
      <c r="A1152" s="0" t="s">
        <v>301</v>
      </c>
      <c r="B1152" s="0" t="s">
        <v>22</v>
      </c>
      <c r="C1152" s="0" t="s">
        <v>23</v>
      </c>
      <c r="D1152" s="0" t="n">
        <v>3</v>
      </c>
      <c r="E1152" s="2" t="n">
        <v>40652.6993055556</v>
      </c>
      <c r="F1152" s="0" t="n">
        <v>3.18</v>
      </c>
      <c r="G1152" s="0" t="n">
        <v>16499</v>
      </c>
      <c r="H1152" s="3" t="s">
        <v>14</v>
      </c>
      <c r="I1152" s="4" t="n">
        <f aca="false">D1152*F1152</f>
        <v>9.54</v>
      </c>
      <c r="J1152" s="3" t="n">
        <f aca="false">IF(AND(LEFT(A1152,1)&lt;&gt;"C",D1152&gt;0,F1152&gt;0),1,0)</f>
        <v>1</v>
      </c>
      <c r="K1152" s="3" t="n">
        <f aca="false">IF(AND(H1152="United Kingdom",G1152&lt;&gt;"",COUNTIFS($G$2:G1152,G1152,$H$2:H1152,"United Kingdom")=1),1,0)</f>
        <v>0</v>
      </c>
    </row>
    <row r="1153" customFormat="false" ht="15" hidden="false" customHeight="false" outlineLevel="0" collapsed="false">
      <c r="A1153" s="0" t="s">
        <v>301</v>
      </c>
      <c r="B1153" s="0" t="s">
        <v>72</v>
      </c>
      <c r="C1153" s="0" t="s">
        <v>73</v>
      </c>
      <c r="D1153" s="0" t="n">
        <v>12</v>
      </c>
      <c r="E1153" s="2" t="n">
        <v>40652.6993055556</v>
      </c>
      <c r="F1153" s="0" t="n">
        <v>2.69</v>
      </c>
      <c r="G1153" s="0" t="n">
        <v>16499</v>
      </c>
      <c r="H1153" s="3" t="s">
        <v>14</v>
      </c>
      <c r="I1153" s="4" t="n">
        <f aca="false">D1153*F1153</f>
        <v>32.28</v>
      </c>
      <c r="J1153" s="3" t="n">
        <f aca="false">IF(AND(LEFT(A1153,1)&lt;&gt;"C",D1153&gt;0,F1153&gt;0),1,0)</f>
        <v>1</v>
      </c>
      <c r="K1153" s="3" t="n">
        <f aca="false">IF(AND(H1153="United Kingdom",G1153&lt;&gt;"",COUNTIFS($G$2:G1153,G1153,$H$2:H1153,"United Kingdom")=1),1,0)</f>
        <v>0</v>
      </c>
    </row>
    <row r="1154" customFormat="false" ht="15" hidden="false" customHeight="false" outlineLevel="0" collapsed="false">
      <c r="A1154" s="0" t="s">
        <v>302</v>
      </c>
      <c r="B1154" s="0" t="s">
        <v>20</v>
      </c>
      <c r="C1154" s="0" t="s">
        <v>21</v>
      </c>
      <c r="D1154" s="0" t="n">
        <v>24</v>
      </c>
      <c r="E1154" s="2" t="n">
        <v>40653.3430555556</v>
      </c>
      <c r="F1154" s="0" t="n">
        <v>4.24</v>
      </c>
      <c r="G1154" s="0" t="n">
        <v>17540</v>
      </c>
      <c r="H1154" s="3" t="s">
        <v>97</v>
      </c>
      <c r="I1154" s="4" t="n">
        <f aca="false">D1154*F1154</f>
        <v>101.76</v>
      </c>
      <c r="J1154" s="3" t="n">
        <f aca="false">IF(AND(LEFT(A1154,1)&lt;&gt;"C",D1154&gt;0,F1154&gt;0),1,0)</f>
        <v>1</v>
      </c>
      <c r="K1154" s="3" t="n">
        <f aca="false">IF(AND(H1154="United Kingdom",G1154&lt;&gt;"",COUNTIFS($G$2:G1154,G1154,$H$2:H1154,"United Kingdom")=1),1,0)</f>
        <v>0</v>
      </c>
    </row>
    <row r="1155" customFormat="false" ht="15" hidden="false" customHeight="false" outlineLevel="0" collapsed="false">
      <c r="A1155" s="0" t="s">
        <v>303</v>
      </c>
      <c r="B1155" s="0" t="s">
        <v>22</v>
      </c>
      <c r="C1155" s="0" t="s">
        <v>23</v>
      </c>
      <c r="D1155" s="0" t="n">
        <v>5</v>
      </c>
      <c r="E1155" s="2" t="n">
        <v>40653.4854166667</v>
      </c>
      <c r="F1155" s="0" t="n">
        <v>3.18</v>
      </c>
      <c r="G1155" s="0" t="n">
        <v>13075</v>
      </c>
      <c r="H1155" s="3" t="s">
        <v>120</v>
      </c>
      <c r="I1155" s="4" t="n">
        <f aca="false">D1155*F1155</f>
        <v>15.9</v>
      </c>
      <c r="J1155" s="3" t="n">
        <f aca="false">IF(AND(LEFT(A1155,1)&lt;&gt;"C",D1155&gt;0,F1155&gt;0),1,0)</f>
        <v>1</v>
      </c>
      <c r="K1155" s="3" t="n">
        <f aca="false">IF(AND(H1155="United Kingdom",G1155&lt;&gt;"",COUNTIFS($G$2:G1155,G1155,$H$2:H1155,"United Kingdom")=1),1,0)</f>
        <v>0</v>
      </c>
    </row>
    <row r="1156" customFormat="false" ht="15" hidden="false" customHeight="false" outlineLevel="0" collapsed="false">
      <c r="A1156" s="0" t="s">
        <v>303</v>
      </c>
      <c r="B1156" s="0" t="s">
        <v>48</v>
      </c>
      <c r="C1156" s="0" t="s">
        <v>49</v>
      </c>
      <c r="D1156" s="0" t="n">
        <v>10</v>
      </c>
      <c r="E1156" s="2" t="n">
        <v>40653.4854166667</v>
      </c>
      <c r="F1156" s="0" t="n">
        <v>1.35</v>
      </c>
      <c r="G1156" s="0" t="n">
        <v>13075</v>
      </c>
      <c r="H1156" s="3" t="s">
        <v>120</v>
      </c>
      <c r="I1156" s="4" t="n">
        <f aca="false">D1156*F1156</f>
        <v>13.5</v>
      </c>
      <c r="J1156" s="3" t="n">
        <f aca="false">IF(AND(LEFT(A1156,1)&lt;&gt;"C",D1156&gt;0,F1156&gt;0),1,0)</f>
        <v>1</v>
      </c>
      <c r="K1156" s="3" t="n">
        <f aca="false">IF(AND(H1156="United Kingdom",G1156&lt;&gt;"",COUNTIFS($G$2:G1156,G1156,$H$2:H1156,"United Kingdom")=1),1,0)</f>
        <v>0</v>
      </c>
    </row>
    <row r="1157" customFormat="false" ht="15" hidden="false" customHeight="false" outlineLevel="0" collapsed="false">
      <c r="A1157" s="0" t="s">
        <v>303</v>
      </c>
      <c r="B1157" s="0" t="s">
        <v>80</v>
      </c>
      <c r="C1157" s="0" t="s">
        <v>81</v>
      </c>
      <c r="D1157" s="0" t="n">
        <v>2</v>
      </c>
      <c r="E1157" s="2" t="n">
        <v>40653.4854166667</v>
      </c>
      <c r="F1157" s="0" t="n">
        <v>1.53</v>
      </c>
      <c r="G1157" s="0" t="n">
        <v>13075</v>
      </c>
      <c r="H1157" s="3" t="s">
        <v>120</v>
      </c>
      <c r="I1157" s="4" t="n">
        <f aca="false">D1157*F1157</f>
        <v>3.06</v>
      </c>
      <c r="J1157" s="3" t="n">
        <f aca="false">IF(AND(LEFT(A1157,1)&lt;&gt;"C",D1157&gt;0,F1157&gt;0),1,0)</f>
        <v>1</v>
      </c>
      <c r="K1157" s="3" t="n">
        <f aca="false">IF(AND(H1157="United Kingdom",G1157&lt;&gt;"",COUNTIFS($G$2:G1157,G1157,$H$2:H1157,"United Kingdom")=1),1,0)</f>
        <v>0</v>
      </c>
    </row>
    <row r="1158" customFormat="false" ht="15" hidden="false" customHeight="false" outlineLevel="0" collapsed="false">
      <c r="A1158" s="0" t="s">
        <v>303</v>
      </c>
      <c r="B1158" s="0" t="s">
        <v>39</v>
      </c>
      <c r="C1158" s="0" t="s">
        <v>40</v>
      </c>
      <c r="D1158" s="0" t="n">
        <v>5</v>
      </c>
      <c r="E1158" s="2" t="n">
        <v>40653.4854166667</v>
      </c>
      <c r="F1158" s="0" t="n">
        <v>2.58</v>
      </c>
      <c r="G1158" s="0" t="n">
        <v>13075</v>
      </c>
      <c r="H1158" s="3" t="s">
        <v>120</v>
      </c>
      <c r="I1158" s="4" t="n">
        <f aca="false">D1158*F1158</f>
        <v>12.9</v>
      </c>
      <c r="J1158" s="3" t="n">
        <f aca="false">IF(AND(LEFT(A1158,1)&lt;&gt;"C",D1158&gt;0,F1158&gt;0),1,0)</f>
        <v>1</v>
      </c>
      <c r="K1158" s="3" t="n">
        <f aca="false">IF(AND(H1158="United Kingdom",G1158&lt;&gt;"",COUNTIFS($G$2:G1158,G1158,$H$2:H1158,"United Kingdom")=1),1,0)</f>
        <v>0</v>
      </c>
    </row>
    <row r="1159" customFormat="false" ht="15" hidden="false" customHeight="false" outlineLevel="0" collapsed="false">
      <c r="A1159" s="0" t="s">
        <v>304</v>
      </c>
      <c r="B1159" s="0" t="s">
        <v>58</v>
      </c>
      <c r="C1159" s="0" t="s">
        <v>59</v>
      </c>
      <c r="D1159" s="0" t="n">
        <v>2</v>
      </c>
      <c r="E1159" s="2" t="n">
        <v>40653.6645833333</v>
      </c>
      <c r="F1159" s="0" t="n">
        <v>2.16</v>
      </c>
      <c r="G1159" s="0" t="n">
        <v>13782</v>
      </c>
      <c r="H1159" s="3" t="s">
        <v>14</v>
      </c>
      <c r="I1159" s="4" t="n">
        <f aca="false">D1159*F1159</f>
        <v>4.32</v>
      </c>
      <c r="J1159" s="3" t="n">
        <f aca="false">IF(AND(LEFT(A1159,1)&lt;&gt;"C",D1159&gt;0,F1159&gt;0),1,0)</f>
        <v>1</v>
      </c>
      <c r="K1159" s="3" t="n">
        <f aca="false">IF(AND(H1159="United Kingdom",G1159&lt;&gt;"",COUNTIFS($G$2:G1159,G1159,$H$2:H1159,"United Kingdom")=1),1,0)</f>
        <v>0</v>
      </c>
    </row>
    <row r="1160" customFormat="false" ht="15" hidden="false" customHeight="false" outlineLevel="0" collapsed="false">
      <c r="A1160" s="0" t="s">
        <v>304</v>
      </c>
      <c r="B1160" s="0" t="s">
        <v>48</v>
      </c>
      <c r="C1160" s="0" t="s">
        <v>49</v>
      </c>
      <c r="D1160" s="0" t="n">
        <v>24</v>
      </c>
      <c r="E1160" s="2" t="n">
        <v>40653.6645833333</v>
      </c>
      <c r="F1160" s="0" t="n">
        <v>1.35</v>
      </c>
      <c r="G1160" s="0" t="n">
        <v>13782</v>
      </c>
      <c r="H1160" s="3" t="s">
        <v>14</v>
      </c>
      <c r="I1160" s="4" t="n">
        <f aca="false">D1160*F1160</f>
        <v>32.4</v>
      </c>
      <c r="J1160" s="3" t="n">
        <f aca="false">IF(AND(LEFT(A1160,1)&lt;&gt;"C",D1160&gt;0,F1160&gt;0),1,0)</f>
        <v>1</v>
      </c>
      <c r="K1160" s="3" t="n">
        <f aca="false">IF(AND(H1160="United Kingdom",G1160&lt;&gt;"",COUNTIFS($G$2:G1160,G1160,$H$2:H1160,"United Kingdom")=1),1,0)</f>
        <v>0</v>
      </c>
    </row>
    <row r="1161" customFormat="false" ht="15" hidden="false" customHeight="false" outlineLevel="0" collapsed="false">
      <c r="A1161" s="0" t="s">
        <v>304</v>
      </c>
      <c r="B1161" s="0" t="s">
        <v>34</v>
      </c>
      <c r="C1161" s="0" t="s">
        <v>35</v>
      </c>
      <c r="D1161" s="0" t="n">
        <v>2</v>
      </c>
      <c r="E1161" s="2" t="n">
        <v>40653.6645833333</v>
      </c>
      <c r="F1161" s="0" t="n">
        <v>2.38</v>
      </c>
      <c r="G1161" s="0" t="n">
        <v>13782</v>
      </c>
      <c r="H1161" s="3" t="s">
        <v>14</v>
      </c>
      <c r="I1161" s="4" t="n">
        <f aca="false">D1161*F1161</f>
        <v>4.76</v>
      </c>
      <c r="J1161" s="3" t="n">
        <f aca="false">IF(AND(LEFT(A1161,1)&lt;&gt;"C",D1161&gt;0,F1161&gt;0),1,0)</f>
        <v>1</v>
      </c>
      <c r="K1161" s="3" t="n">
        <f aca="false">IF(AND(H1161="United Kingdom",G1161&lt;&gt;"",COUNTIFS($G$2:G1161,G1161,$H$2:H1161,"United Kingdom")=1),1,0)</f>
        <v>0</v>
      </c>
    </row>
    <row r="1162" customFormat="false" ht="15" hidden="false" customHeight="false" outlineLevel="0" collapsed="false">
      <c r="A1162" s="0" t="s">
        <v>304</v>
      </c>
      <c r="B1162" s="0" t="s">
        <v>17</v>
      </c>
      <c r="C1162" s="0" t="s">
        <v>18</v>
      </c>
      <c r="D1162" s="0" t="n">
        <v>1</v>
      </c>
      <c r="E1162" s="2" t="n">
        <v>40653.6645833333</v>
      </c>
      <c r="F1162" s="0" t="n">
        <v>1.92</v>
      </c>
      <c r="G1162" s="0" t="n">
        <v>13782</v>
      </c>
      <c r="H1162" s="3" t="s">
        <v>14</v>
      </c>
      <c r="I1162" s="4" t="n">
        <f aca="false">D1162*F1162</f>
        <v>1.92</v>
      </c>
      <c r="J1162" s="3" t="n">
        <f aca="false">IF(AND(LEFT(A1162,1)&lt;&gt;"C",D1162&gt;0,F1162&gt;0),1,0)</f>
        <v>1</v>
      </c>
      <c r="K1162" s="3" t="n">
        <f aca="false">IF(AND(H1162="United Kingdom",G1162&lt;&gt;"",COUNTIFS($G$2:G1162,G1162,$H$2:H1162,"United Kingdom")=1),1,0)</f>
        <v>0</v>
      </c>
    </row>
    <row r="1163" customFormat="false" ht="15" hidden="false" customHeight="false" outlineLevel="0" collapsed="false">
      <c r="A1163" s="0" t="s">
        <v>304</v>
      </c>
      <c r="B1163" s="0" t="s">
        <v>68</v>
      </c>
      <c r="C1163" s="0" t="s">
        <v>69</v>
      </c>
      <c r="D1163" s="0" t="n">
        <v>6</v>
      </c>
      <c r="E1163" s="2" t="n">
        <v>40653.6645833333</v>
      </c>
      <c r="F1163" s="0" t="n">
        <v>1.26</v>
      </c>
      <c r="G1163" s="0" t="n">
        <v>13782</v>
      </c>
      <c r="H1163" s="3" t="s">
        <v>14</v>
      </c>
      <c r="I1163" s="4" t="n">
        <f aca="false">D1163*F1163</f>
        <v>7.56</v>
      </c>
      <c r="J1163" s="3" t="n">
        <f aca="false">IF(AND(LEFT(A1163,1)&lt;&gt;"C",D1163&gt;0,F1163&gt;0),1,0)</f>
        <v>1</v>
      </c>
      <c r="K1163" s="3" t="n">
        <f aca="false">IF(AND(H1163="United Kingdom",G1163&lt;&gt;"",COUNTIFS($G$2:G1163,G1163,$H$2:H1163,"United Kingdom")=1),1,0)</f>
        <v>0</v>
      </c>
    </row>
    <row r="1164" customFormat="false" ht="15" hidden="false" customHeight="false" outlineLevel="0" collapsed="false">
      <c r="A1164" s="0" t="s">
        <v>304</v>
      </c>
      <c r="B1164" s="0" t="s">
        <v>77</v>
      </c>
      <c r="C1164" s="0" t="s">
        <v>78</v>
      </c>
      <c r="D1164" s="0" t="n">
        <v>6</v>
      </c>
      <c r="E1164" s="2" t="n">
        <v>40653.6645833333</v>
      </c>
      <c r="F1164" s="0" t="n">
        <v>3.41</v>
      </c>
      <c r="G1164" s="0" t="n">
        <v>13782</v>
      </c>
      <c r="H1164" s="3" t="s">
        <v>14</v>
      </c>
      <c r="I1164" s="4" t="n">
        <f aca="false">D1164*F1164</f>
        <v>20.46</v>
      </c>
      <c r="J1164" s="3" t="n">
        <f aca="false">IF(AND(LEFT(A1164,1)&lt;&gt;"C",D1164&gt;0,F1164&gt;0),1,0)</f>
        <v>1</v>
      </c>
      <c r="K1164" s="3" t="n">
        <f aca="false">IF(AND(H1164="United Kingdom",G1164&lt;&gt;"",COUNTIFS($G$2:G1164,G1164,$H$2:H1164,"United Kingdom")=1),1,0)</f>
        <v>0</v>
      </c>
    </row>
    <row r="1165" customFormat="false" ht="15" hidden="false" customHeight="false" outlineLevel="0" collapsed="false">
      <c r="A1165" s="0" t="s">
        <v>304</v>
      </c>
      <c r="B1165" s="0" t="s">
        <v>54</v>
      </c>
      <c r="C1165" s="0" t="s">
        <v>55</v>
      </c>
      <c r="D1165" s="0" t="n">
        <v>8</v>
      </c>
      <c r="E1165" s="2" t="n">
        <v>40653.6645833333</v>
      </c>
      <c r="F1165" s="0" t="n">
        <v>0.99</v>
      </c>
      <c r="G1165" s="0" t="n">
        <v>13782</v>
      </c>
      <c r="H1165" s="3" t="s">
        <v>14</v>
      </c>
      <c r="I1165" s="4" t="n">
        <f aca="false">D1165*F1165</f>
        <v>7.92</v>
      </c>
      <c r="J1165" s="3" t="n">
        <f aca="false">IF(AND(LEFT(A1165,1)&lt;&gt;"C",D1165&gt;0,F1165&gt;0),1,0)</f>
        <v>1</v>
      </c>
      <c r="K1165" s="3" t="n">
        <f aca="false">IF(AND(H1165="United Kingdom",G1165&lt;&gt;"",COUNTIFS($G$2:G1165,G1165,$H$2:H1165,"United Kingdom")=1),1,0)</f>
        <v>0</v>
      </c>
    </row>
    <row r="1166" customFormat="false" ht="15" hidden="false" customHeight="false" outlineLevel="0" collapsed="false">
      <c r="A1166" s="0" t="s">
        <v>304</v>
      </c>
      <c r="B1166" s="0" t="s">
        <v>90</v>
      </c>
      <c r="C1166" s="0" t="s">
        <v>91</v>
      </c>
      <c r="D1166" s="0" t="n">
        <v>8</v>
      </c>
      <c r="E1166" s="2" t="n">
        <v>40653.6645833333</v>
      </c>
      <c r="F1166" s="0" t="n">
        <v>3.04</v>
      </c>
      <c r="G1166" s="0" t="n">
        <v>13782</v>
      </c>
      <c r="H1166" s="3" t="s">
        <v>14</v>
      </c>
      <c r="I1166" s="4" t="n">
        <f aca="false">D1166*F1166</f>
        <v>24.32</v>
      </c>
      <c r="J1166" s="3" t="n">
        <f aca="false">IF(AND(LEFT(A1166,1)&lt;&gt;"C",D1166&gt;0,F1166&gt;0),1,0)</f>
        <v>1</v>
      </c>
      <c r="K1166" s="3" t="n">
        <f aca="false">IF(AND(H1166="United Kingdom",G1166&lt;&gt;"",COUNTIFS($G$2:G1166,G1166,$H$2:H1166,"United Kingdom")=1),1,0)</f>
        <v>0</v>
      </c>
    </row>
    <row r="1167" customFormat="false" ht="15" hidden="false" customHeight="false" outlineLevel="0" collapsed="false">
      <c r="A1167" s="0" t="s">
        <v>304</v>
      </c>
      <c r="B1167" s="0" t="s">
        <v>39</v>
      </c>
      <c r="C1167" s="0" t="s">
        <v>40</v>
      </c>
      <c r="D1167" s="0" t="n">
        <v>8</v>
      </c>
      <c r="E1167" s="2" t="n">
        <v>40653.6645833333</v>
      </c>
      <c r="F1167" s="0" t="n">
        <v>2.58</v>
      </c>
      <c r="G1167" s="0" t="n">
        <v>13782</v>
      </c>
      <c r="H1167" s="3" t="s">
        <v>14</v>
      </c>
      <c r="I1167" s="4" t="n">
        <f aca="false">D1167*F1167</f>
        <v>20.64</v>
      </c>
      <c r="J1167" s="3" t="n">
        <f aca="false">IF(AND(LEFT(A1167,1)&lt;&gt;"C",D1167&gt;0,F1167&gt;0),1,0)</f>
        <v>1</v>
      </c>
      <c r="K1167" s="3" t="n">
        <f aca="false">IF(AND(H1167="United Kingdom",G1167&lt;&gt;"",COUNTIFS($G$2:G1167,G1167,$H$2:H1167,"United Kingdom")=1),1,0)</f>
        <v>0</v>
      </c>
    </row>
    <row r="1168" customFormat="false" ht="15" hidden="false" customHeight="false" outlineLevel="0" collapsed="false">
      <c r="A1168" s="0" t="s">
        <v>304</v>
      </c>
      <c r="B1168" s="0" t="s">
        <v>45</v>
      </c>
      <c r="C1168" s="0" t="s">
        <v>46</v>
      </c>
      <c r="D1168" s="0" t="n">
        <v>4</v>
      </c>
      <c r="E1168" s="2" t="n">
        <v>40653.6645833333</v>
      </c>
      <c r="F1168" s="0" t="n">
        <v>4.55</v>
      </c>
      <c r="G1168" s="0" t="n">
        <v>13782</v>
      </c>
      <c r="H1168" s="3" t="s">
        <v>14</v>
      </c>
      <c r="I1168" s="4" t="n">
        <f aca="false">D1168*F1168</f>
        <v>18.2</v>
      </c>
      <c r="J1168" s="3" t="n">
        <f aca="false">IF(AND(LEFT(A1168,1)&lt;&gt;"C",D1168&gt;0,F1168&gt;0),1,0)</f>
        <v>1</v>
      </c>
      <c r="K1168" s="3" t="n">
        <f aca="false">IF(AND(H1168="United Kingdom",G1168&lt;&gt;"",COUNTIFS($G$2:G1168,G1168,$H$2:H1168,"United Kingdom")=1),1,0)</f>
        <v>0</v>
      </c>
    </row>
    <row r="1169" customFormat="false" ht="15" hidden="false" customHeight="false" outlineLevel="0" collapsed="false">
      <c r="A1169" s="0" t="s">
        <v>304</v>
      </c>
      <c r="B1169" s="0" t="s">
        <v>65</v>
      </c>
      <c r="C1169" s="0" t="s">
        <v>66</v>
      </c>
      <c r="D1169" s="0" t="n">
        <v>2</v>
      </c>
      <c r="E1169" s="2" t="n">
        <v>40653.6645833333</v>
      </c>
      <c r="F1169" s="0" t="n">
        <v>4.75</v>
      </c>
      <c r="G1169" s="0" t="n">
        <v>13782</v>
      </c>
      <c r="H1169" s="3" t="s">
        <v>14</v>
      </c>
      <c r="I1169" s="4" t="n">
        <f aca="false">D1169*F1169</f>
        <v>9.5</v>
      </c>
      <c r="J1169" s="3" t="n">
        <f aca="false">IF(AND(LEFT(A1169,1)&lt;&gt;"C",D1169&gt;0,F1169&gt;0),1,0)</f>
        <v>1</v>
      </c>
      <c r="K1169" s="3" t="n">
        <f aca="false">IF(AND(H1169="United Kingdom",G1169&lt;&gt;"",COUNTIFS($G$2:G1169,G1169,$H$2:H1169,"United Kingdom")=1),1,0)</f>
        <v>0</v>
      </c>
    </row>
    <row r="1170" customFormat="false" ht="15" hidden="false" customHeight="false" outlineLevel="0" collapsed="false">
      <c r="A1170" s="0" t="s">
        <v>304</v>
      </c>
      <c r="B1170" s="0" t="s">
        <v>41</v>
      </c>
      <c r="C1170" s="0" t="s">
        <v>42</v>
      </c>
      <c r="D1170" s="0" t="n">
        <v>12</v>
      </c>
      <c r="E1170" s="2" t="n">
        <v>40653.6645833333</v>
      </c>
      <c r="F1170" s="0" t="n">
        <v>3.28</v>
      </c>
      <c r="G1170" s="0" t="n">
        <v>13782</v>
      </c>
      <c r="H1170" s="3" t="s">
        <v>14</v>
      </c>
      <c r="I1170" s="4" t="n">
        <f aca="false">D1170*F1170</f>
        <v>39.36</v>
      </c>
      <c r="J1170" s="3" t="n">
        <f aca="false">IF(AND(LEFT(A1170,1)&lt;&gt;"C",D1170&gt;0,F1170&gt;0),1,0)</f>
        <v>1</v>
      </c>
      <c r="K1170" s="3" t="n">
        <f aca="false">IF(AND(H1170="United Kingdom",G1170&lt;&gt;"",COUNTIFS($G$2:G1170,G1170,$H$2:H1170,"United Kingdom")=1),1,0)</f>
        <v>0</v>
      </c>
    </row>
    <row r="1171" customFormat="false" ht="15" hidden="false" customHeight="false" outlineLevel="0" collapsed="false">
      <c r="A1171" s="0" t="s">
        <v>304</v>
      </c>
      <c r="B1171" s="0" t="s">
        <v>43</v>
      </c>
      <c r="C1171" s="0" t="s">
        <v>44</v>
      </c>
      <c r="D1171" s="0" t="n">
        <v>2</v>
      </c>
      <c r="E1171" s="2" t="n">
        <v>40653.6645833333</v>
      </c>
      <c r="F1171" s="0" t="n">
        <v>1.35</v>
      </c>
      <c r="G1171" s="0" t="n">
        <v>13782</v>
      </c>
      <c r="H1171" s="3" t="s">
        <v>14</v>
      </c>
      <c r="I1171" s="4" t="n">
        <f aca="false">D1171*F1171</f>
        <v>2.7</v>
      </c>
      <c r="J1171" s="3" t="n">
        <f aca="false">IF(AND(LEFT(A1171,1)&lt;&gt;"C",D1171&gt;0,F1171&gt;0),1,0)</f>
        <v>1</v>
      </c>
      <c r="K1171" s="3" t="n">
        <f aca="false">IF(AND(H1171="United Kingdom",G1171&lt;&gt;"",COUNTIFS($G$2:G1171,G1171,$H$2:H1171,"United Kingdom")=1),1,0)</f>
        <v>0</v>
      </c>
    </row>
    <row r="1172" customFormat="false" ht="15" hidden="false" customHeight="false" outlineLevel="0" collapsed="false">
      <c r="A1172" s="0" t="s">
        <v>304</v>
      </c>
      <c r="B1172" s="0" t="s">
        <v>32</v>
      </c>
      <c r="C1172" s="0" t="s">
        <v>33</v>
      </c>
      <c r="D1172" s="0" t="n">
        <v>1</v>
      </c>
      <c r="E1172" s="2" t="n">
        <v>40653.6645833333</v>
      </c>
      <c r="F1172" s="0" t="n">
        <v>1.19</v>
      </c>
      <c r="G1172" s="0" t="n">
        <v>13782</v>
      </c>
      <c r="H1172" s="3" t="s">
        <v>14</v>
      </c>
      <c r="I1172" s="4" t="n">
        <f aca="false">D1172*F1172</f>
        <v>1.19</v>
      </c>
      <c r="J1172" s="3" t="n">
        <f aca="false">IF(AND(LEFT(A1172,1)&lt;&gt;"C",D1172&gt;0,F1172&gt;0),1,0)</f>
        <v>1</v>
      </c>
      <c r="K1172" s="3" t="n">
        <f aca="false">IF(AND(H1172="United Kingdom",G1172&lt;&gt;"",COUNTIFS($G$2:G1172,G1172,$H$2:H1172,"United Kingdom")=1),1,0)</f>
        <v>0</v>
      </c>
    </row>
    <row r="1173" customFormat="false" ht="15" hidden="false" customHeight="false" outlineLevel="0" collapsed="false">
      <c r="A1173" s="0" t="s">
        <v>305</v>
      </c>
      <c r="B1173" s="0" t="s">
        <v>75</v>
      </c>
      <c r="C1173" s="0" t="s">
        <v>76</v>
      </c>
      <c r="D1173" s="0" t="n">
        <v>3</v>
      </c>
      <c r="E1173" s="2" t="n">
        <v>40654.4965277778</v>
      </c>
      <c r="F1173" s="0" t="n">
        <v>1.97</v>
      </c>
      <c r="G1173" s="0" t="n">
        <v>17746</v>
      </c>
      <c r="H1173" s="3" t="s">
        <v>14</v>
      </c>
      <c r="I1173" s="4" t="n">
        <f aca="false">D1173*F1173</f>
        <v>5.91</v>
      </c>
      <c r="J1173" s="3" t="n">
        <f aca="false">IF(AND(LEFT(A1173,1)&lt;&gt;"C",D1173&gt;0,F1173&gt;0),1,0)</f>
        <v>1</v>
      </c>
      <c r="K1173" s="3" t="n">
        <f aca="false">IF(AND(H1173="United Kingdom",G1173&lt;&gt;"",COUNTIFS($G$2:G1173,G1173,$H$2:H1173,"United Kingdom")=1),1,0)</f>
        <v>0</v>
      </c>
    </row>
    <row r="1174" customFormat="false" ht="15" hidden="false" customHeight="false" outlineLevel="0" collapsed="false">
      <c r="A1174" s="0" t="s">
        <v>305</v>
      </c>
      <c r="B1174" s="0" t="s">
        <v>77</v>
      </c>
      <c r="C1174" s="0" t="s">
        <v>78</v>
      </c>
      <c r="D1174" s="0" t="n">
        <v>4</v>
      </c>
      <c r="E1174" s="2" t="n">
        <v>40654.4965277778</v>
      </c>
      <c r="F1174" s="0" t="n">
        <v>3.41</v>
      </c>
      <c r="G1174" s="0" t="n">
        <v>17746</v>
      </c>
      <c r="H1174" s="3" t="s">
        <v>14</v>
      </c>
      <c r="I1174" s="4" t="n">
        <f aca="false">D1174*F1174</f>
        <v>13.64</v>
      </c>
      <c r="J1174" s="3" t="n">
        <f aca="false">IF(AND(LEFT(A1174,1)&lt;&gt;"C",D1174&gt;0,F1174&gt;0),1,0)</f>
        <v>1</v>
      </c>
      <c r="K1174" s="3" t="n">
        <f aca="false">IF(AND(H1174="United Kingdom",G1174&lt;&gt;"",COUNTIFS($G$2:G1174,G1174,$H$2:H1174,"United Kingdom")=1),1,0)</f>
        <v>0</v>
      </c>
    </row>
    <row r="1175" customFormat="false" ht="15" hidden="false" customHeight="false" outlineLevel="0" collapsed="false">
      <c r="A1175" s="0" t="s">
        <v>305</v>
      </c>
      <c r="B1175" s="0" t="s">
        <v>22</v>
      </c>
      <c r="C1175" s="0" t="s">
        <v>23</v>
      </c>
      <c r="D1175" s="0" t="n">
        <v>12</v>
      </c>
      <c r="E1175" s="2" t="n">
        <v>40654.4965277778</v>
      </c>
      <c r="F1175" s="0" t="n">
        <v>3.18</v>
      </c>
      <c r="G1175" s="0" t="n">
        <v>17746</v>
      </c>
      <c r="H1175" s="3" t="s">
        <v>14</v>
      </c>
      <c r="I1175" s="4" t="n">
        <f aca="false">D1175*F1175</f>
        <v>38.16</v>
      </c>
      <c r="J1175" s="3" t="n">
        <f aca="false">IF(AND(LEFT(A1175,1)&lt;&gt;"C",D1175&gt;0,F1175&gt;0),1,0)</f>
        <v>1</v>
      </c>
      <c r="K1175" s="3" t="n">
        <f aca="false">IF(AND(H1175="United Kingdom",G1175&lt;&gt;"",COUNTIFS($G$2:G1175,G1175,$H$2:H1175,"United Kingdom")=1),1,0)</f>
        <v>0</v>
      </c>
    </row>
    <row r="1176" customFormat="false" ht="15" hidden="false" customHeight="false" outlineLevel="0" collapsed="false">
      <c r="A1176" s="0" t="s">
        <v>305</v>
      </c>
      <c r="B1176" s="0" t="s">
        <v>45</v>
      </c>
      <c r="C1176" s="0" t="s">
        <v>46</v>
      </c>
      <c r="D1176" s="0" t="n">
        <v>8</v>
      </c>
      <c r="E1176" s="2" t="n">
        <v>40654.4965277778</v>
      </c>
      <c r="F1176" s="0" t="n">
        <v>4.55</v>
      </c>
      <c r="G1176" s="0" t="n">
        <v>17746</v>
      </c>
      <c r="H1176" s="3" t="s">
        <v>14</v>
      </c>
      <c r="I1176" s="4" t="n">
        <f aca="false">D1176*F1176</f>
        <v>36.4</v>
      </c>
      <c r="J1176" s="3" t="n">
        <f aca="false">IF(AND(LEFT(A1176,1)&lt;&gt;"C",D1176&gt;0,F1176&gt;0),1,0)</f>
        <v>1</v>
      </c>
      <c r="K1176" s="3" t="n">
        <f aca="false">IF(AND(H1176="United Kingdom",G1176&lt;&gt;"",COUNTIFS($G$2:G1176,G1176,$H$2:H1176,"United Kingdom")=1),1,0)</f>
        <v>0</v>
      </c>
    </row>
    <row r="1177" customFormat="false" ht="15" hidden="false" customHeight="false" outlineLevel="0" collapsed="false">
      <c r="A1177" s="0" t="s">
        <v>305</v>
      </c>
      <c r="B1177" s="0" t="s">
        <v>90</v>
      </c>
      <c r="C1177" s="0" t="s">
        <v>91</v>
      </c>
      <c r="D1177" s="0" t="n">
        <v>3</v>
      </c>
      <c r="E1177" s="2" t="n">
        <v>40654.4965277778</v>
      </c>
      <c r="F1177" s="0" t="n">
        <v>3.04</v>
      </c>
      <c r="G1177" s="0" t="n">
        <v>17746</v>
      </c>
      <c r="H1177" s="3" t="s">
        <v>14</v>
      </c>
      <c r="I1177" s="4" t="n">
        <f aca="false">D1177*F1177</f>
        <v>9.12</v>
      </c>
      <c r="J1177" s="3" t="n">
        <f aca="false">IF(AND(LEFT(A1177,1)&lt;&gt;"C",D1177&gt;0,F1177&gt;0),1,0)</f>
        <v>1</v>
      </c>
      <c r="K1177" s="3" t="n">
        <f aca="false">IF(AND(H1177="United Kingdom",G1177&lt;&gt;"",COUNTIFS($G$2:G1177,G1177,$H$2:H1177,"United Kingdom")=1),1,0)</f>
        <v>0</v>
      </c>
    </row>
    <row r="1178" customFormat="false" ht="15" hidden="false" customHeight="false" outlineLevel="0" collapsed="false">
      <c r="A1178" s="0" t="s">
        <v>305</v>
      </c>
      <c r="B1178" s="0" t="s">
        <v>52</v>
      </c>
      <c r="C1178" s="0" t="s">
        <v>53</v>
      </c>
      <c r="D1178" s="0" t="n">
        <v>2</v>
      </c>
      <c r="E1178" s="2" t="n">
        <v>40654.4965277778</v>
      </c>
      <c r="F1178" s="0" t="n">
        <v>4.16</v>
      </c>
      <c r="G1178" s="0" t="n">
        <v>17746</v>
      </c>
      <c r="H1178" s="3" t="s">
        <v>14</v>
      </c>
      <c r="I1178" s="4" t="n">
        <f aca="false">D1178*F1178</f>
        <v>8.32</v>
      </c>
      <c r="J1178" s="3" t="n">
        <f aca="false">IF(AND(LEFT(A1178,1)&lt;&gt;"C",D1178&gt;0,F1178&gt;0),1,0)</f>
        <v>1</v>
      </c>
      <c r="K1178" s="3" t="n">
        <f aca="false">IF(AND(H1178="United Kingdom",G1178&lt;&gt;"",COUNTIFS($G$2:G1178,G1178,$H$2:H1178,"United Kingdom")=1),1,0)</f>
        <v>0</v>
      </c>
    </row>
    <row r="1179" customFormat="false" ht="15" hidden="false" customHeight="false" outlineLevel="0" collapsed="false">
      <c r="A1179" s="0" t="s">
        <v>305</v>
      </c>
      <c r="B1179" s="0" t="s">
        <v>32</v>
      </c>
      <c r="C1179" s="0" t="s">
        <v>33</v>
      </c>
      <c r="D1179" s="0" t="n">
        <v>6</v>
      </c>
      <c r="E1179" s="2" t="n">
        <v>40654.4965277778</v>
      </c>
      <c r="F1179" s="0" t="n">
        <v>1.19</v>
      </c>
      <c r="G1179" s="0" t="n">
        <v>17746</v>
      </c>
      <c r="H1179" s="3" t="s">
        <v>14</v>
      </c>
      <c r="I1179" s="4" t="n">
        <f aca="false">D1179*F1179</f>
        <v>7.14</v>
      </c>
      <c r="J1179" s="3" t="n">
        <f aca="false">IF(AND(LEFT(A1179,1)&lt;&gt;"C",D1179&gt;0,F1179&gt;0),1,0)</f>
        <v>1</v>
      </c>
      <c r="K1179" s="3" t="n">
        <f aca="false">IF(AND(H1179="United Kingdom",G1179&lt;&gt;"",COUNTIFS($G$2:G1179,G1179,$H$2:H1179,"United Kingdom")=1),1,0)</f>
        <v>0</v>
      </c>
    </row>
    <row r="1180" customFormat="false" ht="15" hidden="false" customHeight="false" outlineLevel="0" collapsed="false">
      <c r="A1180" s="0" t="s">
        <v>306</v>
      </c>
      <c r="B1180" s="0" t="s">
        <v>12</v>
      </c>
      <c r="C1180" s="0" t="s">
        <v>13</v>
      </c>
      <c r="D1180" s="0" t="n">
        <v>4</v>
      </c>
      <c r="E1180" s="2" t="n">
        <v>40654.7354166667</v>
      </c>
      <c r="F1180" s="0" t="n">
        <v>3.33</v>
      </c>
      <c r="G1180" s="0" t="n">
        <v>17690</v>
      </c>
      <c r="H1180" s="3" t="s">
        <v>14</v>
      </c>
      <c r="I1180" s="4" t="n">
        <f aca="false">D1180*F1180</f>
        <v>13.32</v>
      </c>
      <c r="J1180" s="3" t="n">
        <f aca="false">IF(AND(LEFT(A1180,1)&lt;&gt;"C",D1180&gt;0,F1180&gt;0),1,0)</f>
        <v>1</v>
      </c>
      <c r="K1180" s="3" t="n">
        <f aca="false">IF(AND(H1180="United Kingdom",G1180&lt;&gt;"",COUNTIFS($G$2:G1180,G1180,$H$2:H1180,"United Kingdom")=1),1,0)</f>
        <v>0</v>
      </c>
    </row>
    <row r="1181" customFormat="false" ht="15" hidden="false" customHeight="false" outlineLevel="0" collapsed="false">
      <c r="A1181" s="0" t="s">
        <v>307</v>
      </c>
      <c r="B1181" s="0" t="s">
        <v>32</v>
      </c>
      <c r="C1181" s="0" t="s">
        <v>33</v>
      </c>
      <c r="D1181" s="0" t="n">
        <v>1</v>
      </c>
      <c r="E1181" s="2" t="n">
        <v>40654.7763888889</v>
      </c>
      <c r="F1181" s="0" t="n">
        <v>1.19</v>
      </c>
      <c r="G1181" s="0" t="n">
        <v>13246</v>
      </c>
      <c r="H1181" s="3" t="s">
        <v>14</v>
      </c>
      <c r="I1181" s="4" t="n">
        <f aca="false">D1181*F1181</f>
        <v>1.19</v>
      </c>
      <c r="J1181" s="3" t="n">
        <f aca="false">IF(AND(LEFT(A1181,1)&lt;&gt;"C",D1181&gt;0,F1181&gt;0),1,0)</f>
        <v>1</v>
      </c>
      <c r="K1181" s="3" t="n">
        <f aca="false">IF(AND(H1181="United Kingdom",G1181&lt;&gt;"",COUNTIFS($G$2:G1181,G1181,$H$2:H1181,"United Kingdom")=1),1,0)</f>
        <v>0</v>
      </c>
    </row>
    <row r="1182" customFormat="false" ht="15" hidden="false" customHeight="false" outlineLevel="0" collapsed="false">
      <c r="A1182" s="0" t="s">
        <v>307</v>
      </c>
      <c r="B1182" s="0" t="s">
        <v>12</v>
      </c>
      <c r="C1182" s="0" t="s">
        <v>13</v>
      </c>
      <c r="D1182" s="0" t="n">
        <v>12</v>
      </c>
      <c r="E1182" s="2" t="n">
        <v>40654.7763888889</v>
      </c>
      <c r="F1182" s="0" t="n">
        <v>3.33</v>
      </c>
      <c r="G1182" s="0" t="n">
        <v>13246</v>
      </c>
      <c r="H1182" s="3" t="s">
        <v>14</v>
      </c>
      <c r="I1182" s="4" t="n">
        <f aca="false">D1182*F1182</f>
        <v>39.96</v>
      </c>
      <c r="J1182" s="3" t="n">
        <f aca="false">IF(AND(LEFT(A1182,1)&lt;&gt;"C",D1182&gt;0,F1182&gt;0),1,0)</f>
        <v>1</v>
      </c>
      <c r="K1182" s="3" t="n">
        <f aca="false">IF(AND(H1182="United Kingdom",G1182&lt;&gt;"",COUNTIFS($G$2:G1182,G1182,$H$2:H1182,"United Kingdom")=1),1,0)</f>
        <v>0</v>
      </c>
    </row>
    <row r="1183" customFormat="false" ht="15" hidden="false" customHeight="false" outlineLevel="0" collapsed="false">
      <c r="A1183" s="0" t="s">
        <v>308</v>
      </c>
      <c r="B1183" s="0" t="s">
        <v>43</v>
      </c>
      <c r="C1183" s="0" t="s">
        <v>44</v>
      </c>
      <c r="D1183" s="0" t="n">
        <v>3</v>
      </c>
      <c r="E1183" s="2" t="n">
        <v>40655.4138888889</v>
      </c>
      <c r="F1183" s="0" t="n">
        <v>1.35</v>
      </c>
      <c r="G1183" s="0" t="n">
        <v>16940</v>
      </c>
      <c r="H1183" s="3" t="s">
        <v>14</v>
      </c>
      <c r="I1183" s="4" t="n">
        <f aca="false">D1183*F1183</f>
        <v>4.05</v>
      </c>
      <c r="J1183" s="3" t="n">
        <f aca="false">IF(AND(LEFT(A1183,1)&lt;&gt;"C",D1183&gt;0,F1183&gt;0),1,0)</f>
        <v>1</v>
      </c>
      <c r="K1183" s="3" t="n">
        <f aca="false">IF(AND(H1183="United Kingdom",G1183&lt;&gt;"",COUNTIFS($G$2:G1183,G1183,$H$2:H1183,"United Kingdom")=1),1,0)</f>
        <v>0</v>
      </c>
    </row>
    <row r="1184" customFormat="false" ht="15" hidden="false" customHeight="false" outlineLevel="0" collapsed="false">
      <c r="A1184" s="0" t="s">
        <v>308</v>
      </c>
      <c r="B1184" s="0" t="s">
        <v>65</v>
      </c>
      <c r="C1184" s="0" t="s">
        <v>66</v>
      </c>
      <c r="D1184" s="0" t="n">
        <v>6</v>
      </c>
      <c r="E1184" s="2" t="n">
        <v>40655.4138888889</v>
      </c>
      <c r="F1184" s="0" t="n">
        <v>4.75</v>
      </c>
      <c r="G1184" s="0" t="n">
        <v>16940</v>
      </c>
      <c r="H1184" s="3" t="s">
        <v>14</v>
      </c>
      <c r="I1184" s="4" t="n">
        <f aca="false">D1184*F1184</f>
        <v>28.5</v>
      </c>
      <c r="J1184" s="3" t="n">
        <f aca="false">IF(AND(LEFT(A1184,1)&lt;&gt;"C",D1184&gt;0,F1184&gt;0),1,0)</f>
        <v>1</v>
      </c>
      <c r="K1184" s="3" t="n">
        <f aca="false">IF(AND(H1184="United Kingdom",G1184&lt;&gt;"",COUNTIFS($G$2:G1184,G1184,$H$2:H1184,"United Kingdom")=1),1,0)</f>
        <v>0</v>
      </c>
    </row>
    <row r="1185" customFormat="false" ht="15" hidden="false" customHeight="false" outlineLevel="0" collapsed="false">
      <c r="A1185" s="0" t="s">
        <v>308</v>
      </c>
      <c r="B1185" s="0" t="s">
        <v>15</v>
      </c>
      <c r="C1185" s="0" t="s">
        <v>16</v>
      </c>
      <c r="D1185" s="0" t="n">
        <v>6</v>
      </c>
      <c r="E1185" s="2" t="n">
        <v>40655.4138888889</v>
      </c>
      <c r="F1185" s="0" t="n">
        <v>3.18</v>
      </c>
      <c r="G1185" s="0" t="n">
        <v>16940</v>
      </c>
      <c r="H1185" s="3" t="s">
        <v>14</v>
      </c>
      <c r="I1185" s="4" t="n">
        <f aca="false">D1185*F1185</f>
        <v>19.08</v>
      </c>
      <c r="J1185" s="3" t="n">
        <f aca="false">IF(AND(LEFT(A1185,1)&lt;&gt;"C",D1185&gt;0,F1185&gt;0),1,0)</f>
        <v>1</v>
      </c>
      <c r="K1185" s="3" t="n">
        <f aca="false">IF(AND(H1185="United Kingdom",G1185&lt;&gt;"",COUNTIFS($G$2:G1185,G1185,$H$2:H1185,"United Kingdom")=1),1,0)</f>
        <v>0</v>
      </c>
    </row>
    <row r="1186" customFormat="false" ht="15" hidden="false" customHeight="false" outlineLevel="0" collapsed="false">
      <c r="A1186" s="0" t="s">
        <v>308</v>
      </c>
      <c r="B1186" s="0" t="s">
        <v>113</v>
      </c>
      <c r="C1186" s="0" t="s">
        <v>114</v>
      </c>
      <c r="D1186" s="0" t="n">
        <v>12</v>
      </c>
      <c r="E1186" s="2" t="n">
        <v>40655.4138888889</v>
      </c>
      <c r="F1186" s="0" t="n">
        <v>3.57</v>
      </c>
      <c r="G1186" s="0" t="n">
        <v>16940</v>
      </c>
      <c r="H1186" s="3" t="s">
        <v>14</v>
      </c>
      <c r="I1186" s="4" t="n">
        <f aca="false">D1186*F1186</f>
        <v>42.84</v>
      </c>
      <c r="J1186" s="3" t="n">
        <f aca="false">IF(AND(LEFT(A1186,1)&lt;&gt;"C",D1186&gt;0,F1186&gt;0),1,0)</f>
        <v>1</v>
      </c>
      <c r="K1186" s="3" t="n">
        <f aca="false">IF(AND(H1186="United Kingdom",G1186&lt;&gt;"",COUNTIFS($G$2:G1186,G1186,$H$2:H1186,"United Kingdom")=1),1,0)</f>
        <v>0</v>
      </c>
    </row>
    <row r="1187" customFormat="false" ht="15" hidden="false" customHeight="false" outlineLevel="0" collapsed="false">
      <c r="A1187" s="0" t="s">
        <v>309</v>
      </c>
      <c r="B1187" s="0" t="s">
        <v>37</v>
      </c>
      <c r="C1187" s="0" t="s">
        <v>38</v>
      </c>
      <c r="D1187" s="0" t="n">
        <v>10</v>
      </c>
      <c r="E1187" s="2" t="n">
        <v>40655.4319444444</v>
      </c>
      <c r="F1187" s="0" t="n">
        <v>1.82</v>
      </c>
      <c r="G1187" s="0" t="n">
        <v>13075</v>
      </c>
      <c r="H1187" s="3" t="s">
        <v>120</v>
      </c>
      <c r="I1187" s="4" t="n">
        <f aca="false">D1187*F1187</f>
        <v>18.2</v>
      </c>
      <c r="J1187" s="3" t="n">
        <f aca="false">IF(AND(LEFT(A1187,1)&lt;&gt;"C",D1187&gt;0,F1187&gt;0),1,0)</f>
        <v>1</v>
      </c>
      <c r="K1187" s="3" t="n">
        <f aca="false">IF(AND(H1187="United Kingdom",G1187&lt;&gt;"",COUNTIFS($G$2:G1187,G1187,$H$2:H1187,"United Kingdom")=1),1,0)</f>
        <v>0</v>
      </c>
    </row>
    <row r="1188" customFormat="false" ht="15" hidden="false" customHeight="false" outlineLevel="0" collapsed="false">
      <c r="A1188" s="0" t="s">
        <v>310</v>
      </c>
      <c r="B1188" s="0" t="s">
        <v>80</v>
      </c>
      <c r="C1188" s="0" t="s">
        <v>81</v>
      </c>
      <c r="D1188" s="0" t="n">
        <v>6</v>
      </c>
      <c r="E1188" s="2" t="n">
        <v>40656.7222222222</v>
      </c>
      <c r="F1188" s="0" t="n">
        <v>1.53</v>
      </c>
      <c r="G1188" s="0" t="n">
        <v>13606</v>
      </c>
      <c r="H1188" s="3" t="s">
        <v>14</v>
      </c>
      <c r="I1188" s="4" t="n">
        <f aca="false">D1188*F1188</f>
        <v>9.18</v>
      </c>
      <c r="J1188" s="3" t="n">
        <f aca="false">IF(AND(LEFT(A1188,1)&lt;&gt;"C",D1188&gt;0,F1188&gt;0),1,0)</f>
        <v>1</v>
      </c>
      <c r="K1188" s="3" t="n">
        <f aca="false">IF(AND(H1188="United Kingdom",G1188&lt;&gt;"",COUNTIFS($G$2:G1188,G1188,$H$2:H1188,"United Kingdom")=1),1,0)</f>
        <v>0</v>
      </c>
    </row>
    <row r="1189" customFormat="false" ht="15" hidden="false" customHeight="false" outlineLevel="0" collapsed="false">
      <c r="A1189" s="0" t="s">
        <v>310</v>
      </c>
      <c r="B1189" s="0" t="s">
        <v>12</v>
      </c>
      <c r="C1189" s="0" t="s">
        <v>13</v>
      </c>
      <c r="D1189" s="0" t="n">
        <v>2</v>
      </c>
      <c r="E1189" s="2" t="n">
        <v>40656.7222222222</v>
      </c>
      <c r="F1189" s="0" t="n">
        <v>3.33</v>
      </c>
      <c r="G1189" s="0" t="n">
        <v>13606</v>
      </c>
      <c r="H1189" s="3" t="s">
        <v>14</v>
      </c>
      <c r="I1189" s="4" t="n">
        <f aca="false">D1189*F1189</f>
        <v>6.66</v>
      </c>
      <c r="J1189" s="3" t="n">
        <f aca="false">IF(AND(LEFT(A1189,1)&lt;&gt;"C",D1189&gt;0,F1189&gt;0),1,0)</f>
        <v>1</v>
      </c>
      <c r="K1189" s="3" t="n">
        <f aca="false">IF(AND(H1189="United Kingdom",G1189&lt;&gt;"",COUNTIFS($G$2:G1189,G1189,$H$2:H1189,"United Kingdom")=1),1,0)</f>
        <v>0</v>
      </c>
    </row>
    <row r="1190" customFormat="false" ht="15" hidden="false" customHeight="false" outlineLevel="0" collapsed="false">
      <c r="A1190" s="0" t="s">
        <v>310</v>
      </c>
      <c r="B1190" s="0" t="s">
        <v>77</v>
      </c>
      <c r="C1190" s="0" t="s">
        <v>78</v>
      </c>
      <c r="D1190" s="0" t="n">
        <v>3</v>
      </c>
      <c r="E1190" s="2" t="n">
        <v>40656.7222222222</v>
      </c>
      <c r="F1190" s="0" t="n">
        <v>3.41</v>
      </c>
      <c r="G1190" s="0" t="n">
        <v>13606</v>
      </c>
      <c r="H1190" s="3" t="s">
        <v>14</v>
      </c>
      <c r="I1190" s="4" t="n">
        <f aca="false">D1190*F1190</f>
        <v>10.23</v>
      </c>
      <c r="J1190" s="3" t="n">
        <f aca="false">IF(AND(LEFT(A1190,1)&lt;&gt;"C",D1190&gt;0,F1190&gt;0),1,0)</f>
        <v>1</v>
      </c>
      <c r="K1190" s="3" t="n">
        <f aca="false">IF(AND(H1190="United Kingdom",G1190&lt;&gt;"",COUNTIFS($G$2:G1190,G1190,$H$2:H1190,"United Kingdom")=1),1,0)</f>
        <v>0</v>
      </c>
    </row>
    <row r="1191" customFormat="false" ht="15" hidden="false" customHeight="false" outlineLevel="0" collapsed="false">
      <c r="A1191" s="0" t="s">
        <v>311</v>
      </c>
      <c r="B1191" s="0" t="s">
        <v>58</v>
      </c>
      <c r="C1191" s="0" t="s">
        <v>59</v>
      </c>
      <c r="D1191" s="0" t="n">
        <v>1</v>
      </c>
      <c r="E1191" s="2" t="n">
        <v>40658.7631944444</v>
      </c>
      <c r="F1191" s="0" t="n">
        <v>2.16</v>
      </c>
      <c r="G1191" s="0" t="n">
        <v>14240</v>
      </c>
      <c r="H1191" s="3" t="s">
        <v>14</v>
      </c>
      <c r="I1191" s="4" t="n">
        <f aca="false">D1191*F1191</f>
        <v>2.16</v>
      </c>
      <c r="J1191" s="3" t="n">
        <f aca="false">IF(AND(LEFT(A1191,1)&lt;&gt;"C",D1191&gt;0,F1191&gt;0),1,0)</f>
        <v>1</v>
      </c>
      <c r="K1191" s="3" t="n">
        <f aca="false">IF(AND(H1191="United Kingdom",G1191&lt;&gt;"",COUNTIFS($G$2:G1191,G1191,$H$2:H1191,"United Kingdom")=1),1,0)</f>
        <v>0</v>
      </c>
    </row>
    <row r="1192" customFormat="false" ht="15" hidden="false" customHeight="false" outlineLevel="0" collapsed="false">
      <c r="A1192" s="0" t="s">
        <v>312</v>
      </c>
      <c r="B1192" s="0" t="s">
        <v>63</v>
      </c>
      <c r="C1192" s="0" t="s">
        <v>64</v>
      </c>
      <c r="D1192" s="0" t="n">
        <v>4</v>
      </c>
      <c r="E1192" s="2" t="n">
        <v>40658.8027777778</v>
      </c>
      <c r="F1192" s="0" t="n">
        <v>2.43</v>
      </c>
      <c r="G1192" s="0" t="n">
        <v>17650</v>
      </c>
      <c r="H1192" s="3" t="s">
        <v>57</v>
      </c>
      <c r="I1192" s="4" t="n">
        <f aca="false">D1192*F1192</f>
        <v>9.72</v>
      </c>
      <c r="J1192" s="3" t="n">
        <f aca="false">IF(AND(LEFT(A1192,1)&lt;&gt;"C",D1192&gt;0,F1192&gt;0),1,0)</f>
        <v>1</v>
      </c>
      <c r="K1192" s="3" t="n">
        <f aca="false">IF(AND(H1192="United Kingdom",G1192&lt;&gt;"",COUNTIFS($G$2:G1192,G1192,$H$2:H1192,"United Kingdom")=1),1,0)</f>
        <v>0</v>
      </c>
    </row>
    <row r="1193" customFormat="false" ht="15" hidden="false" customHeight="false" outlineLevel="0" collapsed="false">
      <c r="A1193" s="0" t="s">
        <v>312</v>
      </c>
      <c r="B1193" s="0" t="s">
        <v>54</v>
      </c>
      <c r="C1193" s="0" t="s">
        <v>55</v>
      </c>
      <c r="D1193" s="0" t="n">
        <v>1</v>
      </c>
      <c r="E1193" s="2" t="n">
        <v>40658.8027777778</v>
      </c>
      <c r="F1193" s="0" t="n">
        <v>0.99</v>
      </c>
      <c r="G1193" s="0" t="n">
        <v>17650</v>
      </c>
      <c r="H1193" s="3" t="s">
        <v>57</v>
      </c>
      <c r="I1193" s="4" t="n">
        <f aca="false">D1193*F1193</f>
        <v>0.99</v>
      </c>
      <c r="J1193" s="3" t="n">
        <f aca="false">IF(AND(LEFT(A1193,1)&lt;&gt;"C",D1193&gt;0,F1193&gt;0),1,0)</f>
        <v>1</v>
      </c>
      <c r="K1193" s="3" t="n">
        <f aca="false">IF(AND(H1193="United Kingdom",G1193&lt;&gt;"",COUNTIFS($G$2:G1193,G1193,$H$2:H1193,"United Kingdom")=1),1,0)</f>
        <v>0</v>
      </c>
    </row>
    <row r="1194" customFormat="false" ht="15" hidden="false" customHeight="false" outlineLevel="0" collapsed="false">
      <c r="A1194" s="0" t="s">
        <v>312</v>
      </c>
      <c r="B1194" s="0" t="s">
        <v>65</v>
      </c>
      <c r="C1194" s="0" t="s">
        <v>66</v>
      </c>
      <c r="D1194" s="0" t="n">
        <v>3</v>
      </c>
      <c r="E1194" s="2" t="n">
        <v>40658.8027777778</v>
      </c>
      <c r="F1194" s="0" t="n">
        <v>4.75</v>
      </c>
      <c r="G1194" s="0" t="n">
        <v>17650</v>
      </c>
      <c r="H1194" s="3" t="s">
        <v>57</v>
      </c>
      <c r="I1194" s="4" t="n">
        <f aca="false">D1194*F1194</f>
        <v>14.25</v>
      </c>
      <c r="J1194" s="3" t="n">
        <f aca="false">IF(AND(LEFT(A1194,1)&lt;&gt;"C",D1194&gt;0,F1194&gt;0),1,0)</f>
        <v>1</v>
      </c>
      <c r="K1194" s="3" t="n">
        <f aca="false">IF(AND(H1194="United Kingdom",G1194&lt;&gt;"",COUNTIFS($G$2:G1194,G1194,$H$2:H1194,"United Kingdom")=1),1,0)</f>
        <v>0</v>
      </c>
    </row>
    <row r="1195" customFormat="false" ht="15" hidden="false" customHeight="false" outlineLevel="0" collapsed="false">
      <c r="A1195" s="0" t="s">
        <v>312</v>
      </c>
      <c r="B1195" s="0" t="s">
        <v>39</v>
      </c>
      <c r="C1195" s="0" t="s">
        <v>40</v>
      </c>
      <c r="D1195" s="0" t="n">
        <v>6</v>
      </c>
      <c r="E1195" s="2" t="n">
        <v>40658.8027777778</v>
      </c>
      <c r="F1195" s="0" t="n">
        <v>2.58</v>
      </c>
      <c r="G1195" s="0" t="n">
        <v>17650</v>
      </c>
      <c r="H1195" s="3" t="s">
        <v>57</v>
      </c>
      <c r="I1195" s="4" t="n">
        <f aca="false">D1195*F1195</f>
        <v>15.48</v>
      </c>
      <c r="J1195" s="3" t="n">
        <f aca="false">IF(AND(LEFT(A1195,1)&lt;&gt;"C",D1195&gt;0,F1195&gt;0),1,0)</f>
        <v>1</v>
      </c>
      <c r="K1195" s="3" t="n">
        <f aca="false">IF(AND(H1195="United Kingdom",G1195&lt;&gt;"",COUNTIFS($G$2:G1195,G1195,$H$2:H1195,"United Kingdom")=1),1,0)</f>
        <v>0</v>
      </c>
    </row>
    <row r="1196" customFormat="false" ht="15" hidden="false" customHeight="false" outlineLevel="0" collapsed="false">
      <c r="A1196" s="0" t="s">
        <v>312</v>
      </c>
      <c r="B1196" s="0" t="s">
        <v>48</v>
      </c>
      <c r="C1196" s="0" t="s">
        <v>49</v>
      </c>
      <c r="D1196" s="0" t="n">
        <v>25</v>
      </c>
      <c r="E1196" s="2" t="n">
        <v>40658.8027777778</v>
      </c>
      <c r="F1196" s="0" t="n">
        <v>1.35</v>
      </c>
      <c r="G1196" s="0" t="n">
        <v>17650</v>
      </c>
      <c r="H1196" s="3" t="s">
        <v>57</v>
      </c>
      <c r="I1196" s="4" t="n">
        <f aca="false">D1196*F1196</f>
        <v>33.75</v>
      </c>
      <c r="J1196" s="3" t="n">
        <f aca="false">IF(AND(LEFT(A1196,1)&lt;&gt;"C",D1196&gt;0,F1196&gt;0),1,0)</f>
        <v>1</v>
      </c>
      <c r="K1196" s="3" t="n">
        <f aca="false">IF(AND(H1196="United Kingdom",G1196&lt;&gt;"",COUNTIFS($G$2:G1196,G1196,$H$2:H1196,"United Kingdom")=1),1,0)</f>
        <v>0</v>
      </c>
    </row>
    <row r="1197" customFormat="false" ht="15" hidden="false" customHeight="false" outlineLevel="0" collapsed="false">
      <c r="A1197" s="0" t="s">
        <v>312</v>
      </c>
      <c r="B1197" s="0" t="s">
        <v>50</v>
      </c>
      <c r="C1197" s="0" t="s">
        <v>51</v>
      </c>
      <c r="D1197" s="0" t="n">
        <v>3</v>
      </c>
      <c r="E1197" s="2" t="n">
        <v>40658.8027777778</v>
      </c>
      <c r="F1197" s="0" t="n">
        <v>5.41</v>
      </c>
      <c r="G1197" s="0" t="n">
        <v>17650</v>
      </c>
      <c r="H1197" s="3" t="s">
        <v>57</v>
      </c>
      <c r="I1197" s="4" t="n">
        <f aca="false">D1197*F1197</f>
        <v>16.23</v>
      </c>
      <c r="J1197" s="3" t="n">
        <f aca="false">IF(AND(LEFT(A1197,1)&lt;&gt;"C",D1197&gt;0,F1197&gt;0),1,0)</f>
        <v>1</v>
      </c>
      <c r="K1197" s="3" t="n">
        <f aca="false">IF(AND(H1197="United Kingdom",G1197&lt;&gt;"",COUNTIFS($G$2:G1197,G1197,$H$2:H1197,"United Kingdom")=1),1,0)</f>
        <v>0</v>
      </c>
    </row>
    <row r="1198" customFormat="false" ht="15" hidden="false" customHeight="false" outlineLevel="0" collapsed="false">
      <c r="A1198" s="0" t="s">
        <v>312</v>
      </c>
      <c r="B1198" s="0" t="s">
        <v>43</v>
      </c>
      <c r="C1198" s="0" t="s">
        <v>44</v>
      </c>
      <c r="D1198" s="0" t="n">
        <v>19</v>
      </c>
      <c r="E1198" s="2" t="n">
        <v>40658.8027777778</v>
      </c>
      <c r="F1198" s="0" t="n">
        <v>1.35</v>
      </c>
      <c r="G1198" s="0" t="n">
        <v>17650</v>
      </c>
      <c r="H1198" s="3" t="s">
        <v>57</v>
      </c>
      <c r="I1198" s="4" t="n">
        <f aca="false">D1198*F1198</f>
        <v>25.65</v>
      </c>
      <c r="J1198" s="3" t="n">
        <f aca="false">IF(AND(LEFT(A1198,1)&lt;&gt;"C",D1198&gt;0,F1198&gt;0),1,0)</f>
        <v>1</v>
      </c>
      <c r="K1198" s="3" t="n">
        <f aca="false">IF(AND(H1198="United Kingdom",G1198&lt;&gt;"",COUNTIFS($G$2:G1198,G1198,$H$2:H1198,"United Kingdom")=1),1,0)</f>
        <v>0</v>
      </c>
    </row>
    <row r="1199" customFormat="false" ht="15" hidden="false" customHeight="false" outlineLevel="0" collapsed="false">
      <c r="A1199" s="0" t="s">
        <v>312</v>
      </c>
      <c r="B1199" s="0" t="s">
        <v>15</v>
      </c>
      <c r="C1199" s="0" t="s">
        <v>16</v>
      </c>
      <c r="D1199" s="0" t="n">
        <v>12</v>
      </c>
      <c r="E1199" s="2" t="n">
        <v>40658.8027777778</v>
      </c>
      <c r="F1199" s="0" t="n">
        <v>3.18</v>
      </c>
      <c r="G1199" s="0" t="n">
        <v>17650</v>
      </c>
      <c r="H1199" s="3" t="s">
        <v>57</v>
      </c>
      <c r="I1199" s="4" t="n">
        <f aca="false">D1199*F1199</f>
        <v>38.16</v>
      </c>
      <c r="J1199" s="3" t="n">
        <f aca="false">IF(AND(LEFT(A1199,1)&lt;&gt;"C",D1199&gt;0,F1199&gt;0),1,0)</f>
        <v>1</v>
      </c>
      <c r="K1199" s="3" t="n">
        <f aca="false">IF(AND(H1199="United Kingdom",G1199&lt;&gt;"",COUNTIFS($G$2:G1199,G1199,$H$2:H1199,"United Kingdom")=1),1,0)</f>
        <v>0</v>
      </c>
    </row>
    <row r="1200" customFormat="false" ht="15" hidden="false" customHeight="false" outlineLevel="0" collapsed="false">
      <c r="A1200" s="0" t="s">
        <v>312</v>
      </c>
      <c r="B1200" s="0" t="s">
        <v>29</v>
      </c>
      <c r="C1200" s="0" t="s">
        <v>30</v>
      </c>
      <c r="D1200" s="0" t="n">
        <v>3</v>
      </c>
      <c r="E1200" s="2" t="n">
        <v>40658.8027777778</v>
      </c>
      <c r="F1200" s="0" t="n">
        <v>5.79</v>
      </c>
      <c r="G1200" s="0" t="n">
        <v>17650</v>
      </c>
      <c r="H1200" s="3" t="s">
        <v>57</v>
      </c>
      <c r="I1200" s="4" t="n">
        <f aca="false">D1200*F1200</f>
        <v>17.37</v>
      </c>
      <c r="J1200" s="3" t="n">
        <f aca="false">IF(AND(LEFT(A1200,1)&lt;&gt;"C",D1200&gt;0,F1200&gt;0),1,0)</f>
        <v>1</v>
      </c>
      <c r="K1200" s="3" t="n">
        <f aca="false">IF(AND(H1200="United Kingdom",G1200&lt;&gt;"",COUNTIFS($G$2:G1200,G1200,$H$2:H1200,"United Kingdom")=1),1,0)</f>
        <v>0</v>
      </c>
    </row>
    <row r="1201" customFormat="false" ht="15" hidden="false" customHeight="false" outlineLevel="0" collapsed="false">
      <c r="A1201" s="0" t="s">
        <v>312</v>
      </c>
      <c r="B1201" s="0" t="s">
        <v>12</v>
      </c>
      <c r="C1201" s="0" t="s">
        <v>13</v>
      </c>
      <c r="D1201" s="0" t="n">
        <v>12</v>
      </c>
      <c r="E1201" s="2" t="n">
        <v>40658.8027777778</v>
      </c>
      <c r="F1201" s="0" t="n">
        <v>3.33</v>
      </c>
      <c r="G1201" s="0" t="n">
        <v>17650</v>
      </c>
      <c r="H1201" s="3" t="s">
        <v>57</v>
      </c>
      <c r="I1201" s="4" t="n">
        <f aca="false">D1201*F1201</f>
        <v>39.96</v>
      </c>
      <c r="J1201" s="3" t="n">
        <f aca="false">IF(AND(LEFT(A1201,1)&lt;&gt;"C",D1201&gt;0,F1201&gt;0),1,0)</f>
        <v>1</v>
      </c>
      <c r="K1201" s="3" t="n">
        <f aca="false">IF(AND(H1201="United Kingdom",G1201&lt;&gt;"",COUNTIFS($G$2:G1201,G1201,$H$2:H1201,"United Kingdom")=1),1,0)</f>
        <v>0</v>
      </c>
    </row>
    <row r="1202" customFormat="false" ht="15" hidden="false" customHeight="false" outlineLevel="0" collapsed="false">
      <c r="A1202" s="0" t="s">
        <v>312</v>
      </c>
      <c r="B1202" s="0" t="s">
        <v>113</v>
      </c>
      <c r="C1202" s="0" t="s">
        <v>114</v>
      </c>
      <c r="D1202" s="0" t="n">
        <v>4</v>
      </c>
      <c r="E1202" s="2" t="n">
        <v>40658.8027777778</v>
      </c>
      <c r="F1202" s="0" t="n">
        <v>3.57</v>
      </c>
      <c r="G1202" s="0" t="n">
        <v>17650</v>
      </c>
      <c r="H1202" s="3" t="s">
        <v>57</v>
      </c>
      <c r="I1202" s="4" t="n">
        <f aca="false">D1202*F1202</f>
        <v>14.28</v>
      </c>
      <c r="J1202" s="3" t="n">
        <f aca="false">IF(AND(LEFT(A1202,1)&lt;&gt;"C",D1202&gt;0,F1202&gt;0),1,0)</f>
        <v>1</v>
      </c>
      <c r="K1202" s="3" t="n">
        <f aca="false">IF(AND(H1202="United Kingdom",G1202&lt;&gt;"",COUNTIFS($G$2:G1202,G1202,$H$2:H1202,"United Kingdom")=1),1,0)</f>
        <v>0</v>
      </c>
    </row>
    <row r="1203" customFormat="false" ht="15" hidden="false" customHeight="false" outlineLevel="0" collapsed="false">
      <c r="A1203" s="0" t="s">
        <v>312</v>
      </c>
      <c r="B1203" s="0" t="s">
        <v>58</v>
      </c>
      <c r="C1203" s="0" t="s">
        <v>59</v>
      </c>
      <c r="D1203" s="0" t="n">
        <v>3</v>
      </c>
      <c r="E1203" s="2" t="n">
        <v>40658.8027777778</v>
      </c>
      <c r="F1203" s="0" t="n">
        <v>2.16</v>
      </c>
      <c r="G1203" s="0" t="n">
        <v>17650</v>
      </c>
      <c r="H1203" s="3" t="s">
        <v>57</v>
      </c>
      <c r="I1203" s="4" t="n">
        <f aca="false">D1203*F1203</f>
        <v>6.48</v>
      </c>
      <c r="J1203" s="3" t="n">
        <f aca="false">IF(AND(LEFT(A1203,1)&lt;&gt;"C",D1203&gt;0,F1203&gt;0),1,0)</f>
        <v>1</v>
      </c>
      <c r="K1203" s="3" t="n">
        <f aca="false">IF(AND(H1203="United Kingdom",G1203&lt;&gt;"",COUNTIFS($G$2:G1203,G1203,$H$2:H1203,"United Kingdom")=1),1,0)</f>
        <v>0</v>
      </c>
    </row>
    <row r="1204" customFormat="false" ht="15" hidden="false" customHeight="false" outlineLevel="0" collapsed="false">
      <c r="A1204" s="0" t="s">
        <v>312</v>
      </c>
      <c r="B1204" s="0" t="s">
        <v>20</v>
      </c>
      <c r="C1204" s="0" t="s">
        <v>21</v>
      </c>
      <c r="D1204" s="0" t="n">
        <v>1</v>
      </c>
      <c r="E1204" s="2" t="n">
        <v>40658.8027777778</v>
      </c>
      <c r="F1204" s="0" t="n">
        <v>4.24</v>
      </c>
      <c r="G1204" s="0" t="n">
        <v>17650</v>
      </c>
      <c r="H1204" s="3" t="s">
        <v>57</v>
      </c>
      <c r="I1204" s="4" t="n">
        <f aca="false">D1204*F1204</f>
        <v>4.24</v>
      </c>
      <c r="J1204" s="3" t="n">
        <f aca="false">IF(AND(LEFT(A1204,1)&lt;&gt;"C",D1204&gt;0,F1204&gt;0),1,0)</f>
        <v>1</v>
      </c>
      <c r="K1204" s="3" t="n">
        <f aca="false">IF(AND(H1204="United Kingdom",G1204&lt;&gt;"",COUNTIFS($G$2:G1204,G1204,$H$2:H1204,"United Kingdom")=1),1,0)</f>
        <v>0</v>
      </c>
    </row>
    <row r="1205" customFormat="false" ht="15" hidden="false" customHeight="false" outlineLevel="0" collapsed="false">
      <c r="A1205" s="0" t="s">
        <v>313</v>
      </c>
      <c r="B1205" s="0" t="s">
        <v>25</v>
      </c>
      <c r="C1205" s="0" t="s">
        <v>26</v>
      </c>
      <c r="D1205" s="0" t="n">
        <v>48</v>
      </c>
      <c r="E1205" s="2" t="n">
        <v>40659.45625</v>
      </c>
      <c r="F1205" s="0" t="n">
        <v>2.21</v>
      </c>
      <c r="H1205" s="3" t="s">
        <v>14</v>
      </c>
      <c r="I1205" s="4" t="n">
        <f aca="false">D1205*F1205</f>
        <v>106.08</v>
      </c>
      <c r="J1205" s="3" t="n">
        <f aca="false">IF(AND(LEFT(A1205,1)&lt;&gt;"C",D1205&gt;0,F1205&gt;0),1,0)</f>
        <v>1</v>
      </c>
      <c r="K1205" s="3" t="n">
        <f aca="false">IF(AND(H1205="United Kingdom",G1205&lt;&gt;"",COUNTIFS($G$2:G1205,G1205,$H$2:H1205,"United Kingdom")=1),1,0)</f>
        <v>0</v>
      </c>
    </row>
    <row r="1206" customFormat="false" ht="15" hidden="false" customHeight="false" outlineLevel="0" collapsed="false">
      <c r="A1206" s="0" t="s">
        <v>313</v>
      </c>
      <c r="B1206" s="0" t="s">
        <v>65</v>
      </c>
      <c r="C1206" s="0" t="s">
        <v>66</v>
      </c>
      <c r="D1206" s="0" t="n">
        <v>36</v>
      </c>
      <c r="E1206" s="2" t="n">
        <v>40659.45625</v>
      </c>
      <c r="F1206" s="0" t="n">
        <v>4.75</v>
      </c>
      <c r="H1206" s="3" t="s">
        <v>14</v>
      </c>
      <c r="I1206" s="4" t="n">
        <f aca="false">D1206*F1206</f>
        <v>171</v>
      </c>
      <c r="J1206" s="3" t="n">
        <f aca="false">IF(AND(LEFT(A1206,1)&lt;&gt;"C",D1206&gt;0,F1206&gt;0),1,0)</f>
        <v>1</v>
      </c>
      <c r="K1206" s="3" t="n">
        <f aca="false">IF(AND(H1206="United Kingdom",G1206&lt;&gt;"",COUNTIFS($G$2:G1206,G1206,$H$2:H1206,"United Kingdom")=1),1,0)</f>
        <v>0</v>
      </c>
    </row>
    <row r="1207" customFormat="false" ht="15" hidden="false" customHeight="false" outlineLevel="0" collapsed="false">
      <c r="A1207" s="0" t="s">
        <v>313</v>
      </c>
      <c r="B1207" s="0" t="s">
        <v>39</v>
      </c>
      <c r="C1207" s="0" t="s">
        <v>40</v>
      </c>
      <c r="D1207" s="0" t="n">
        <v>24</v>
      </c>
      <c r="E1207" s="2" t="n">
        <v>40659.45625</v>
      </c>
      <c r="F1207" s="0" t="n">
        <v>2.58</v>
      </c>
      <c r="H1207" s="3" t="s">
        <v>14</v>
      </c>
      <c r="I1207" s="4" t="n">
        <f aca="false">D1207*F1207</f>
        <v>61.92</v>
      </c>
      <c r="J1207" s="3" t="n">
        <f aca="false">IF(AND(LEFT(A1207,1)&lt;&gt;"C",D1207&gt;0,F1207&gt;0),1,0)</f>
        <v>1</v>
      </c>
      <c r="K1207" s="3" t="n">
        <f aca="false">IF(AND(H1207="United Kingdom",G1207&lt;&gt;"",COUNTIFS($G$2:G1207,G1207,$H$2:H1207,"United Kingdom")=1),1,0)</f>
        <v>0</v>
      </c>
    </row>
    <row r="1208" customFormat="false" ht="15" hidden="false" customHeight="false" outlineLevel="0" collapsed="false">
      <c r="A1208" s="0" t="s">
        <v>313</v>
      </c>
      <c r="B1208" s="0" t="s">
        <v>29</v>
      </c>
      <c r="C1208" s="0" t="s">
        <v>30</v>
      </c>
      <c r="D1208" s="0" t="n">
        <v>48</v>
      </c>
      <c r="E1208" s="2" t="n">
        <v>40659.45625</v>
      </c>
      <c r="F1208" s="0" t="n">
        <v>5.79</v>
      </c>
      <c r="H1208" s="3" t="s">
        <v>14</v>
      </c>
      <c r="I1208" s="4" t="n">
        <f aca="false">D1208*F1208</f>
        <v>277.92</v>
      </c>
      <c r="J1208" s="3" t="n">
        <f aca="false">IF(AND(LEFT(A1208,1)&lt;&gt;"C",D1208&gt;0,F1208&gt;0),1,0)</f>
        <v>1</v>
      </c>
      <c r="K1208" s="3" t="n">
        <f aca="false">IF(AND(H1208="United Kingdom",G1208&lt;&gt;"",COUNTIFS($G$2:G1208,G1208,$H$2:H1208,"United Kingdom")=1),1,0)</f>
        <v>0</v>
      </c>
    </row>
    <row r="1209" customFormat="false" ht="15" hidden="false" customHeight="false" outlineLevel="0" collapsed="false">
      <c r="A1209" s="0" t="s">
        <v>313</v>
      </c>
      <c r="B1209" s="0" t="s">
        <v>43</v>
      </c>
      <c r="C1209" s="0" t="s">
        <v>44</v>
      </c>
      <c r="D1209" s="0" t="n">
        <v>24</v>
      </c>
      <c r="E1209" s="2" t="n">
        <v>40659.45625</v>
      </c>
      <c r="F1209" s="0" t="n">
        <v>1.35</v>
      </c>
      <c r="H1209" s="3" t="s">
        <v>14</v>
      </c>
      <c r="I1209" s="4" t="n">
        <f aca="false">D1209*F1209</f>
        <v>32.4</v>
      </c>
      <c r="J1209" s="3" t="n">
        <f aca="false">IF(AND(LEFT(A1209,1)&lt;&gt;"C",D1209&gt;0,F1209&gt;0),1,0)</f>
        <v>1</v>
      </c>
      <c r="K1209" s="3" t="n">
        <f aca="false">IF(AND(H1209="United Kingdom",G1209&lt;&gt;"",COUNTIFS($G$2:G1209,G1209,$H$2:H1209,"United Kingdom")=1),1,0)</f>
        <v>0</v>
      </c>
    </row>
    <row r="1210" customFormat="false" ht="15" hidden="false" customHeight="false" outlineLevel="0" collapsed="false">
      <c r="A1210" s="0" t="s">
        <v>314</v>
      </c>
      <c r="B1210" s="0" t="s">
        <v>37</v>
      </c>
      <c r="C1210" s="0" t="s">
        <v>38</v>
      </c>
      <c r="D1210" s="0" t="n">
        <v>8</v>
      </c>
      <c r="E1210" s="2" t="n">
        <v>40659.6666666667</v>
      </c>
      <c r="F1210" s="0" t="n">
        <v>1.82</v>
      </c>
      <c r="G1210" s="0" t="n">
        <v>13782</v>
      </c>
      <c r="H1210" s="3" t="s">
        <v>14</v>
      </c>
      <c r="I1210" s="4" t="n">
        <f aca="false">D1210*F1210</f>
        <v>14.56</v>
      </c>
      <c r="J1210" s="3" t="n">
        <f aca="false">IF(AND(LEFT(A1210,1)&lt;&gt;"C",D1210&gt;0,F1210&gt;0),1,0)</f>
        <v>1</v>
      </c>
      <c r="K1210" s="3" t="n">
        <f aca="false">IF(AND(H1210="United Kingdom",G1210&lt;&gt;"",COUNTIFS($G$2:G1210,G1210,$H$2:H1210,"United Kingdom")=1),1,0)</f>
        <v>0</v>
      </c>
    </row>
    <row r="1211" customFormat="false" ht="15" hidden="false" customHeight="false" outlineLevel="0" collapsed="false">
      <c r="A1211" s="0" t="s">
        <v>314</v>
      </c>
      <c r="B1211" s="0" t="s">
        <v>15</v>
      </c>
      <c r="C1211" s="0" t="s">
        <v>16</v>
      </c>
      <c r="D1211" s="0" t="n">
        <v>4</v>
      </c>
      <c r="E1211" s="2" t="n">
        <v>40659.6666666667</v>
      </c>
      <c r="F1211" s="0" t="n">
        <v>3.18</v>
      </c>
      <c r="G1211" s="0" t="n">
        <v>13782</v>
      </c>
      <c r="H1211" s="3" t="s">
        <v>14</v>
      </c>
      <c r="I1211" s="4" t="n">
        <f aca="false">D1211*F1211</f>
        <v>12.72</v>
      </c>
      <c r="J1211" s="3" t="n">
        <f aca="false">IF(AND(LEFT(A1211,1)&lt;&gt;"C",D1211&gt;0,F1211&gt;0),1,0)</f>
        <v>1</v>
      </c>
      <c r="K1211" s="3" t="n">
        <f aca="false">IF(AND(H1211="United Kingdom",G1211&lt;&gt;"",COUNTIFS($G$2:G1211,G1211,$H$2:H1211,"United Kingdom")=1),1,0)</f>
        <v>0</v>
      </c>
    </row>
    <row r="1212" customFormat="false" ht="15" hidden="false" customHeight="false" outlineLevel="0" collapsed="false">
      <c r="A1212" s="0" t="s">
        <v>314</v>
      </c>
      <c r="B1212" s="0" t="s">
        <v>52</v>
      </c>
      <c r="C1212" s="0" t="s">
        <v>53</v>
      </c>
      <c r="D1212" s="0" t="n">
        <v>8</v>
      </c>
      <c r="E1212" s="2" t="n">
        <v>40659.6666666667</v>
      </c>
      <c r="F1212" s="0" t="n">
        <v>4.16</v>
      </c>
      <c r="G1212" s="0" t="n">
        <v>13782</v>
      </c>
      <c r="H1212" s="3" t="s">
        <v>14</v>
      </c>
      <c r="I1212" s="4" t="n">
        <f aca="false">D1212*F1212</f>
        <v>33.28</v>
      </c>
      <c r="J1212" s="3" t="n">
        <f aca="false">IF(AND(LEFT(A1212,1)&lt;&gt;"C",D1212&gt;0,F1212&gt;0),1,0)</f>
        <v>1</v>
      </c>
      <c r="K1212" s="3" t="n">
        <f aca="false">IF(AND(H1212="United Kingdom",G1212&lt;&gt;"",COUNTIFS($G$2:G1212,G1212,$H$2:H1212,"United Kingdom")=1),1,0)</f>
        <v>0</v>
      </c>
    </row>
    <row r="1213" customFormat="false" ht="15" hidden="false" customHeight="false" outlineLevel="0" collapsed="false">
      <c r="A1213" s="0" t="s">
        <v>314</v>
      </c>
      <c r="B1213" s="0" t="s">
        <v>25</v>
      </c>
      <c r="C1213" s="0" t="s">
        <v>26</v>
      </c>
      <c r="D1213" s="0" t="n">
        <v>2</v>
      </c>
      <c r="E1213" s="2" t="n">
        <v>40659.6666666667</v>
      </c>
      <c r="F1213" s="0" t="n">
        <v>2.21</v>
      </c>
      <c r="G1213" s="0" t="n">
        <v>13782</v>
      </c>
      <c r="H1213" s="3" t="s">
        <v>14</v>
      </c>
      <c r="I1213" s="4" t="n">
        <f aca="false">D1213*F1213</f>
        <v>4.42</v>
      </c>
      <c r="J1213" s="3" t="n">
        <f aca="false">IF(AND(LEFT(A1213,1)&lt;&gt;"C",D1213&gt;0,F1213&gt;0),1,0)</f>
        <v>1</v>
      </c>
      <c r="K1213" s="3" t="n">
        <f aca="false">IF(AND(H1213="United Kingdom",G1213&lt;&gt;"",COUNTIFS($G$2:G1213,G1213,$H$2:H1213,"United Kingdom")=1),1,0)</f>
        <v>0</v>
      </c>
    </row>
    <row r="1214" customFormat="false" ht="15" hidden="false" customHeight="false" outlineLevel="0" collapsed="false">
      <c r="A1214" s="0" t="s">
        <v>314</v>
      </c>
      <c r="B1214" s="0" t="s">
        <v>72</v>
      </c>
      <c r="C1214" s="0" t="s">
        <v>73</v>
      </c>
      <c r="D1214" s="0" t="n">
        <v>4</v>
      </c>
      <c r="E1214" s="2" t="n">
        <v>40659.6666666667</v>
      </c>
      <c r="F1214" s="0" t="n">
        <v>2.69</v>
      </c>
      <c r="G1214" s="0" t="n">
        <v>13782</v>
      </c>
      <c r="H1214" s="3" t="s">
        <v>14</v>
      </c>
      <c r="I1214" s="4" t="n">
        <f aca="false">D1214*F1214</f>
        <v>10.76</v>
      </c>
      <c r="J1214" s="3" t="n">
        <f aca="false">IF(AND(LEFT(A1214,1)&lt;&gt;"C",D1214&gt;0,F1214&gt;0),1,0)</f>
        <v>1</v>
      </c>
      <c r="K1214" s="3" t="n">
        <f aca="false">IF(AND(H1214="United Kingdom",G1214&lt;&gt;"",COUNTIFS($G$2:G1214,G1214,$H$2:H1214,"United Kingdom")=1),1,0)</f>
        <v>0</v>
      </c>
    </row>
    <row r="1215" customFormat="false" ht="15" hidden="false" customHeight="false" outlineLevel="0" collapsed="false">
      <c r="A1215" s="0" t="s">
        <v>314</v>
      </c>
      <c r="B1215" s="0" t="s">
        <v>63</v>
      </c>
      <c r="C1215" s="0" t="s">
        <v>64</v>
      </c>
      <c r="D1215" s="0" t="n">
        <v>4</v>
      </c>
      <c r="E1215" s="2" t="n">
        <v>40659.6666666667</v>
      </c>
      <c r="F1215" s="0" t="n">
        <v>2.43</v>
      </c>
      <c r="G1215" s="0" t="n">
        <v>13782</v>
      </c>
      <c r="H1215" s="3" t="s">
        <v>14</v>
      </c>
      <c r="I1215" s="4" t="n">
        <f aca="false">D1215*F1215</f>
        <v>9.72</v>
      </c>
      <c r="J1215" s="3" t="n">
        <f aca="false">IF(AND(LEFT(A1215,1)&lt;&gt;"C",D1215&gt;0,F1215&gt;0),1,0)</f>
        <v>1</v>
      </c>
      <c r="K1215" s="3" t="n">
        <f aca="false">IF(AND(H1215="United Kingdom",G1215&lt;&gt;"",COUNTIFS($G$2:G1215,G1215,$H$2:H1215,"United Kingdom")=1),1,0)</f>
        <v>0</v>
      </c>
    </row>
    <row r="1216" customFormat="false" ht="15" hidden="false" customHeight="false" outlineLevel="0" collapsed="false">
      <c r="A1216" s="0" t="s">
        <v>314</v>
      </c>
      <c r="B1216" s="0" t="s">
        <v>32</v>
      </c>
      <c r="C1216" s="0" t="s">
        <v>33</v>
      </c>
      <c r="D1216" s="0" t="n">
        <v>3</v>
      </c>
      <c r="E1216" s="2" t="n">
        <v>40659.6666666667</v>
      </c>
      <c r="F1216" s="0" t="n">
        <v>1.19</v>
      </c>
      <c r="G1216" s="0" t="n">
        <v>13782</v>
      </c>
      <c r="H1216" s="3" t="s">
        <v>14</v>
      </c>
      <c r="I1216" s="4" t="n">
        <f aca="false">D1216*F1216</f>
        <v>3.57</v>
      </c>
      <c r="J1216" s="3" t="n">
        <f aca="false">IF(AND(LEFT(A1216,1)&lt;&gt;"C",D1216&gt;0,F1216&gt;0),1,0)</f>
        <v>1</v>
      </c>
      <c r="K1216" s="3" t="n">
        <f aca="false">IF(AND(H1216="United Kingdom",G1216&lt;&gt;"",COUNTIFS($G$2:G1216,G1216,$H$2:H1216,"United Kingdom")=1),1,0)</f>
        <v>0</v>
      </c>
    </row>
    <row r="1217" customFormat="false" ht="15" hidden="false" customHeight="false" outlineLevel="0" collapsed="false">
      <c r="A1217" s="0" t="s">
        <v>314</v>
      </c>
      <c r="B1217" s="0" t="s">
        <v>45</v>
      </c>
      <c r="C1217" s="0" t="s">
        <v>46</v>
      </c>
      <c r="D1217" s="0" t="n">
        <v>1</v>
      </c>
      <c r="E1217" s="2" t="n">
        <v>40659.6666666667</v>
      </c>
      <c r="F1217" s="0" t="n">
        <v>4.55</v>
      </c>
      <c r="G1217" s="0" t="n">
        <v>13782</v>
      </c>
      <c r="H1217" s="3" t="s">
        <v>14</v>
      </c>
      <c r="I1217" s="4" t="n">
        <f aca="false">D1217*F1217</f>
        <v>4.55</v>
      </c>
      <c r="J1217" s="3" t="n">
        <f aca="false">IF(AND(LEFT(A1217,1)&lt;&gt;"C",D1217&gt;0,F1217&gt;0),1,0)</f>
        <v>1</v>
      </c>
      <c r="K1217" s="3" t="n">
        <f aca="false">IF(AND(H1217="United Kingdom",G1217&lt;&gt;"",COUNTIFS($G$2:G1217,G1217,$H$2:H1217,"United Kingdom")=1),1,0)</f>
        <v>0</v>
      </c>
    </row>
    <row r="1218" customFormat="false" ht="15" hidden="false" customHeight="false" outlineLevel="0" collapsed="false">
      <c r="A1218" s="0" t="s">
        <v>314</v>
      </c>
      <c r="B1218" s="0" t="s">
        <v>68</v>
      </c>
      <c r="C1218" s="0" t="s">
        <v>69</v>
      </c>
      <c r="D1218" s="0" t="n">
        <v>4</v>
      </c>
      <c r="E1218" s="2" t="n">
        <v>40659.6666666667</v>
      </c>
      <c r="F1218" s="0" t="n">
        <v>1.26</v>
      </c>
      <c r="G1218" s="0" t="n">
        <v>13782</v>
      </c>
      <c r="H1218" s="3" t="s">
        <v>14</v>
      </c>
      <c r="I1218" s="4" t="n">
        <f aca="false">D1218*F1218</f>
        <v>5.04</v>
      </c>
      <c r="J1218" s="3" t="n">
        <f aca="false">IF(AND(LEFT(A1218,1)&lt;&gt;"C",D1218&gt;0,F1218&gt;0),1,0)</f>
        <v>1</v>
      </c>
      <c r="K1218" s="3" t="n">
        <f aca="false">IF(AND(H1218="United Kingdom",G1218&lt;&gt;"",COUNTIFS($G$2:G1218,G1218,$H$2:H1218,"United Kingdom")=1),1,0)</f>
        <v>0</v>
      </c>
    </row>
    <row r="1219" customFormat="false" ht="15" hidden="false" customHeight="false" outlineLevel="0" collapsed="false">
      <c r="A1219" s="0" t="s">
        <v>314</v>
      </c>
      <c r="B1219" s="0" t="s">
        <v>39</v>
      </c>
      <c r="C1219" s="0" t="s">
        <v>40</v>
      </c>
      <c r="D1219" s="0" t="n">
        <v>1</v>
      </c>
      <c r="E1219" s="2" t="n">
        <v>40659.6666666667</v>
      </c>
      <c r="F1219" s="0" t="n">
        <v>2.58</v>
      </c>
      <c r="G1219" s="0" t="n">
        <v>13782</v>
      </c>
      <c r="H1219" s="3" t="s">
        <v>14</v>
      </c>
      <c r="I1219" s="4" t="n">
        <f aca="false">D1219*F1219</f>
        <v>2.58</v>
      </c>
      <c r="J1219" s="3" t="n">
        <f aca="false">IF(AND(LEFT(A1219,1)&lt;&gt;"C",D1219&gt;0,F1219&gt;0),1,0)</f>
        <v>1</v>
      </c>
      <c r="K1219" s="3" t="n">
        <f aca="false">IF(AND(H1219="United Kingdom",G1219&lt;&gt;"",COUNTIFS($G$2:G1219,G1219,$H$2:H1219,"United Kingdom")=1),1,0)</f>
        <v>0</v>
      </c>
    </row>
    <row r="1220" customFormat="false" ht="15" hidden="false" customHeight="false" outlineLevel="0" collapsed="false">
      <c r="A1220" s="0" t="s">
        <v>314</v>
      </c>
      <c r="B1220" s="0" t="s">
        <v>54</v>
      </c>
      <c r="C1220" s="0" t="s">
        <v>55</v>
      </c>
      <c r="D1220" s="0" t="n">
        <v>2</v>
      </c>
      <c r="E1220" s="2" t="n">
        <v>40659.6666666667</v>
      </c>
      <c r="F1220" s="0" t="n">
        <v>0.99</v>
      </c>
      <c r="G1220" s="0" t="n">
        <v>13782</v>
      </c>
      <c r="H1220" s="3" t="s">
        <v>14</v>
      </c>
      <c r="I1220" s="4" t="n">
        <f aca="false">D1220*F1220</f>
        <v>1.98</v>
      </c>
      <c r="J1220" s="3" t="n">
        <f aca="false">IF(AND(LEFT(A1220,1)&lt;&gt;"C",D1220&gt;0,F1220&gt;0),1,0)</f>
        <v>1</v>
      </c>
      <c r="K1220" s="3" t="n">
        <f aca="false">IF(AND(H1220="United Kingdom",G1220&lt;&gt;"",COUNTIFS($G$2:G1220,G1220,$H$2:H1220,"United Kingdom")=1),1,0)</f>
        <v>0</v>
      </c>
    </row>
    <row r="1221" customFormat="false" ht="15" hidden="false" customHeight="false" outlineLevel="0" collapsed="false">
      <c r="A1221" s="0" t="s">
        <v>315</v>
      </c>
      <c r="B1221" s="0" t="s">
        <v>50</v>
      </c>
      <c r="C1221" s="0" t="s">
        <v>51</v>
      </c>
      <c r="D1221" s="0" t="n">
        <v>2</v>
      </c>
      <c r="E1221" s="2" t="n">
        <v>40659.7083333333</v>
      </c>
      <c r="F1221" s="0" t="n">
        <v>5.41</v>
      </c>
      <c r="G1221" s="0" t="n">
        <v>15061</v>
      </c>
      <c r="H1221" s="3" t="s">
        <v>14</v>
      </c>
      <c r="I1221" s="4" t="n">
        <f aca="false">D1221*F1221</f>
        <v>10.82</v>
      </c>
      <c r="J1221" s="3" t="n">
        <f aca="false">IF(AND(LEFT(A1221,1)&lt;&gt;"C",D1221&gt;0,F1221&gt;0),1,0)</f>
        <v>1</v>
      </c>
      <c r="K1221" s="3" t="n">
        <f aca="false">IF(AND(H1221="United Kingdom",G1221&lt;&gt;"",COUNTIFS($G$2:G1221,G1221,$H$2:H1221,"United Kingdom")=1),1,0)</f>
        <v>0</v>
      </c>
    </row>
    <row r="1222" customFormat="false" ht="15" hidden="false" customHeight="false" outlineLevel="0" collapsed="false">
      <c r="A1222" s="0" t="s">
        <v>315</v>
      </c>
      <c r="B1222" s="0" t="s">
        <v>68</v>
      </c>
      <c r="C1222" s="0" t="s">
        <v>69</v>
      </c>
      <c r="D1222" s="0" t="n">
        <v>12</v>
      </c>
      <c r="E1222" s="2" t="n">
        <v>40659.7083333333</v>
      </c>
      <c r="F1222" s="0" t="n">
        <v>1.26</v>
      </c>
      <c r="G1222" s="0" t="n">
        <v>15061</v>
      </c>
      <c r="H1222" s="3" t="s">
        <v>14</v>
      </c>
      <c r="I1222" s="4" t="n">
        <f aca="false">D1222*F1222</f>
        <v>15.12</v>
      </c>
      <c r="J1222" s="3" t="n">
        <f aca="false">IF(AND(LEFT(A1222,1)&lt;&gt;"C",D1222&gt;0,F1222&gt;0),1,0)</f>
        <v>1</v>
      </c>
      <c r="K1222" s="3" t="n">
        <f aca="false">IF(AND(H1222="United Kingdom",G1222&lt;&gt;"",COUNTIFS($G$2:G1222,G1222,$H$2:H1222,"United Kingdom")=1),1,0)</f>
        <v>0</v>
      </c>
    </row>
    <row r="1223" customFormat="false" ht="15" hidden="false" customHeight="false" outlineLevel="0" collapsed="false">
      <c r="A1223" s="0" t="s">
        <v>315</v>
      </c>
      <c r="B1223" s="0" t="s">
        <v>43</v>
      </c>
      <c r="C1223" s="0" t="s">
        <v>44</v>
      </c>
      <c r="D1223" s="0" t="n">
        <v>3</v>
      </c>
      <c r="E1223" s="2" t="n">
        <v>40659.7083333333</v>
      </c>
      <c r="F1223" s="0" t="n">
        <v>1.35</v>
      </c>
      <c r="G1223" s="0" t="n">
        <v>15061</v>
      </c>
      <c r="H1223" s="3" t="s">
        <v>14</v>
      </c>
      <c r="I1223" s="4" t="n">
        <f aca="false">D1223*F1223</f>
        <v>4.05</v>
      </c>
      <c r="J1223" s="3" t="n">
        <f aca="false">IF(AND(LEFT(A1223,1)&lt;&gt;"C",D1223&gt;0,F1223&gt;0),1,0)</f>
        <v>1</v>
      </c>
      <c r="K1223" s="3" t="n">
        <f aca="false">IF(AND(H1223="United Kingdom",G1223&lt;&gt;"",COUNTIFS($G$2:G1223,G1223,$H$2:H1223,"United Kingdom")=1),1,0)</f>
        <v>0</v>
      </c>
    </row>
    <row r="1224" customFormat="false" ht="15" hidden="false" customHeight="false" outlineLevel="0" collapsed="false">
      <c r="A1224" s="0" t="s">
        <v>315</v>
      </c>
      <c r="B1224" s="0" t="s">
        <v>39</v>
      </c>
      <c r="C1224" s="0" t="s">
        <v>40</v>
      </c>
      <c r="D1224" s="0" t="n">
        <v>2</v>
      </c>
      <c r="E1224" s="2" t="n">
        <v>40659.7083333333</v>
      </c>
      <c r="F1224" s="0" t="n">
        <v>2.58</v>
      </c>
      <c r="G1224" s="0" t="n">
        <v>15061</v>
      </c>
      <c r="H1224" s="3" t="s">
        <v>14</v>
      </c>
      <c r="I1224" s="4" t="n">
        <f aca="false">D1224*F1224</f>
        <v>5.16</v>
      </c>
      <c r="J1224" s="3" t="n">
        <f aca="false">IF(AND(LEFT(A1224,1)&lt;&gt;"C",D1224&gt;0,F1224&gt;0),1,0)</f>
        <v>1</v>
      </c>
      <c r="K1224" s="3" t="n">
        <f aca="false">IF(AND(H1224="United Kingdom",G1224&lt;&gt;"",COUNTIFS($G$2:G1224,G1224,$H$2:H1224,"United Kingdom")=1),1,0)</f>
        <v>0</v>
      </c>
    </row>
    <row r="1225" customFormat="false" ht="15" hidden="false" customHeight="false" outlineLevel="0" collapsed="false">
      <c r="A1225" s="0" t="s">
        <v>315</v>
      </c>
      <c r="B1225" s="0" t="s">
        <v>75</v>
      </c>
      <c r="C1225" s="0" t="s">
        <v>76</v>
      </c>
      <c r="D1225" s="0" t="n">
        <v>8</v>
      </c>
      <c r="E1225" s="2" t="n">
        <v>40659.7083333333</v>
      </c>
      <c r="F1225" s="0" t="n">
        <v>1.97</v>
      </c>
      <c r="G1225" s="0" t="n">
        <v>15061</v>
      </c>
      <c r="H1225" s="3" t="s">
        <v>14</v>
      </c>
      <c r="I1225" s="4" t="n">
        <f aca="false">D1225*F1225</f>
        <v>15.76</v>
      </c>
      <c r="J1225" s="3" t="n">
        <f aca="false">IF(AND(LEFT(A1225,1)&lt;&gt;"C",D1225&gt;0,F1225&gt;0),1,0)</f>
        <v>1</v>
      </c>
      <c r="K1225" s="3" t="n">
        <f aca="false">IF(AND(H1225="United Kingdom",G1225&lt;&gt;"",COUNTIFS($G$2:G1225,G1225,$H$2:H1225,"United Kingdom")=1),1,0)</f>
        <v>0</v>
      </c>
    </row>
    <row r="1226" customFormat="false" ht="15" hidden="false" customHeight="false" outlineLevel="0" collapsed="false">
      <c r="A1226" s="0" t="s">
        <v>315</v>
      </c>
      <c r="B1226" s="0" t="s">
        <v>52</v>
      </c>
      <c r="C1226" s="0" t="s">
        <v>53</v>
      </c>
      <c r="D1226" s="0" t="n">
        <v>12</v>
      </c>
      <c r="E1226" s="2" t="n">
        <v>40659.7083333333</v>
      </c>
      <c r="F1226" s="0" t="n">
        <v>4.16</v>
      </c>
      <c r="G1226" s="0" t="n">
        <v>15061</v>
      </c>
      <c r="H1226" s="3" t="s">
        <v>14</v>
      </c>
      <c r="I1226" s="4" t="n">
        <f aca="false">D1226*F1226</f>
        <v>49.92</v>
      </c>
      <c r="J1226" s="3" t="n">
        <f aca="false">IF(AND(LEFT(A1226,1)&lt;&gt;"C",D1226&gt;0,F1226&gt;0),1,0)</f>
        <v>1</v>
      </c>
      <c r="K1226" s="3" t="n">
        <f aca="false">IF(AND(H1226="United Kingdom",G1226&lt;&gt;"",COUNTIFS($G$2:G1226,G1226,$H$2:H1226,"United Kingdom")=1),1,0)</f>
        <v>0</v>
      </c>
    </row>
    <row r="1227" customFormat="false" ht="15" hidden="false" customHeight="false" outlineLevel="0" collapsed="false">
      <c r="A1227" s="0" t="s">
        <v>316</v>
      </c>
      <c r="B1227" s="0" t="s">
        <v>113</v>
      </c>
      <c r="C1227" s="0" t="s">
        <v>114</v>
      </c>
      <c r="D1227" s="0" t="n">
        <v>3</v>
      </c>
      <c r="E1227" s="2" t="n">
        <v>40659.7895833333</v>
      </c>
      <c r="F1227" s="0" t="n">
        <v>3.57</v>
      </c>
      <c r="G1227" s="0" t="n">
        <v>13280</v>
      </c>
      <c r="H1227" s="3" t="s">
        <v>14</v>
      </c>
      <c r="I1227" s="4" t="n">
        <f aca="false">D1227*F1227</f>
        <v>10.71</v>
      </c>
      <c r="J1227" s="3" t="n">
        <f aca="false">IF(AND(LEFT(A1227,1)&lt;&gt;"C",D1227&gt;0,F1227&gt;0),1,0)</f>
        <v>1</v>
      </c>
      <c r="K1227" s="3" t="n">
        <f aca="false">IF(AND(H1227="United Kingdom",G1227&lt;&gt;"",COUNTIFS($G$2:G1227,G1227,$H$2:H1227,"United Kingdom")=1),1,0)</f>
        <v>0</v>
      </c>
    </row>
    <row r="1228" customFormat="false" ht="15" hidden="false" customHeight="false" outlineLevel="0" collapsed="false">
      <c r="A1228" s="0" t="s">
        <v>316</v>
      </c>
      <c r="B1228" s="0" t="s">
        <v>25</v>
      </c>
      <c r="C1228" s="0" t="s">
        <v>26</v>
      </c>
      <c r="D1228" s="0" t="n">
        <v>6</v>
      </c>
      <c r="E1228" s="2" t="n">
        <v>40659.7895833333</v>
      </c>
      <c r="F1228" s="0" t="n">
        <v>2.21</v>
      </c>
      <c r="G1228" s="0" t="n">
        <v>13280</v>
      </c>
      <c r="H1228" s="3" t="s">
        <v>14</v>
      </c>
      <c r="I1228" s="4" t="n">
        <f aca="false">D1228*F1228</f>
        <v>13.26</v>
      </c>
      <c r="J1228" s="3" t="n">
        <f aca="false">IF(AND(LEFT(A1228,1)&lt;&gt;"C",D1228&gt;0,F1228&gt;0),1,0)</f>
        <v>1</v>
      </c>
      <c r="K1228" s="3" t="n">
        <f aca="false">IF(AND(H1228="United Kingdom",G1228&lt;&gt;"",COUNTIFS($G$2:G1228,G1228,$H$2:H1228,"United Kingdom")=1),1,0)</f>
        <v>0</v>
      </c>
    </row>
    <row r="1229" customFormat="false" ht="15" hidden="false" customHeight="false" outlineLevel="0" collapsed="false">
      <c r="A1229" s="0" t="s">
        <v>317</v>
      </c>
      <c r="B1229" s="0" t="s">
        <v>72</v>
      </c>
      <c r="C1229" s="0" t="s">
        <v>73</v>
      </c>
      <c r="D1229" s="0" t="n">
        <v>1</v>
      </c>
      <c r="E1229" s="2" t="n">
        <v>40660.41875</v>
      </c>
      <c r="F1229" s="0" t="n">
        <v>2.69</v>
      </c>
      <c r="G1229" s="0" t="n">
        <v>15308</v>
      </c>
      <c r="H1229" s="3" t="s">
        <v>14</v>
      </c>
      <c r="I1229" s="4" t="n">
        <f aca="false">D1229*F1229</f>
        <v>2.69</v>
      </c>
      <c r="J1229" s="3" t="n">
        <f aca="false">IF(AND(LEFT(A1229,1)&lt;&gt;"C",D1229&gt;0,F1229&gt;0),1,0)</f>
        <v>1</v>
      </c>
      <c r="K1229" s="3" t="n">
        <f aca="false">IF(AND(H1229="United Kingdom",G1229&lt;&gt;"",COUNTIFS($G$2:G1229,G1229,$H$2:H1229,"United Kingdom")=1),1,0)</f>
        <v>0</v>
      </c>
    </row>
    <row r="1230" customFormat="false" ht="15" hidden="false" customHeight="false" outlineLevel="0" collapsed="false">
      <c r="A1230" s="0" t="s">
        <v>317</v>
      </c>
      <c r="B1230" s="0" t="s">
        <v>54</v>
      </c>
      <c r="C1230" s="0" t="s">
        <v>55</v>
      </c>
      <c r="D1230" s="0" t="n">
        <v>24</v>
      </c>
      <c r="E1230" s="2" t="n">
        <v>40660.41875</v>
      </c>
      <c r="F1230" s="0" t="n">
        <v>0.99</v>
      </c>
      <c r="G1230" s="0" t="n">
        <v>15308</v>
      </c>
      <c r="H1230" s="3" t="s">
        <v>14</v>
      </c>
      <c r="I1230" s="4" t="n">
        <f aca="false">D1230*F1230</f>
        <v>23.76</v>
      </c>
      <c r="J1230" s="3" t="n">
        <f aca="false">IF(AND(LEFT(A1230,1)&lt;&gt;"C",D1230&gt;0,F1230&gt;0),1,0)</f>
        <v>1</v>
      </c>
      <c r="K1230" s="3" t="n">
        <f aca="false">IF(AND(H1230="United Kingdom",G1230&lt;&gt;"",COUNTIFS($G$2:G1230,G1230,$H$2:H1230,"United Kingdom")=1),1,0)</f>
        <v>0</v>
      </c>
    </row>
    <row r="1231" customFormat="false" ht="15" hidden="false" customHeight="false" outlineLevel="0" collapsed="false">
      <c r="A1231" s="0" t="s">
        <v>317</v>
      </c>
      <c r="B1231" s="0" t="s">
        <v>65</v>
      </c>
      <c r="C1231" s="0" t="s">
        <v>66</v>
      </c>
      <c r="D1231" s="0" t="n">
        <v>4</v>
      </c>
      <c r="E1231" s="2" t="n">
        <v>40660.41875</v>
      </c>
      <c r="F1231" s="0" t="n">
        <v>4.75</v>
      </c>
      <c r="G1231" s="0" t="n">
        <v>15308</v>
      </c>
      <c r="H1231" s="3" t="s">
        <v>14</v>
      </c>
      <c r="I1231" s="4" t="n">
        <f aca="false">D1231*F1231</f>
        <v>19</v>
      </c>
      <c r="J1231" s="3" t="n">
        <f aca="false">IF(AND(LEFT(A1231,1)&lt;&gt;"C",D1231&gt;0,F1231&gt;0),1,0)</f>
        <v>1</v>
      </c>
      <c r="K1231" s="3" t="n">
        <f aca="false">IF(AND(H1231="United Kingdom",G1231&lt;&gt;"",COUNTIFS($G$2:G1231,G1231,$H$2:H1231,"United Kingdom")=1),1,0)</f>
        <v>0</v>
      </c>
    </row>
    <row r="1232" customFormat="false" ht="15" hidden="false" customHeight="false" outlineLevel="0" collapsed="false">
      <c r="A1232" s="0" t="s">
        <v>317</v>
      </c>
      <c r="B1232" s="0" t="s">
        <v>63</v>
      </c>
      <c r="C1232" s="0" t="s">
        <v>64</v>
      </c>
      <c r="D1232" s="0" t="n">
        <v>2</v>
      </c>
      <c r="E1232" s="2" t="n">
        <v>40660.41875</v>
      </c>
      <c r="F1232" s="0" t="n">
        <v>2.43</v>
      </c>
      <c r="G1232" s="0" t="n">
        <v>15308</v>
      </c>
      <c r="H1232" s="3" t="s">
        <v>14</v>
      </c>
      <c r="I1232" s="4" t="n">
        <f aca="false">D1232*F1232</f>
        <v>4.86</v>
      </c>
      <c r="J1232" s="3" t="n">
        <f aca="false">IF(AND(LEFT(A1232,1)&lt;&gt;"C",D1232&gt;0,F1232&gt;0),1,0)</f>
        <v>1</v>
      </c>
      <c r="K1232" s="3" t="n">
        <f aca="false">IF(AND(H1232="United Kingdom",G1232&lt;&gt;"",COUNTIFS($G$2:G1232,G1232,$H$2:H1232,"United Kingdom")=1),1,0)</f>
        <v>0</v>
      </c>
    </row>
    <row r="1233" customFormat="false" ht="15" hidden="false" customHeight="false" outlineLevel="0" collapsed="false">
      <c r="A1233" s="0" t="s">
        <v>317</v>
      </c>
      <c r="B1233" s="0" t="s">
        <v>80</v>
      </c>
      <c r="C1233" s="0" t="s">
        <v>81</v>
      </c>
      <c r="D1233" s="0" t="n">
        <v>4</v>
      </c>
      <c r="E1233" s="2" t="n">
        <v>40660.41875</v>
      </c>
      <c r="F1233" s="0" t="n">
        <v>1.53</v>
      </c>
      <c r="G1233" s="0" t="n">
        <v>15308</v>
      </c>
      <c r="H1233" s="3" t="s">
        <v>14</v>
      </c>
      <c r="I1233" s="4" t="n">
        <f aca="false">D1233*F1233</f>
        <v>6.12</v>
      </c>
      <c r="J1233" s="3" t="n">
        <f aca="false">IF(AND(LEFT(A1233,1)&lt;&gt;"C",D1233&gt;0,F1233&gt;0),1,0)</f>
        <v>1</v>
      </c>
      <c r="K1233" s="3" t="n">
        <f aca="false">IF(AND(H1233="United Kingdom",G1233&lt;&gt;"",COUNTIFS($G$2:G1233,G1233,$H$2:H1233,"United Kingdom")=1),1,0)</f>
        <v>0</v>
      </c>
    </row>
    <row r="1234" customFormat="false" ht="15" hidden="false" customHeight="false" outlineLevel="0" collapsed="false">
      <c r="A1234" s="0" t="s">
        <v>317</v>
      </c>
      <c r="B1234" s="0" t="s">
        <v>52</v>
      </c>
      <c r="C1234" s="0" t="s">
        <v>53</v>
      </c>
      <c r="D1234" s="0" t="n">
        <v>6</v>
      </c>
      <c r="E1234" s="2" t="n">
        <v>40660.41875</v>
      </c>
      <c r="F1234" s="0" t="n">
        <v>4.16</v>
      </c>
      <c r="G1234" s="0" t="n">
        <v>15308</v>
      </c>
      <c r="H1234" s="3" t="s">
        <v>14</v>
      </c>
      <c r="I1234" s="4" t="n">
        <f aca="false">D1234*F1234</f>
        <v>24.96</v>
      </c>
      <c r="J1234" s="3" t="n">
        <f aca="false">IF(AND(LEFT(A1234,1)&lt;&gt;"C",D1234&gt;0,F1234&gt;0),1,0)</f>
        <v>1</v>
      </c>
      <c r="K1234" s="3" t="n">
        <f aca="false">IF(AND(H1234="United Kingdom",G1234&lt;&gt;"",COUNTIFS($G$2:G1234,G1234,$H$2:H1234,"United Kingdom")=1),1,0)</f>
        <v>0</v>
      </c>
    </row>
    <row r="1235" customFormat="false" ht="15" hidden="false" customHeight="false" outlineLevel="0" collapsed="false">
      <c r="A1235" s="0" t="s">
        <v>318</v>
      </c>
      <c r="B1235" s="0" t="s">
        <v>34</v>
      </c>
      <c r="C1235" s="0" t="s">
        <v>35</v>
      </c>
      <c r="D1235" s="0" t="n">
        <v>288</v>
      </c>
      <c r="E1235" s="2" t="n">
        <v>40661.3979166667</v>
      </c>
      <c r="F1235" s="0" t="n">
        <v>2.38</v>
      </c>
      <c r="G1235" s="0" t="n">
        <v>17690</v>
      </c>
      <c r="H1235" s="3" t="s">
        <v>14</v>
      </c>
      <c r="I1235" s="4" t="n">
        <f aca="false">D1235*F1235</f>
        <v>685.44</v>
      </c>
      <c r="J1235" s="3" t="n">
        <f aca="false">IF(AND(LEFT(A1235,1)&lt;&gt;"C",D1235&gt;0,F1235&gt;0),1,0)</f>
        <v>1</v>
      </c>
      <c r="K1235" s="3" t="n">
        <f aca="false">IF(AND(H1235="United Kingdom",G1235&lt;&gt;"",COUNTIFS($G$2:G1235,G1235,$H$2:H1235,"United Kingdom")=1),1,0)</f>
        <v>0</v>
      </c>
    </row>
    <row r="1236" customFormat="false" ht="15" hidden="false" customHeight="false" outlineLevel="0" collapsed="false">
      <c r="A1236" s="0" t="s">
        <v>318</v>
      </c>
      <c r="B1236" s="0" t="s">
        <v>52</v>
      </c>
      <c r="C1236" s="0" t="s">
        <v>53</v>
      </c>
      <c r="D1236" s="0" t="n">
        <v>24</v>
      </c>
      <c r="E1236" s="2" t="n">
        <v>40661.3979166667</v>
      </c>
      <c r="F1236" s="0" t="n">
        <v>4.16</v>
      </c>
      <c r="G1236" s="0" t="n">
        <v>17690</v>
      </c>
      <c r="H1236" s="3" t="s">
        <v>14</v>
      </c>
      <c r="I1236" s="4" t="n">
        <f aca="false">D1236*F1236</f>
        <v>99.84</v>
      </c>
      <c r="J1236" s="3" t="n">
        <f aca="false">IF(AND(LEFT(A1236,1)&lt;&gt;"C",D1236&gt;0,F1236&gt;0),1,0)</f>
        <v>1</v>
      </c>
      <c r="K1236" s="3" t="n">
        <f aca="false">IF(AND(H1236="United Kingdom",G1236&lt;&gt;"",COUNTIFS($G$2:G1236,G1236,$H$2:H1236,"United Kingdom")=1),1,0)</f>
        <v>0</v>
      </c>
    </row>
    <row r="1237" customFormat="false" ht="15" hidden="false" customHeight="false" outlineLevel="0" collapsed="false">
      <c r="A1237" s="0" t="s">
        <v>318</v>
      </c>
      <c r="B1237" s="0" t="s">
        <v>50</v>
      </c>
      <c r="C1237" s="0" t="s">
        <v>51</v>
      </c>
      <c r="D1237" s="0" t="n">
        <v>24</v>
      </c>
      <c r="E1237" s="2" t="n">
        <v>40661.3979166667</v>
      </c>
      <c r="F1237" s="0" t="n">
        <v>5.41</v>
      </c>
      <c r="G1237" s="0" t="n">
        <v>17690</v>
      </c>
      <c r="H1237" s="3" t="s">
        <v>14</v>
      </c>
      <c r="I1237" s="4" t="n">
        <f aca="false">D1237*F1237</f>
        <v>129.84</v>
      </c>
      <c r="J1237" s="3" t="n">
        <f aca="false">IF(AND(LEFT(A1237,1)&lt;&gt;"C",D1237&gt;0,F1237&gt;0),1,0)</f>
        <v>1</v>
      </c>
      <c r="K1237" s="3" t="n">
        <f aca="false">IF(AND(H1237="United Kingdom",G1237&lt;&gt;"",COUNTIFS($G$2:G1237,G1237,$H$2:H1237,"United Kingdom")=1),1,0)</f>
        <v>0</v>
      </c>
    </row>
    <row r="1238" customFormat="false" ht="15" hidden="false" customHeight="false" outlineLevel="0" collapsed="false">
      <c r="A1238" s="0" t="s">
        <v>318</v>
      </c>
      <c r="B1238" s="0" t="s">
        <v>58</v>
      </c>
      <c r="C1238" s="0" t="s">
        <v>59</v>
      </c>
      <c r="D1238" s="0" t="n">
        <v>288</v>
      </c>
      <c r="E1238" s="2" t="n">
        <v>40661.3979166667</v>
      </c>
      <c r="F1238" s="0" t="n">
        <v>2.16</v>
      </c>
      <c r="G1238" s="0" t="n">
        <v>17690</v>
      </c>
      <c r="H1238" s="3" t="s">
        <v>14</v>
      </c>
      <c r="I1238" s="4" t="n">
        <f aca="false">D1238*F1238</f>
        <v>622.08</v>
      </c>
      <c r="J1238" s="3" t="n">
        <f aca="false">IF(AND(LEFT(A1238,1)&lt;&gt;"C",D1238&gt;0,F1238&gt;0),1,0)</f>
        <v>1</v>
      </c>
      <c r="K1238" s="3" t="n">
        <f aca="false">IF(AND(H1238="United Kingdom",G1238&lt;&gt;"",COUNTIFS($G$2:G1238,G1238,$H$2:H1238,"United Kingdom")=1),1,0)</f>
        <v>0</v>
      </c>
    </row>
    <row r="1239" customFormat="false" ht="15" hidden="false" customHeight="false" outlineLevel="0" collapsed="false">
      <c r="A1239" s="0" t="s">
        <v>318</v>
      </c>
      <c r="B1239" s="0" t="s">
        <v>15</v>
      </c>
      <c r="C1239" s="0" t="s">
        <v>16</v>
      </c>
      <c r="D1239" s="0" t="n">
        <v>576</v>
      </c>
      <c r="E1239" s="2" t="n">
        <v>40661.3979166667</v>
      </c>
      <c r="F1239" s="0" t="n">
        <v>3.18</v>
      </c>
      <c r="G1239" s="0" t="n">
        <v>17690</v>
      </c>
      <c r="H1239" s="3" t="s">
        <v>14</v>
      </c>
      <c r="I1239" s="4" t="n">
        <f aca="false">D1239*F1239</f>
        <v>1831.68</v>
      </c>
      <c r="J1239" s="3" t="n">
        <f aca="false">IF(AND(LEFT(A1239,1)&lt;&gt;"C",D1239&gt;0,F1239&gt;0),1,0)</f>
        <v>1</v>
      </c>
      <c r="K1239" s="3" t="n">
        <f aca="false">IF(AND(H1239="United Kingdom",G1239&lt;&gt;"",COUNTIFS($G$2:G1239,G1239,$H$2:H1239,"United Kingdom")=1),1,0)</f>
        <v>0</v>
      </c>
    </row>
    <row r="1240" customFormat="false" ht="15" hidden="false" customHeight="false" outlineLevel="0" collapsed="false">
      <c r="A1240" s="0" t="s">
        <v>318</v>
      </c>
      <c r="B1240" s="0" t="s">
        <v>80</v>
      </c>
      <c r="C1240" s="0" t="s">
        <v>81</v>
      </c>
      <c r="D1240" s="0" t="n">
        <v>216</v>
      </c>
      <c r="E1240" s="2" t="n">
        <v>40661.3979166667</v>
      </c>
      <c r="F1240" s="0" t="n">
        <v>1.53</v>
      </c>
      <c r="G1240" s="0" t="n">
        <v>17690</v>
      </c>
      <c r="H1240" s="3" t="s">
        <v>14</v>
      </c>
      <c r="I1240" s="4" t="n">
        <f aca="false">D1240*F1240</f>
        <v>330.48</v>
      </c>
      <c r="J1240" s="3" t="n">
        <f aca="false">IF(AND(LEFT(A1240,1)&lt;&gt;"C",D1240&gt;0,F1240&gt;0),1,0)</f>
        <v>1</v>
      </c>
      <c r="K1240" s="3" t="n">
        <f aca="false">IF(AND(H1240="United Kingdom",G1240&lt;&gt;"",COUNTIFS($G$2:G1240,G1240,$H$2:H1240,"United Kingdom")=1),1,0)</f>
        <v>0</v>
      </c>
    </row>
    <row r="1241" customFormat="false" ht="15" hidden="false" customHeight="false" outlineLevel="0" collapsed="false">
      <c r="A1241" s="0" t="s">
        <v>318</v>
      </c>
      <c r="B1241" s="0" t="s">
        <v>20</v>
      </c>
      <c r="C1241" s="0" t="s">
        <v>21</v>
      </c>
      <c r="D1241" s="0" t="n">
        <v>6</v>
      </c>
      <c r="E1241" s="2" t="n">
        <v>40661.3979166667</v>
      </c>
      <c r="F1241" s="0" t="n">
        <v>4.24</v>
      </c>
      <c r="G1241" s="0" t="n">
        <v>17690</v>
      </c>
      <c r="H1241" s="3" t="s">
        <v>14</v>
      </c>
      <c r="I1241" s="4" t="n">
        <f aca="false">D1241*F1241</f>
        <v>25.44</v>
      </c>
      <c r="J1241" s="3" t="n">
        <f aca="false">IF(AND(LEFT(A1241,1)&lt;&gt;"C",D1241&gt;0,F1241&gt;0),1,0)</f>
        <v>1</v>
      </c>
      <c r="K1241" s="3" t="n">
        <f aca="false">IF(AND(H1241="United Kingdom",G1241&lt;&gt;"",COUNTIFS($G$2:G1241,G1241,$H$2:H1241,"United Kingdom")=1),1,0)</f>
        <v>0</v>
      </c>
    </row>
    <row r="1242" customFormat="false" ht="15" hidden="false" customHeight="false" outlineLevel="0" collapsed="false">
      <c r="A1242" s="0" t="s">
        <v>318</v>
      </c>
      <c r="B1242" s="0" t="s">
        <v>75</v>
      </c>
      <c r="C1242" s="0" t="s">
        <v>76</v>
      </c>
      <c r="D1242" s="0" t="n">
        <v>24</v>
      </c>
      <c r="E1242" s="2" t="n">
        <v>40661.3979166667</v>
      </c>
      <c r="F1242" s="0" t="n">
        <v>1.97</v>
      </c>
      <c r="G1242" s="0" t="n">
        <v>17690</v>
      </c>
      <c r="H1242" s="3" t="s">
        <v>14</v>
      </c>
      <c r="I1242" s="4" t="n">
        <f aca="false">D1242*F1242</f>
        <v>47.28</v>
      </c>
      <c r="J1242" s="3" t="n">
        <f aca="false">IF(AND(LEFT(A1242,1)&lt;&gt;"C",D1242&gt;0,F1242&gt;0),1,0)</f>
        <v>1</v>
      </c>
      <c r="K1242" s="3" t="n">
        <f aca="false">IF(AND(H1242="United Kingdom",G1242&lt;&gt;"",COUNTIFS($G$2:G1242,G1242,$H$2:H1242,"United Kingdom")=1),1,0)</f>
        <v>0</v>
      </c>
    </row>
    <row r="1243" customFormat="false" ht="15" hidden="false" customHeight="false" outlineLevel="0" collapsed="false">
      <c r="A1243" s="0" t="s">
        <v>318</v>
      </c>
      <c r="B1243" s="0" t="s">
        <v>12</v>
      </c>
      <c r="C1243" s="0" t="s">
        <v>13</v>
      </c>
      <c r="D1243" s="0" t="n">
        <v>864</v>
      </c>
      <c r="E1243" s="2" t="n">
        <v>40661.3979166667</v>
      </c>
      <c r="F1243" s="0" t="n">
        <v>3.33</v>
      </c>
      <c r="G1243" s="0" t="n">
        <v>17690</v>
      </c>
      <c r="H1243" s="3" t="s">
        <v>14</v>
      </c>
      <c r="I1243" s="4" t="n">
        <f aca="false">D1243*F1243</f>
        <v>2877.12</v>
      </c>
      <c r="J1243" s="3" t="n">
        <f aca="false">IF(AND(LEFT(A1243,1)&lt;&gt;"C",D1243&gt;0,F1243&gt;0),1,0)</f>
        <v>1</v>
      </c>
      <c r="K1243" s="3" t="n">
        <f aca="false">IF(AND(H1243="United Kingdom",G1243&lt;&gt;"",COUNTIFS($G$2:G1243,G1243,$H$2:H1243,"United Kingdom")=1),1,0)</f>
        <v>0</v>
      </c>
    </row>
    <row r="1244" customFormat="false" ht="15" hidden="false" customHeight="false" outlineLevel="0" collapsed="false">
      <c r="A1244" s="0" t="s">
        <v>318</v>
      </c>
      <c r="B1244" s="0" t="s">
        <v>41</v>
      </c>
      <c r="C1244" s="0" t="s">
        <v>42</v>
      </c>
      <c r="D1244" s="0" t="n">
        <v>384</v>
      </c>
      <c r="E1244" s="2" t="n">
        <v>40661.3979166667</v>
      </c>
      <c r="F1244" s="0" t="n">
        <v>3.28</v>
      </c>
      <c r="G1244" s="0" t="n">
        <v>17690</v>
      </c>
      <c r="H1244" s="3" t="s">
        <v>14</v>
      </c>
      <c r="I1244" s="4" t="n">
        <f aca="false">D1244*F1244</f>
        <v>1259.52</v>
      </c>
      <c r="J1244" s="3" t="n">
        <f aca="false">IF(AND(LEFT(A1244,1)&lt;&gt;"C",D1244&gt;0,F1244&gt;0),1,0)</f>
        <v>1</v>
      </c>
      <c r="K1244" s="3" t="n">
        <f aca="false">IF(AND(H1244="United Kingdom",G1244&lt;&gt;"",COUNTIFS($G$2:G1244,G1244,$H$2:H1244,"United Kingdom")=1),1,0)</f>
        <v>0</v>
      </c>
    </row>
    <row r="1245" customFormat="false" ht="15" hidden="false" customHeight="false" outlineLevel="0" collapsed="false">
      <c r="A1245" s="0" t="s">
        <v>318</v>
      </c>
      <c r="B1245" s="0" t="s">
        <v>22</v>
      </c>
      <c r="C1245" s="0" t="s">
        <v>23</v>
      </c>
      <c r="D1245" s="0" t="n">
        <v>96</v>
      </c>
      <c r="E1245" s="2" t="n">
        <v>40661.3979166667</v>
      </c>
      <c r="F1245" s="0" t="n">
        <v>3.18</v>
      </c>
      <c r="G1245" s="0" t="n">
        <v>17690</v>
      </c>
      <c r="H1245" s="3" t="s">
        <v>14</v>
      </c>
      <c r="I1245" s="4" t="n">
        <f aca="false">D1245*F1245</f>
        <v>305.28</v>
      </c>
      <c r="J1245" s="3" t="n">
        <f aca="false">IF(AND(LEFT(A1245,1)&lt;&gt;"C",D1245&gt;0,F1245&gt;0),1,0)</f>
        <v>1</v>
      </c>
      <c r="K1245" s="3" t="n">
        <f aca="false">IF(AND(H1245="United Kingdom",G1245&lt;&gt;"",COUNTIFS($G$2:G1245,G1245,$H$2:H1245,"United Kingdom")=1),1,0)</f>
        <v>0</v>
      </c>
    </row>
    <row r="1246" customFormat="false" ht="15" hidden="false" customHeight="false" outlineLevel="0" collapsed="false">
      <c r="A1246" s="0" t="s">
        <v>318</v>
      </c>
      <c r="B1246" s="0" t="s">
        <v>25</v>
      </c>
      <c r="C1246" s="0" t="s">
        <v>26</v>
      </c>
      <c r="D1246" s="0" t="n">
        <v>48</v>
      </c>
      <c r="E1246" s="2" t="n">
        <v>40661.3979166667</v>
      </c>
      <c r="F1246" s="0" t="n">
        <v>2.21</v>
      </c>
      <c r="G1246" s="0" t="n">
        <v>17690</v>
      </c>
      <c r="H1246" s="3" t="s">
        <v>14</v>
      </c>
      <c r="I1246" s="4" t="n">
        <f aca="false">D1246*F1246</f>
        <v>106.08</v>
      </c>
      <c r="J1246" s="3" t="n">
        <f aca="false">IF(AND(LEFT(A1246,1)&lt;&gt;"C",D1246&gt;0,F1246&gt;0),1,0)</f>
        <v>1</v>
      </c>
      <c r="K1246" s="3" t="n">
        <f aca="false">IF(AND(H1246="United Kingdom",G1246&lt;&gt;"",COUNTIFS($G$2:G1246,G1246,$H$2:H1246,"United Kingdom")=1),1,0)</f>
        <v>0</v>
      </c>
    </row>
    <row r="1247" customFormat="false" ht="15" hidden="false" customHeight="false" outlineLevel="0" collapsed="false">
      <c r="A1247" s="0" t="s">
        <v>319</v>
      </c>
      <c r="B1247" s="0" t="s">
        <v>75</v>
      </c>
      <c r="C1247" s="0" t="s">
        <v>76</v>
      </c>
      <c r="D1247" s="0" t="n">
        <v>1</v>
      </c>
      <c r="E1247" s="2" t="n">
        <v>40661.4020833333</v>
      </c>
      <c r="F1247" s="0" t="n">
        <v>1.97</v>
      </c>
      <c r="G1247" s="0" t="n">
        <v>17669</v>
      </c>
      <c r="H1247" s="3" t="s">
        <v>14</v>
      </c>
      <c r="I1247" s="4" t="n">
        <f aca="false">D1247*F1247</f>
        <v>1.97</v>
      </c>
      <c r="J1247" s="3" t="n">
        <f aca="false">IF(AND(LEFT(A1247,1)&lt;&gt;"C",D1247&gt;0,F1247&gt;0),1,0)</f>
        <v>1</v>
      </c>
      <c r="K1247" s="3" t="n">
        <f aca="false">IF(AND(H1247="United Kingdom",G1247&lt;&gt;"",COUNTIFS($G$2:G1247,G1247,$H$2:H1247,"United Kingdom")=1),1,0)</f>
        <v>0</v>
      </c>
    </row>
    <row r="1248" customFormat="false" ht="15" hidden="false" customHeight="false" outlineLevel="0" collapsed="false">
      <c r="A1248" s="0" t="s">
        <v>319</v>
      </c>
      <c r="B1248" s="0" t="s">
        <v>32</v>
      </c>
      <c r="C1248" s="0" t="s">
        <v>33</v>
      </c>
      <c r="D1248" s="0" t="n">
        <v>1</v>
      </c>
      <c r="E1248" s="2" t="n">
        <v>40661.4020833333</v>
      </c>
      <c r="F1248" s="0" t="n">
        <v>1.19</v>
      </c>
      <c r="G1248" s="0" t="n">
        <v>17669</v>
      </c>
      <c r="H1248" s="3" t="s">
        <v>14</v>
      </c>
      <c r="I1248" s="4" t="n">
        <f aca="false">D1248*F1248</f>
        <v>1.19</v>
      </c>
      <c r="J1248" s="3" t="n">
        <f aca="false">IF(AND(LEFT(A1248,1)&lt;&gt;"C",D1248&gt;0,F1248&gt;0),1,0)</f>
        <v>1</v>
      </c>
      <c r="K1248" s="3" t="n">
        <f aca="false">IF(AND(H1248="United Kingdom",G1248&lt;&gt;"",COUNTIFS($G$2:G1248,G1248,$H$2:H1248,"United Kingdom")=1),1,0)</f>
        <v>0</v>
      </c>
    </row>
    <row r="1249" customFormat="false" ht="15" hidden="false" customHeight="false" outlineLevel="0" collapsed="false">
      <c r="A1249" s="0" t="s">
        <v>319</v>
      </c>
      <c r="B1249" s="0" t="s">
        <v>22</v>
      </c>
      <c r="C1249" s="0" t="s">
        <v>23</v>
      </c>
      <c r="D1249" s="0" t="n">
        <v>8</v>
      </c>
      <c r="E1249" s="2" t="n">
        <v>40661.4020833333</v>
      </c>
      <c r="F1249" s="0" t="n">
        <v>3.18</v>
      </c>
      <c r="G1249" s="0" t="n">
        <v>17669</v>
      </c>
      <c r="H1249" s="3" t="s">
        <v>14</v>
      </c>
      <c r="I1249" s="4" t="n">
        <f aca="false">D1249*F1249</f>
        <v>25.44</v>
      </c>
      <c r="J1249" s="3" t="n">
        <f aca="false">IF(AND(LEFT(A1249,1)&lt;&gt;"C",D1249&gt;0,F1249&gt;0),1,0)</f>
        <v>1</v>
      </c>
      <c r="K1249" s="3" t="n">
        <f aca="false">IF(AND(H1249="United Kingdom",G1249&lt;&gt;"",COUNTIFS($G$2:G1249,G1249,$H$2:H1249,"United Kingdom")=1),1,0)</f>
        <v>0</v>
      </c>
    </row>
    <row r="1250" customFormat="false" ht="15" hidden="false" customHeight="false" outlineLevel="0" collapsed="false">
      <c r="A1250" s="0" t="s">
        <v>320</v>
      </c>
      <c r="B1250" s="0" t="s">
        <v>43</v>
      </c>
      <c r="C1250" s="0" t="s">
        <v>44</v>
      </c>
      <c r="D1250" s="0" t="n">
        <v>2</v>
      </c>
      <c r="E1250" s="2" t="n">
        <v>40661.4708333333</v>
      </c>
      <c r="F1250" s="0" t="n">
        <v>1.35</v>
      </c>
      <c r="H1250" s="3" t="s">
        <v>14</v>
      </c>
      <c r="I1250" s="4" t="n">
        <f aca="false">D1250*F1250</f>
        <v>2.7</v>
      </c>
      <c r="J1250" s="3" t="n">
        <f aca="false">IF(AND(LEFT(A1250,1)&lt;&gt;"C",D1250&gt;0,F1250&gt;0),1,0)</f>
        <v>1</v>
      </c>
      <c r="K1250" s="3" t="n">
        <f aca="false">IF(AND(H1250="United Kingdom",G1250&lt;&gt;"",COUNTIFS($G$2:G1250,G1250,$H$2:H1250,"United Kingdom")=1),1,0)</f>
        <v>0</v>
      </c>
    </row>
    <row r="1251" customFormat="false" ht="15" hidden="false" customHeight="false" outlineLevel="0" collapsed="false">
      <c r="A1251" s="0" t="s">
        <v>321</v>
      </c>
      <c r="B1251" s="0" t="s">
        <v>34</v>
      </c>
      <c r="C1251" s="0" t="s">
        <v>35</v>
      </c>
      <c r="D1251" s="0" t="n">
        <v>1</v>
      </c>
      <c r="E1251" s="2" t="n">
        <v>40661.4729166667</v>
      </c>
      <c r="F1251" s="0" t="n">
        <v>2.38</v>
      </c>
      <c r="G1251" s="0" t="n">
        <v>16465</v>
      </c>
      <c r="H1251" s="3" t="s">
        <v>14</v>
      </c>
      <c r="I1251" s="4" t="n">
        <f aca="false">D1251*F1251</f>
        <v>2.38</v>
      </c>
      <c r="J1251" s="3" t="n">
        <f aca="false">IF(AND(LEFT(A1251,1)&lt;&gt;"C",D1251&gt;0,F1251&gt;0),1,0)</f>
        <v>1</v>
      </c>
      <c r="K1251" s="3" t="n">
        <f aca="false">IF(AND(H1251="United Kingdom",G1251&lt;&gt;"",COUNTIFS($G$2:G1251,G1251,$H$2:H1251,"United Kingdom")=1),1,0)</f>
        <v>1</v>
      </c>
    </row>
    <row r="1252" customFormat="false" ht="15" hidden="false" customHeight="false" outlineLevel="0" collapsed="false">
      <c r="A1252" s="0" t="s">
        <v>322</v>
      </c>
      <c r="B1252" s="0" t="s">
        <v>39</v>
      </c>
      <c r="C1252" s="0" t="s">
        <v>40</v>
      </c>
      <c r="D1252" s="0" t="n">
        <v>16</v>
      </c>
      <c r="E1252" s="2" t="n">
        <v>40661.7159722222</v>
      </c>
      <c r="F1252" s="0" t="n">
        <v>2.58</v>
      </c>
      <c r="H1252" s="3" t="s">
        <v>14</v>
      </c>
      <c r="I1252" s="4" t="n">
        <f aca="false">D1252*F1252</f>
        <v>41.28</v>
      </c>
      <c r="J1252" s="3" t="n">
        <f aca="false">IF(AND(LEFT(A1252,1)&lt;&gt;"C",D1252&gt;0,F1252&gt;0),1,0)</f>
        <v>1</v>
      </c>
      <c r="K1252" s="3" t="n">
        <f aca="false">IF(AND(H1252="United Kingdom",G1252&lt;&gt;"",COUNTIFS($G$2:G1252,G1252,$H$2:H1252,"United Kingdom")=1),1,0)</f>
        <v>0</v>
      </c>
    </row>
    <row r="1253" customFormat="false" ht="15" hidden="false" customHeight="false" outlineLevel="0" collapsed="false">
      <c r="A1253" s="0" t="s">
        <v>322</v>
      </c>
      <c r="B1253" s="0" t="s">
        <v>37</v>
      </c>
      <c r="C1253" s="0" t="s">
        <v>38</v>
      </c>
      <c r="D1253" s="0" t="n">
        <v>6</v>
      </c>
      <c r="E1253" s="2" t="n">
        <v>40661.7159722222</v>
      </c>
      <c r="F1253" s="0" t="n">
        <v>1.82</v>
      </c>
      <c r="H1253" s="3" t="s">
        <v>14</v>
      </c>
      <c r="I1253" s="4" t="n">
        <f aca="false">D1253*F1253</f>
        <v>10.92</v>
      </c>
      <c r="J1253" s="3" t="n">
        <f aca="false">IF(AND(LEFT(A1253,1)&lt;&gt;"C",D1253&gt;0,F1253&gt;0),1,0)</f>
        <v>1</v>
      </c>
      <c r="K1253" s="3" t="n">
        <f aca="false">IF(AND(H1253="United Kingdom",G1253&lt;&gt;"",COUNTIFS($G$2:G1253,G1253,$H$2:H1253,"United Kingdom")=1),1,0)</f>
        <v>0</v>
      </c>
    </row>
    <row r="1254" customFormat="false" ht="15" hidden="false" customHeight="false" outlineLevel="0" collapsed="false">
      <c r="A1254" s="0" t="s">
        <v>322</v>
      </c>
      <c r="B1254" s="0" t="s">
        <v>50</v>
      </c>
      <c r="C1254" s="0" t="s">
        <v>51</v>
      </c>
      <c r="D1254" s="0" t="n">
        <v>12</v>
      </c>
      <c r="E1254" s="2" t="n">
        <v>40661.7159722222</v>
      </c>
      <c r="F1254" s="0" t="n">
        <v>5.41</v>
      </c>
      <c r="H1254" s="3" t="s">
        <v>14</v>
      </c>
      <c r="I1254" s="4" t="n">
        <f aca="false">D1254*F1254</f>
        <v>64.92</v>
      </c>
      <c r="J1254" s="3" t="n">
        <f aca="false">IF(AND(LEFT(A1254,1)&lt;&gt;"C",D1254&gt;0,F1254&gt;0),1,0)</f>
        <v>1</v>
      </c>
      <c r="K1254" s="3" t="n">
        <f aca="false">IF(AND(H1254="United Kingdom",G1254&lt;&gt;"",COUNTIFS($G$2:G1254,G1254,$H$2:H1254,"United Kingdom")=1),1,0)</f>
        <v>0</v>
      </c>
    </row>
    <row r="1255" customFormat="false" ht="15" hidden="false" customHeight="false" outlineLevel="0" collapsed="false">
      <c r="A1255" s="0" t="s">
        <v>322</v>
      </c>
      <c r="B1255" s="0" t="s">
        <v>27</v>
      </c>
      <c r="C1255" s="0" t="s">
        <v>28</v>
      </c>
      <c r="D1255" s="0" t="n">
        <v>2</v>
      </c>
      <c r="E1255" s="2" t="n">
        <v>40661.7159722222</v>
      </c>
      <c r="F1255" s="0" t="n">
        <v>4.55</v>
      </c>
      <c r="H1255" s="3" t="s">
        <v>14</v>
      </c>
      <c r="I1255" s="4" t="n">
        <f aca="false">D1255*F1255</f>
        <v>9.1</v>
      </c>
      <c r="J1255" s="3" t="n">
        <f aca="false">IF(AND(LEFT(A1255,1)&lt;&gt;"C",D1255&gt;0,F1255&gt;0),1,0)</f>
        <v>1</v>
      </c>
      <c r="K1255" s="3" t="n">
        <f aca="false">IF(AND(H1255="United Kingdom",G1255&lt;&gt;"",COUNTIFS($G$2:G1255,G1255,$H$2:H1255,"United Kingdom")=1),1,0)</f>
        <v>0</v>
      </c>
    </row>
    <row r="1256" customFormat="false" ht="15" hidden="false" customHeight="false" outlineLevel="0" collapsed="false">
      <c r="A1256" s="0" t="s">
        <v>322</v>
      </c>
      <c r="B1256" s="0" t="s">
        <v>32</v>
      </c>
      <c r="C1256" s="0" t="s">
        <v>33</v>
      </c>
      <c r="D1256" s="0" t="n">
        <v>1</v>
      </c>
      <c r="E1256" s="2" t="n">
        <v>40661.7159722222</v>
      </c>
      <c r="F1256" s="0" t="n">
        <v>1.19</v>
      </c>
      <c r="H1256" s="3" t="s">
        <v>14</v>
      </c>
      <c r="I1256" s="4" t="n">
        <f aca="false">D1256*F1256</f>
        <v>1.19</v>
      </c>
      <c r="J1256" s="3" t="n">
        <f aca="false">IF(AND(LEFT(A1256,1)&lt;&gt;"C",D1256&gt;0,F1256&gt;0),1,0)</f>
        <v>1</v>
      </c>
      <c r="K1256" s="3" t="n">
        <f aca="false">IF(AND(H1256="United Kingdom",G1256&lt;&gt;"",COUNTIFS($G$2:G1256,G1256,$H$2:H1256,"United Kingdom")=1),1,0)</f>
        <v>0</v>
      </c>
    </row>
    <row r="1257" customFormat="false" ht="15" hidden="false" customHeight="false" outlineLevel="0" collapsed="false">
      <c r="A1257" s="0" t="s">
        <v>322</v>
      </c>
      <c r="B1257" s="0" t="s">
        <v>60</v>
      </c>
      <c r="C1257" s="0" t="s">
        <v>61</v>
      </c>
      <c r="D1257" s="0" t="n">
        <v>4</v>
      </c>
      <c r="E1257" s="2" t="n">
        <v>40661.7159722222</v>
      </c>
      <c r="F1257" s="0" t="n">
        <v>0.63</v>
      </c>
      <c r="H1257" s="3" t="s">
        <v>14</v>
      </c>
      <c r="I1257" s="4" t="n">
        <f aca="false">D1257*F1257</f>
        <v>2.52</v>
      </c>
      <c r="J1257" s="3" t="n">
        <f aca="false">IF(AND(LEFT(A1257,1)&lt;&gt;"C",D1257&gt;0,F1257&gt;0),1,0)</f>
        <v>1</v>
      </c>
      <c r="K1257" s="3" t="n">
        <f aca="false">IF(AND(H1257="United Kingdom",G1257&lt;&gt;"",COUNTIFS($G$2:G1257,G1257,$H$2:H1257,"United Kingdom")=1),1,0)</f>
        <v>0</v>
      </c>
    </row>
    <row r="1258" customFormat="false" ht="15" hidden="false" customHeight="false" outlineLevel="0" collapsed="false">
      <c r="A1258" s="0" t="s">
        <v>322</v>
      </c>
      <c r="B1258" s="0" t="s">
        <v>12</v>
      </c>
      <c r="C1258" s="0" t="s">
        <v>13</v>
      </c>
      <c r="D1258" s="0" t="n">
        <v>6</v>
      </c>
      <c r="E1258" s="2" t="n">
        <v>40661.7159722222</v>
      </c>
      <c r="F1258" s="0" t="n">
        <v>3.33</v>
      </c>
      <c r="H1258" s="3" t="s">
        <v>14</v>
      </c>
      <c r="I1258" s="4" t="n">
        <f aca="false">D1258*F1258</f>
        <v>19.98</v>
      </c>
      <c r="J1258" s="3" t="n">
        <f aca="false">IF(AND(LEFT(A1258,1)&lt;&gt;"C",D1258&gt;0,F1258&gt;0),1,0)</f>
        <v>1</v>
      </c>
      <c r="K1258" s="3" t="n">
        <f aca="false">IF(AND(H1258="United Kingdom",G1258&lt;&gt;"",COUNTIFS($G$2:G1258,G1258,$H$2:H1258,"United Kingdom")=1),1,0)</f>
        <v>0</v>
      </c>
    </row>
    <row r="1259" customFormat="false" ht="15" hidden="false" customHeight="false" outlineLevel="0" collapsed="false">
      <c r="A1259" s="0" t="s">
        <v>322</v>
      </c>
      <c r="B1259" s="0" t="s">
        <v>52</v>
      </c>
      <c r="C1259" s="0" t="s">
        <v>53</v>
      </c>
      <c r="D1259" s="0" t="n">
        <v>2</v>
      </c>
      <c r="E1259" s="2" t="n">
        <v>40661.7159722222</v>
      </c>
      <c r="F1259" s="0" t="n">
        <v>4.16</v>
      </c>
      <c r="H1259" s="3" t="s">
        <v>14</v>
      </c>
      <c r="I1259" s="4" t="n">
        <f aca="false">D1259*F1259</f>
        <v>8.32</v>
      </c>
      <c r="J1259" s="3" t="n">
        <f aca="false">IF(AND(LEFT(A1259,1)&lt;&gt;"C",D1259&gt;0,F1259&gt;0),1,0)</f>
        <v>1</v>
      </c>
      <c r="K1259" s="3" t="n">
        <f aca="false">IF(AND(H1259="United Kingdom",G1259&lt;&gt;"",COUNTIFS($G$2:G1259,G1259,$H$2:H1259,"United Kingdom")=1),1,0)</f>
        <v>0</v>
      </c>
    </row>
    <row r="1260" customFormat="false" ht="15" hidden="false" customHeight="false" outlineLevel="0" collapsed="false">
      <c r="A1260" s="0" t="s">
        <v>322</v>
      </c>
      <c r="B1260" s="0" t="s">
        <v>45</v>
      </c>
      <c r="C1260" s="0" t="s">
        <v>46</v>
      </c>
      <c r="D1260" s="0" t="n">
        <v>8</v>
      </c>
      <c r="E1260" s="2" t="n">
        <v>40661.7159722222</v>
      </c>
      <c r="F1260" s="0" t="n">
        <v>4.55</v>
      </c>
      <c r="H1260" s="3" t="s">
        <v>14</v>
      </c>
      <c r="I1260" s="4" t="n">
        <f aca="false">D1260*F1260</f>
        <v>36.4</v>
      </c>
      <c r="J1260" s="3" t="n">
        <f aca="false">IF(AND(LEFT(A1260,1)&lt;&gt;"C",D1260&gt;0,F1260&gt;0),1,0)</f>
        <v>1</v>
      </c>
      <c r="K1260" s="3" t="n">
        <f aca="false">IF(AND(H1260="United Kingdom",G1260&lt;&gt;"",COUNTIFS($G$2:G1260,G1260,$H$2:H1260,"United Kingdom")=1),1,0)</f>
        <v>0</v>
      </c>
    </row>
    <row r="1261" customFormat="false" ht="15" hidden="false" customHeight="false" outlineLevel="0" collapsed="false">
      <c r="A1261" s="0" t="s">
        <v>323</v>
      </c>
      <c r="B1261" s="0" t="s">
        <v>113</v>
      </c>
      <c r="C1261" s="0" t="s">
        <v>114</v>
      </c>
      <c r="D1261" s="0" t="n">
        <v>12</v>
      </c>
      <c r="E1261" s="2" t="n">
        <v>40661.76875</v>
      </c>
      <c r="F1261" s="0" t="n">
        <v>3.57</v>
      </c>
      <c r="G1261" s="0" t="n">
        <v>16420</v>
      </c>
      <c r="H1261" s="3" t="s">
        <v>14</v>
      </c>
      <c r="I1261" s="4" t="n">
        <f aca="false">D1261*F1261</f>
        <v>42.84</v>
      </c>
      <c r="J1261" s="3" t="n">
        <f aca="false">IF(AND(LEFT(A1261,1)&lt;&gt;"C",D1261&gt;0,F1261&gt;0),1,0)</f>
        <v>1</v>
      </c>
      <c r="K1261" s="3" t="n">
        <f aca="false">IF(AND(H1261="United Kingdom",G1261&lt;&gt;"",COUNTIFS($G$2:G1261,G1261,$H$2:H1261,"United Kingdom")=1),1,0)</f>
        <v>0</v>
      </c>
    </row>
    <row r="1262" customFormat="false" ht="15" hidden="false" customHeight="false" outlineLevel="0" collapsed="false">
      <c r="A1262" s="0" t="s">
        <v>323</v>
      </c>
      <c r="B1262" s="0" t="s">
        <v>41</v>
      </c>
      <c r="C1262" s="0" t="s">
        <v>42</v>
      </c>
      <c r="D1262" s="0" t="n">
        <v>72</v>
      </c>
      <c r="E1262" s="2" t="n">
        <v>40661.76875</v>
      </c>
      <c r="F1262" s="0" t="n">
        <v>3.28</v>
      </c>
      <c r="G1262" s="0" t="n">
        <v>16420</v>
      </c>
      <c r="H1262" s="3" t="s">
        <v>14</v>
      </c>
      <c r="I1262" s="4" t="n">
        <f aca="false">D1262*F1262</f>
        <v>236.16</v>
      </c>
      <c r="J1262" s="3" t="n">
        <f aca="false">IF(AND(LEFT(A1262,1)&lt;&gt;"C",D1262&gt;0,F1262&gt;0),1,0)</f>
        <v>1</v>
      </c>
      <c r="K1262" s="3" t="n">
        <f aca="false">IF(AND(H1262="United Kingdom",G1262&lt;&gt;"",COUNTIFS($G$2:G1262,G1262,$H$2:H1262,"United Kingdom")=1),1,0)</f>
        <v>0</v>
      </c>
    </row>
    <row r="1263" customFormat="false" ht="15" hidden="false" customHeight="false" outlineLevel="0" collapsed="false">
      <c r="A1263" s="0" t="s">
        <v>323</v>
      </c>
      <c r="B1263" s="0" t="s">
        <v>34</v>
      </c>
      <c r="C1263" s="0" t="s">
        <v>35</v>
      </c>
      <c r="D1263" s="0" t="n">
        <v>96</v>
      </c>
      <c r="E1263" s="2" t="n">
        <v>40661.76875</v>
      </c>
      <c r="F1263" s="0" t="n">
        <v>2.38</v>
      </c>
      <c r="G1263" s="0" t="n">
        <v>16420</v>
      </c>
      <c r="H1263" s="3" t="s">
        <v>14</v>
      </c>
      <c r="I1263" s="4" t="n">
        <f aca="false">D1263*F1263</f>
        <v>228.48</v>
      </c>
      <c r="J1263" s="3" t="n">
        <f aca="false">IF(AND(LEFT(A1263,1)&lt;&gt;"C",D1263&gt;0,F1263&gt;0),1,0)</f>
        <v>1</v>
      </c>
      <c r="K1263" s="3" t="n">
        <f aca="false">IF(AND(H1263="United Kingdom",G1263&lt;&gt;"",COUNTIFS($G$2:G1263,G1263,$H$2:H1263,"United Kingdom")=1),1,0)</f>
        <v>0</v>
      </c>
    </row>
    <row r="1264" customFormat="false" ht="15" hidden="false" customHeight="false" outlineLevel="0" collapsed="false">
      <c r="A1264" s="0" t="s">
        <v>323</v>
      </c>
      <c r="B1264" s="0" t="s">
        <v>90</v>
      </c>
      <c r="C1264" s="0" t="s">
        <v>91</v>
      </c>
      <c r="D1264" s="0" t="n">
        <v>12</v>
      </c>
      <c r="E1264" s="2" t="n">
        <v>40661.76875</v>
      </c>
      <c r="F1264" s="0" t="n">
        <v>3.04</v>
      </c>
      <c r="G1264" s="0" t="n">
        <v>16420</v>
      </c>
      <c r="H1264" s="3" t="s">
        <v>14</v>
      </c>
      <c r="I1264" s="4" t="n">
        <f aca="false">D1264*F1264</f>
        <v>36.48</v>
      </c>
      <c r="J1264" s="3" t="n">
        <f aca="false">IF(AND(LEFT(A1264,1)&lt;&gt;"C",D1264&gt;0,F1264&gt;0),1,0)</f>
        <v>1</v>
      </c>
      <c r="K1264" s="3" t="n">
        <f aca="false">IF(AND(H1264="United Kingdom",G1264&lt;&gt;"",COUNTIFS($G$2:G1264,G1264,$H$2:H1264,"United Kingdom")=1),1,0)</f>
        <v>0</v>
      </c>
    </row>
    <row r="1265" customFormat="false" ht="15" hidden="false" customHeight="false" outlineLevel="0" collapsed="false">
      <c r="A1265" s="0" t="s">
        <v>323</v>
      </c>
      <c r="B1265" s="0" t="s">
        <v>68</v>
      </c>
      <c r="C1265" s="0" t="s">
        <v>69</v>
      </c>
      <c r="D1265" s="0" t="n">
        <v>48</v>
      </c>
      <c r="E1265" s="2" t="n">
        <v>40661.76875</v>
      </c>
      <c r="F1265" s="0" t="n">
        <v>1.26</v>
      </c>
      <c r="G1265" s="0" t="n">
        <v>16420</v>
      </c>
      <c r="H1265" s="3" t="s">
        <v>14</v>
      </c>
      <c r="I1265" s="4" t="n">
        <f aca="false">D1265*F1265</f>
        <v>60.48</v>
      </c>
      <c r="J1265" s="3" t="n">
        <f aca="false">IF(AND(LEFT(A1265,1)&lt;&gt;"C",D1265&gt;0,F1265&gt;0),1,0)</f>
        <v>1</v>
      </c>
      <c r="K1265" s="3" t="n">
        <f aca="false">IF(AND(H1265="United Kingdom",G1265&lt;&gt;"",COUNTIFS($G$2:G1265,G1265,$H$2:H1265,"United Kingdom")=1),1,0)</f>
        <v>0</v>
      </c>
    </row>
    <row r="1266" customFormat="false" ht="15" hidden="false" customHeight="false" outlineLevel="0" collapsed="false">
      <c r="A1266" s="0" t="s">
        <v>323</v>
      </c>
      <c r="B1266" s="0" t="s">
        <v>75</v>
      </c>
      <c r="C1266" s="0" t="s">
        <v>76</v>
      </c>
      <c r="D1266" s="0" t="n">
        <v>192</v>
      </c>
      <c r="E1266" s="2" t="n">
        <v>40661.76875</v>
      </c>
      <c r="F1266" s="0" t="n">
        <v>1.97</v>
      </c>
      <c r="G1266" s="0" t="n">
        <v>16420</v>
      </c>
      <c r="H1266" s="3" t="s">
        <v>14</v>
      </c>
      <c r="I1266" s="4" t="n">
        <f aca="false">D1266*F1266</f>
        <v>378.24</v>
      </c>
      <c r="J1266" s="3" t="n">
        <f aca="false">IF(AND(LEFT(A1266,1)&lt;&gt;"C",D1266&gt;0,F1266&gt;0),1,0)</f>
        <v>1</v>
      </c>
      <c r="K1266" s="3" t="n">
        <f aca="false">IF(AND(H1266="United Kingdom",G1266&lt;&gt;"",COUNTIFS($G$2:G1266,G1266,$H$2:H1266,"United Kingdom")=1),1,0)</f>
        <v>0</v>
      </c>
    </row>
    <row r="1267" customFormat="false" ht="15" hidden="false" customHeight="false" outlineLevel="0" collapsed="false">
      <c r="A1267" s="0" t="s">
        <v>323</v>
      </c>
      <c r="B1267" s="0" t="s">
        <v>37</v>
      </c>
      <c r="C1267" s="0" t="s">
        <v>38</v>
      </c>
      <c r="D1267" s="0" t="n">
        <v>24</v>
      </c>
      <c r="E1267" s="2" t="n">
        <v>40661.76875</v>
      </c>
      <c r="F1267" s="0" t="n">
        <v>1.82</v>
      </c>
      <c r="G1267" s="0" t="n">
        <v>16420</v>
      </c>
      <c r="H1267" s="3" t="s">
        <v>14</v>
      </c>
      <c r="I1267" s="4" t="n">
        <f aca="false">D1267*F1267</f>
        <v>43.68</v>
      </c>
      <c r="J1267" s="3" t="n">
        <f aca="false">IF(AND(LEFT(A1267,1)&lt;&gt;"C",D1267&gt;0,F1267&gt;0),1,0)</f>
        <v>1</v>
      </c>
      <c r="K1267" s="3" t="n">
        <f aca="false">IF(AND(H1267="United Kingdom",G1267&lt;&gt;"",COUNTIFS($G$2:G1267,G1267,$H$2:H1267,"United Kingdom")=1),1,0)</f>
        <v>0</v>
      </c>
    </row>
    <row r="1268" customFormat="false" ht="15" hidden="false" customHeight="false" outlineLevel="0" collapsed="false">
      <c r="A1268" s="0" t="s">
        <v>323</v>
      </c>
      <c r="B1268" s="0" t="s">
        <v>27</v>
      </c>
      <c r="C1268" s="0" t="s">
        <v>28</v>
      </c>
      <c r="D1268" s="0" t="n">
        <v>72</v>
      </c>
      <c r="E1268" s="2" t="n">
        <v>40661.76875</v>
      </c>
      <c r="F1268" s="0" t="n">
        <v>4.55</v>
      </c>
      <c r="G1268" s="0" t="n">
        <v>16420</v>
      </c>
      <c r="H1268" s="3" t="s">
        <v>14</v>
      </c>
      <c r="I1268" s="4" t="n">
        <f aca="false">D1268*F1268</f>
        <v>327.6</v>
      </c>
      <c r="J1268" s="3" t="n">
        <f aca="false">IF(AND(LEFT(A1268,1)&lt;&gt;"C",D1268&gt;0,F1268&gt;0),1,0)</f>
        <v>1</v>
      </c>
      <c r="K1268" s="3" t="n">
        <f aca="false">IF(AND(H1268="United Kingdom",G1268&lt;&gt;"",COUNTIFS($G$2:G1268,G1268,$H$2:H1268,"United Kingdom")=1),1,0)</f>
        <v>0</v>
      </c>
    </row>
    <row r="1269" customFormat="false" ht="15" hidden="false" customHeight="false" outlineLevel="0" collapsed="false">
      <c r="A1269" s="0" t="s">
        <v>323</v>
      </c>
      <c r="B1269" s="0" t="s">
        <v>72</v>
      </c>
      <c r="C1269" s="0" t="s">
        <v>73</v>
      </c>
      <c r="D1269" s="0" t="n">
        <v>72</v>
      </c>
      <c r="E1269" s="2" t="n">
        <v>40661.76875</v>
      </c>
      <c r="F1269" s="0" t="n">
        <v>2.69</v>
      </c>
      <c r="G1269" s="0" t="n">
        <v>16420</v>
      </c>
      <c r="H1269" s="3" t="s">
        <v>14</v>
      </c>
      <c r="I1269" s="4" t="n">
        <f aca="false">D1269*F1269</f>
        <v>193.68</v>
      </c>
      <c r="J1269" s="3" t="n">
        <f aca="false">IF(AND(LEFT(A1269,1)&lt;&gt;"C",D1269&gt;0,F1269&gt;0),1,0)</f>
        <v>1</v>
      </c>
      <c r="K1269" s="3" t="n">
        <f aca="false">IF(AND(H1269="United Kingdom",G1269&lt;&gt;"",COUNTIFS($G$2:G1269,G1269,$H$2:H1269,"United Kingdom")=1),1,0)</f>
        <v>0</v>
      </c>
    </row>
    <row r="1270" customFormat="false" ht="15" hidden="false" customHeight="false" outlineLevel="0" collapsed="false">
      <c r="A1270" s="0" t="s">
        <v>323</v>
      </c>
      <c r="B1270" s="0" t="s">
        <v>25</v>
      </c>
      <c r="C1270" s="0" t="s">
        <v>26</v>
      </c>
      <c r="D1270" s="0" t="n">
        <v>12</v>
      </c>
      <c r="E1270" s="2" t="n">
        <v>40661.76875</v>
      </c>
      <c r="F1270" s="0" t="n">
        <v>2.21</v>
      </c>
      <c r="G1270" s="0" t="n">
        <v>16420</v>
      </c>
      <c r="H1270" s="3" t="s">
        <v>14</v>
      </c>
      <c r="I1270" s="4" t="n">
        <f aca="false">D1270*F1270</f>
        <v>26.52</v>
      </c>
      <c r="J1270" s="3" t="n">
        <f aca="false">IF(AND(LEFT(A1270,1)&lt;&gt;"C",D1270&gt;0,F1270&gt;0),1,0)</f>
        <v>1</v>
      </c>
      <c r="K1270" s="3" t="n">
        <f aca="false">IF(AND(H1270="United Kingdom",G1270&lt;&gt;"",COUNTIFS($G$2:G1270,G1270,$H$2:H1270,"United Kingdom")=1),1,0)</f>
        <v>0</v>
      </c>
    </row>
    <row r="1271" customFormat="false" ht="15" hidden="false" customHeight="false" outlineLevel="0" collapsed="false">
      <c r="A1271" s="0" t="s">
        <v>323</v>
      </c>
      <c r="B1271" s="0" t="s">
        <v>60</v>
      </c>
      <c r="C1271" s="0" t="s">
        <v>61</v>
      </c>
      <c r="D1271" s="0" t="n">
        <v>36</v>
      </c>
      <c r="E1271" s="2" t="n">
        <v>40661.76875</v>
      </c>
      <c r="F1271" s="0" t="n">
        <v>0.63</v>
      </c>
      <c r="G1271" s="0" t="n">
        <v>16420</v>
      </c>
      <c r="H1271" s="3" t="s">
        <v>14</v>
      </c>
      <c r="I1271" s="4" t="n">
        <f aca="false">D1271*F1271</f>
        <v>22.68</v>
      </c>
      <c r="J1271" s="3" t="n">
        <f aca="false">IF(AND(LEFT(A1271,1)&lt;&gt;"C",D1271&gt;0,F1271&gt;0),1,0)</f>
        <v>1</v>
      </c>
      <c r="K1271" s="3" t="n">
        <f aca="false">IF(AND(H1271="United Kingdom",G1271&lt;&gt;"",COUNTIFS($G$2:G1271,G1271,$H$2:H1271,"United Kingdom")=1),1,0)</f>
        <v>0</v>
      </c>
    </row>
    <row r="1272" customFormat="false" ht="15" hidden="false" customHeight="false" outlineLevel="0" collapsed="false">
      <c r="A1272" s="0" t="s">
        <v>323</v>
      </c>
      <c r="B1272" s="0" t="s">
        <v>17</v>
      </c>
      <c r="C1272" s="0" t="s">
        <v>18</v>
      </c>
      <c r="D1272" s="0" t="n">
        <v>48</v>
      </c>
      <c r="E1272" s="2" t="n">
        <v>40661.76875</v>
      </c>
      <c r="F1272" s="0" t="n">
        <v>1.92</v>
      </c>
      <c r="G1272" s="0" t="n">
        <v>16420</v>
      </c>
      <c r="H1272" s="3" t="s">
        <v>14</v>
      </c>
      <c r="I1272" s="4" t="n">
        <f aca="false">D1272*F1272</f>
        <v>92.16</v>
      </c>
      <c r="J1272" s="3" t="n">
        <f aca="false">IF(AND(LEFT(A1272,1)&lt;&gt;"C",D1272&gt;0,F1272&gt;0),1,0)</f>
        <v>1</v>
      </c>
      <c r="K1272" s="3" t="n">
        <f aca="false">IF(AND(H1272="United Kingdom",G1272&lt;&gt;"",COUNTIFS($G$2:G1272,G1272,$H$2:H1272,"United Kingdom")=1),1,0)</f>
        <v>0</v>
      </c>
    </row>
    <row r="1273" customFormat="false" ht="15" hidden="false" customHeight="false" outlineLevel="0" collapsed="false">
      <c r="A1273" s="0" t="s">
        <v>323</v>
      </c>
      <c r="B1273" s="0" t="s">
        <v>39</v>
      </c>
      <c r="C1273" s="0" t="s">
        <v>40</v>
      </c>
      <c r="D1273" s="0" t="n">
        <v>48</v>
      </c>
      <c r="E1273" s="2" t="n">
        <v>40661.76875</v>
      </c>
      <c r="F1273" s="0" t="n">
        <v>2.58</v>
      </c>
      <c r="G1273" s="0" t="n">
        <v>16420</v>
      </c>
      <c r="H1273" s="3" t="s">
        <v>14</v>
      </c>
      <c r="I1273" s="4" t="n">
        <f aca="false">D1273*F1273</f>
        <v>123.84</v>
      </c>
      <c r="J1273" s="3" t="n">
        <f aca="false">IF(AND(LEFT(A1273,1)&lt;&gt;"C",D1273&gt;0,F1273&gt;0),1,0)</f>
        <v>1</v>
      </c>
      <c r="K1273" s="3" t="n">
        <f aca="false">IF(AND(H1273="United Kingdom",G1273&lt;&gt;"",COUNTIFS($G$2:G1273,G1273,$H$2:H1273,"United Kingdom")=1),1,0)</f>
        <v>0</v>
      </c>
    </row>
    <row r="1274" customFormat="false" ht="15" hidden="false" customHeight="false" outlineLevel="0" collapsed="false">
      <c r="A1274" s="0" t="s">
        <v>323</v>
      </c>
      <c r="B1274" s="0" t="s">
        <v>80</v>
      </c>
      <c r="C1274" s="0" t="s">
        <v>81</v>
      </c>
      <c r="D1274" s="0" t="n">
        <v>48</v>
      </c>
      <c r="E1274" s="2" t="n">
        <v>40661.76875</v>
      </c>
      <c r="F1274" s="0" t="n">
        <v>1.53</v>
      </c>
      <c r="G1274" s="0" t="n">
        <v>16420</v>
      </c>
      <c r="H1274" s="3" t="s">
        <v>14</v>
      </c>
      <c r="I1274" s="4" t="n">
        <f aca="false">D1274*F1274</f>
        <v>73.44</v>
      </c>
      <c r="J1274" s="3" t="n">
        <f aca="false">IF(AND(LEFT(A1274,1)&lt;&gt;"C",D1274&gt;0,F1274&gt;0),1,0)</f>
        <v>1</v>
      </c>
      <c r="K1274" s="3" t="n">
        <f aca="false">IF(AND(H1274="United Kingdom",G1274&lt;&gt;"",COUNTIFS($G$2:G1274,G1274,$H$2:H1274,"United Kingdom")=1),1,0)</f>
        <v>0</v>
      </c>
    </row>
    <row r="1275" customFormat="false" ht="15" hidden="false" customHeight="false" outlineLevel="0" collapsed="false">
      <c r="A1275" s="0" t="s">
        <v>324</v>
      </c>
      <c r="B1275" s="0" t="s">
        <v>45</v>
      </c>
      <c r="C1275" s="0" t="s">
        <v>46</v>
      </c>
      <c r="D1275" s="0" t="n">
        <v>1</v>
      </c>
      <c r="E1275" s="2" t="n">
        <v>40663.4736111111</v>
      </c>
      <c r="F1275" s="0" t="n">
        <v>4.55</v>
      </c>
      <c r="G1275" s="0" t="n">
        <v>18261</v>
      </c>
      <c r="H1275" s="3" t="s">
        <v>14</v>
      </c>
      <c r="I1275" s="4" t="n">
        <f aca="false">D1275*F1275</f>
        <v>4.55</v>
      </c>
      <c r="J1275" s="3" t="n">
        <f aca="false">IF(AND(LEFT(A1275,1)&lt;&gt;"C",D1275&gt;0,F1275&gt;0),1,0)</f>
        <v>1</v>
      </c>
      <c r="K1275" s="3" t="n">
        <f aca="false">IF(AND(H1275="United Kingdom",G1275&lt;&gt;"",COUNTIFS($G$2:G1275,G1275,$H$2:H1275,"United Kingdom")=1),1,0)</f>
        <v>0</v>
      </c>
    </row>
    <row r="1276" customFormat="false" ht="15" hidden="false" customHeight="false" outlineLevel="0" collapsed="false">
      <c r="A1276" s="0" t="s">
        <v>324</v>
      </c>
      <c r="B1276" s="0" t="s">
        <v>32</v>
      </c>
      <c r="C1276" s="0" t="s">
        <v>33</v>
      </c>
      <c r="D1276" s="0" t="n">
        <v>6</v>
      </c>
      <c r="E1276" s="2" t="n">
        <v>40663.4736111111</v>
      </c>
      <c r="F1276" s="0" t="n">
        <v>1.19</v>
      </c>
      <c r="G1276" s="0" t="n">
        <v>18261</v>
      </c>
      <c r="H1276" s="3" t="s">
        <v>14</v>
      </c>
      <c r="I1276" s="4" t="n">
        <f aca="false">D1276*F1276</f>
        <v>7.14</v>
      </c>
      <c r="J1276" s="3" t="n">
        <f aca="false">IF(AND(LEFT(A1276,1)&lt;&gt;"C",D1276&gt;0,F1276&gt;0),1,0)</f>
        <v>1</v>
      </c>
      <c r="K1276" s="3" t="n">
        <f aca="false">IF(AND(H1276="United Kingdom",G1276&lt;&gt;"",COUNTIFS($G$2:G1276,G1276,$H$2:H1276,"United Kingdom")=1),1,0)</f>
        <v>0</v>
      </c>
    </row>
    <row r="1277" customFormat="false" ht="15" hidden="false" customHeight="false" outlineLevel="0" collapsed="false">
      <c r="A1277" s="0" t="s">
        <v>324</v>
      </c>
      <c r="B1277" s="0" t="s">
        <v>80</v>
      </c>
      <c r="C1277" s="0" t="s">
        <v>81</v>
      </c>
      <c r="D1277" s="0" t="n">
        <v>6</v>
      </c>
      <c r="E1277" s="2" t="n">
        <v>40663.4736111111</v>
      </c>
      <c r="F1277" s="0" t="n">
        <v>1.53</v>
      </c>
      <c r="G1277" s="0" t="n">
        <v>18261</v>
      </c>
      <c r="H1277" s="3" t="s">
        <v>14</v>
      </c>
      <c r="I1277" s="4" t="n">
        <f aca="false">D1277*F1277</f>
        <v>9.18</v>
      </c>
      <c r="J1277" s="3" t="n">
        <f aca="false">IF(AND(LEFT(A1277,1)&lt;&gt;"C",D1277&gt;0,F1277&gt;0),1,0)</f>
        <v>1</v>
      </c>
      <c r="K1277" s="3" t="n">
        <f aca="false">IF(AND(H1277="United Kingdom",G1277&lt;&gt;"",COUNTIFS($G$2:G1277,G1277,$H$2:H1277,"United Kingdom")=1),1,0)</f>
        <v>0</v>
      </c>
    </row>
    <row r="1278" customFormat="false" ht="15" hidden="false" customHeight="false" outlineLevel="0" collapsed="false">
      <c r="A1278" s="0" t="s">
        <v>324</v>
      </c>
      <c r="B1278" s="0" t="s">
        <v>15</v>
      </c>
      <c r="C1278" s="0" t="s">
        <v>16</v>
      </c>
      <c r="D1278" s="0" t="n">
        <v>3</v>
      </c>
      <c r="E1278" s="2" t="n">
        <v>40663.4736111111</v>
      </c>
      <c r="F1278" s="0" t="n">
        <v>3.18</v>
      </c>
      <c r="G1278" s="0" t="n">
        <v>18261</v>
      </c>
      <c r="H1278" s="3" t="s">
        <v>14</v>
      </c>
      <c r="I1278" s="4" t="n">
        <f aca="false">D1278*F1278</f>
        <v>9.54</v>
      </c>
      <c r="J1278" s="3" t="n">
        <f aca="false">IF(AND(LEFT(A1278,1)&lt;&gt;"C",D1278&gt;0,F1278&gt;0),1,0)</f>
        <v>1</v>
      </c>
      <c r="K1278" s="3" t="n">
        <f aca="false">IF(AND(H1278="United Kingdom",G1278&lt;&gt;"",COUNTIFS($G$2:G1278,G1278,$H$2:H1278,"United Kingdom")=1),1,0)</f>
        <v>0</v>
      </c>
    </row>
    <row r="1279" customFormat="false" ht="15" hidden="false" customHeight="false" outlineLevel="0" collapsed="false">
      <c r="A1279" s="0" t="s">
        <v>324</v>
      </c>
      <c r="B1279" s="0" t="s">
        <v>65</v>
      </c>
      <c r="C1279" s="0" t="s">
        <v>66</v>
      </c>
      <c r="D1279" s="0" t="n">
        <v>4</v>
      </c>
      <c r="E1279" s="2" t="n">
        <v>40663.4736111111</v>
      </c>
      <c r="F1279" s="0" t="n">
        <v>4.75</v>
      </c>
      <c r="G1279" s="0" t="n">
        <v>18261</v>
      </c>
      <c r="H1279" s="3" t="s">
        <v>14</v>
      </c>
      <c r="I1279" s="4" t="n">
        <f aca="false">D1279*F1279</f>
        <v>19</v>
      </c>
      <c r="J1279" s="3" t="n">
        <f aca="false">IF(AND(LEFT(A1279,1)&lt;&gt;"C",D1279&gt;0,F1279&gt;0),1,0)</f>
        <v>1</v>
      </c>
      <c r="K1279" s="3" t="n">
        <f aca="false">IF(AND(H1279="United Kingdom",G1279&lt;&gt;"",COUNTIFS($G$2:G1279,G1279,$H$2:H1279,"United Kingdom")=1),1,0)</f>
        <v>0</v>
      </c>
    </row>
    <row r="1280" customFormat="false" ht="15" hidden="false" customHeight="false" outlineLevel="0" collapsed="false">
      <c r="A1280" s="0" t="s">
        <v>324</v>
      </c>
      <c r="B1280" s="0" t="s">
        <v>72</v>
      </c>
      <c r="C1280" s="0" t="s">
        <v>73</v>
      </c>
      <c r="D1280" s="0" t="n">
        <v>1</v>
      </c>
      <c r="E1280" s="2" t="n">
        <v>40663.4736111111</v>
      </c>
      <c r="F1280" s="0" t="n">
        <v>2.69</v>
      </c>
      <c r="G1280" s="0" t="n">
        <v>18261</v>
      </c>
      <c r="H1280" s="3" t="s">
        <v>14</v>
      </c>
      <c r="I1280" s="4" t="n">
        <f aca="false">D1280*F1280</f>
        <v>2.69</v>
      </c>
      <c r="J1280" s="3" t="n">
        <f aca="false">IF(AND(LEFT(A1280,1)&lt;&gt;"C",D1280&gt;0,F1280&gt;0),1,0)</f>
        <v>1</v>
      </c>
      <c r="K1280" s="3" t="n">
        <f aca="false">IF(AND(H1280="United Kingdom",G1280&lt;&gt;"",COUNTIFS($G$2:G1280,G1280,$H$2:H1280,"United Kingdom")=1),1,0)</f>
        <v>0</v>
      </c>
    </row>
    <row r="1281" customFormat="false" ht="15" hidden="false" customHeight="false" outlineLevel="0" collapsed="false">
      <c r="A1281" s="0" t="s">
        <v>324</v>
      </c>
      <c r="B1281" s="0" t="s">
        <v>68</v>
      </c>
      <c r="C1281" s="0" t="s">
        <v>69</v>
      </c>
      <c r="D1281" s="0" t="n">
        <v>2</v>
      </c>
      <c r="E1281" s="2" t="n">
        <v>40663.4736111111</v>
      </c>
      <c r="F1281" s="0" t="n">
        <v>1.26</v>
      </c>
      <c r="G1281" s="0" t="n">
        <v>18261</v>
      </c>
      <c r="H1281" s="3" t="s">
        <v>14</v>
      </c>
      <c r="I1281" s="4" t="n">
        <f aca="false">D1281*F1281</f>
        <v>2.52</v>
      </c>
      <c r="J1281" s="3" t="n">
        <f aca="false">IF(AND(LEFT(A1281,1)&lt;&gt;"C",D1281&gt;0,F1281&gt;0),1,0)</f>
        <v>1</v>
      </c>
      <c r="K1281" s="3" t="n">
        <f aca="false">IF(AND(H1281="United Kingdom",G1281&lt;&gt;"",COUNTIFS($G$2:G1281,G1281,$H$2:H1281,"United Kingdom")=1),1,0)</f>
        <v>0</v>
      </c>
    </row>
    <row r="1282" customFormat="false" ht="15" hidden="false" customHeight="false" outlineLevel="0" collapsed="false">
      <c r="A1282" s="0" t="s">
        <v>325</v>
      </c>
      <c r="B1282" s="0" t="s">
        <v>63</v>
      </c>
      <c r="C1282" s="0" t="s">
        <v>64</v>
      </c>
      <c r="D1282" s="0" t="n">
        <v>1</v>
      </c>
      <c r="E1282" s="2" t="n">
        <v>40663.475</v>
      </c>
      <c r="F1282" s="0" t="n">
        <v>2.43</v>
      </c>
      <c r="G1282" s="0" t="n">
        <v>14758</v>
      </c>
      <c r="H1282" s="3" t="s">
        <v>14</v>
      </c>
      <c r="I1282" s="4" t="n">
        <f aca="false">D1282*F1282</f>
        <v>2.43</v>
      </c>
      <c r="J1282" s="3" t="n">
        <f aca="false">IF(AND(LEFT(A1282,1)&lt;&gt;"C",D1282&gt;0,F1282&gt;0),1,0)</f>
        <v>1</v>
      </c>
      <c r="K1282" s="3" t="n">
        <f aca="false">IF(AND(H1282="United Kingdom",G1282&lt;&gt;"",COUNTIFS($G$2:G1282,G1282,$H$2:H1282,"United Kingdom")=1),1,0)</f>
        <v>0</v>
      </c>
    </row>
    <row r="1283" customFormat="false" ht="15" hidden="false" customHeight="false" outlineLevel="0" collapsed="false">
      <c r="A1283" s="0" t="s">
        <v>325</v>
      </c>
      <c r="B1283" s="0" t="s">
        <v>25</v>
      </c>
      <c r="C1283" s="0" t="s">
        <v>26</v>
      </c>
      <c r="D1283" s="0" t="n">
        <v>12</v>
      </c>
      <c r="E1283" s="2" t="n">
        <v>40663.475</v>
      </c>
      <c r="F1283" s="0" t="n">
        <v>2.21</v>
      </c>
      <c r="G1283" s="0" t="n">
        <v>14758</v>
      </c>
      <c r="H1283" s="3" t="s">
        <v>14</v>
      </c>
      <c r="I1283" s="4" t="n">
        <f aca="false">D1283*F1283</f>
        <v>26.52</v>
      </c>
      <c r="J1283" s="3" t="n">
        <f aca="false">IF(AND(LEFT(A1283,1)&lt;&gt;"C",D1283&gt;0,F1283&gt;0),1,0)</f>
        <v>1</v>
      </c>
      <c r="K1283" s="3" t="n">
        <f aca="false">IF(AND(H1283="United Kingdom",G1283&lt;&gt;"",COUNTIFS($G$2:G1283,G1283,$H$2:H1283,"United Kingdom")=1),1,0)</f>
        <v>0</v>
      </c>
    </row>
    <row r="1284" customFormat="false" ht="15" hidden="false" customHeight="false" outlineLevel="0" collapsed="false">
      <c r="A1284" s="0" t="s">
        <v>325</v>
      </c>
      <c r="B1284" s="0" t="s">
        <v>34</v>
      </c>
      <c r="C1284" s="0" t="s">
        <v>35</v>
      </c>
      <c r="D1284" s="0" t="n">
        <v>4</v>
      </c>
      <c r="E1284" s="2" t="n">
        <v>40663.475</v>
      </c>
      <c r="F1284" s="0" t="n">
        <v>2.38</v>
      </c>
      <c r="G1284" s="0" t="n">
        <v>14758</v>
      </c>
      <c r="H1284" s="3" t="s">
        <v>14</v>
      </c>
      <c r="I1284" s="4" t="n">
        <f aca="false">D1284*F1284</f>
        <v>9.52</v>
      </c>
      <c r="J1284" s="3" t="n">
        <f aca="false">IF(AND(LEFT(A1284,1)&lt;&gt;"C",D1284&gt;0,F1284&gt;0),1,0)</f>
        <v>1</v>
      </c>
      <c r="K1284" s="3" t="n">
        <f aca="false">IF(AND(H1284="United Kingdom",G1284&lt;&gt;"",COUNTIFS($G$2:G1284,G1284,$H$2:H1284,"United Kingdom")=1),1,0)</f>
        <v>0</v>
      </c>
    </row>
    <row r="1285" customFormat="false" ht="15" hidden="false" customHeight="false" outlineLevel="0" collapsed="false">
      <c r="A1285" s="0" t="s">
        <v>325</v>
      </c>
      <c r="B1285" s="0" t="s">
        <v>60</v>
      </c>
      <c r="C1285" s="0" t="s">
        <v>61</v>
      </c>
      <c r="D1285" s="0" t="n">
        <v>8</v>
      </c>
      <c r="E1285" s="2" t="n">
        <v>40663.475</v>
      </c>
      <c r="F1285" s="0" t="n">
        <v>0.63</v>
      </c>
      <c r="G1285" s="0" t="n">
        <v>14758</v>
      </c>
      <c r="H1285" s="3" t="s">
        <v>14</v>
      </c>
      <c r="I1285" s="4" t="n">
        <f aca="false">D1285*F1285</f>
        <v>5.04</v>
      </c>
      <c r="J1285" s="3" t="n">
        <f aca="false">IF(AND(LEFT(A1285,1)&lt;&gt;"C",D1285&gt;0,F1285&gt;0),1,0)</f>
        <v>1</v>
      </c>
      <c r="K1285" s="3" t="n">
        <f aca="false">IF(AND(H1285="United Kingdom",G1285&lt;&gt;"",COUNTIFS($G$2:G1285,G1285,$H$2:H1285,"United Kingdom")=1),1,0)</f>
        <v>0</v>
      </c>
    </row>
    <row r="1286" customFormat="false" ht="15" hidden="false" customHeight="false" outlineLevel="0" collapsed="false">
      <c r="A1286" s="0" t="s">
        <v>325</v>
      </c>
      <c r="B1286" s="0" t="s">
        <v>50</v>
      </c>
      <c r="C1286" s="0" t="s">
        <v>51</v>
      </c>
      <c r="D1286" s="0" t="n">
        <v>4</v>
      </c>
      <c r="E1286" s="2" t="n">
        <v>40663.475</v>
      </c>
      <c r="F1286" s="0" t="n">
        <v>5.41</v>
      </c>
      <c r="G1286" s="0" t="n">
        <v>14758</v>
      </c>
      <c r="H1286" s="3" t="s">
        <v>14</v>
      </c>
      <c r="I1286" s="4" t="n">
        <f aca="false">D1286*F1286</f>
        <v>21.64</v>
      </c>
      <c r="J1286" s="3" t="n">
        <f aca="false">IF(AND(LEFT(A1286,1)&lt;&gt;"C",D1286&gt;0,F1286&gt;0),1,0)</f>
        <v>1</v>
      </c>
      <c r="K1286" s="3" t="n">
        <f aca="false">IF(AND(H1286="United Kingdom",G1286&lt;&gt;"",COUNTIFS($G$2:G1286,G1286,$H$2:H1286,"United Kingdom")=1),1,0)</f>
        <v>0</v>
      </c>
    </row>
    <row r="1287" customFormat="false" ht="15" hidden="false" customHeight="false" outlineLevel="0" collapsed="false">
      <c r="A1287" s="0" t="s">
        <v>325</v>
      </c>
      <c r="B1287" s="0" t="s">
        <v>68</v>
      </c>
      <c r="C1287" s="0" t="s">
        <v>69</v>
      </c>
      <c r="D1287" s="0" t="n">
        <v>3</v>
      </c>
      <c r="E1287" s="2" t="n">
        <v>40663.475</v>
      </c>
      <c r="F1287" s="0" t="n">
        <v>1.26</v>
      </c>
      <c r="G1287" s="0" t="n">
        <v>14758</v>
      </c>
      <c r="H1287" s="3" t="s">
        <v>14</v>
      </c>
      <c r="I1287" s="4" t="n">
        <f aca="false">D1287*F1287</f>
        <v>3.78</v>
      </c>
      <c r="J1287" s="3" t="n">
        <f aca="false">IF(AND(LEFT(A1287,1)&lt;&gt;"C",D1287&gt;0,F1287&gt;0),1,0)</f>
        <v>1</v>
      </c>
      <c r="K1287" s="3" t="n">
        <f aca="false">IF(AND(H1287="United Kingdom",G1287&lt;&gt;"",COUNTIFS($G$2:G1287,G1287,$H$2:H1287,"United Kingdom")=1),1,0)</f>
        <v>0</v>
      </c>
    </row>
    <row r="1288" customFormat="false" ht="15" hidden="false" customHeight="false" outlineLevel="0" collapsed="false">
      <c r="A1288" s="0" t="s">
        <v>325</v>
      </c>
      <c r="B1288" s="0" t="s">
        <v>113</v>
      </c>
      <c r="C1288" s="0" t="s">
        <v>114</v>
      </c>
      <c r="D1288" s="0" t="n">
        <v>8</v>
      </c>
      <c r="E1288" s="2" t="n">
        <v>40663.475</v>
      </c>
      <c r="F1288" s="0" t="n">
        <v>3.57</v>
      </c>
      <c r="G1288" s="0" t="n">
        <v>14758</v>
      </c>
      <c r="H1288" s="3" t="s">
        <v>14</v>
      </c>
      <c r="I1288" s="4" t="n">
        <f aca="false">D1288*F1288</f>
        <v>28.56</v>
      </c>
      <c r="J1288" s="3" t="n">
        <f aca="false">IF(AND(LEFT(A1288,1)&lt;&gt;"C",D1288&gt;0,F1288&gt;0),1,0)</f>
        <v>1</v>
      </c>
      <c r="K1288" s="3" t="n">
        <f aca="false">IF(AND(H1288="United Kingdom",G1288&lt;&gt;"",COUNTIFS($G$2:G1288,G1288,$H$2:H1288,"United Kingdom")=1),1,0)</f>
        <v>0</v>
      </c>
    </row>
    <row r="1289" customFormat="false" ht="15" hidden="false" customHeight="false" outlineLevel="0" collapsed="false">
      <c r="A1289" s="0" t="s">
        <v>325</v>
      </c>
      <c r="B1289" s="0" t="s">
        <v>12</v>
      </c>
      <c r="C1289" s="0" t="s">
        <v>13</v>
      </c>
      <c r="D1289" s="0" t="n">
        <v>3</v>
      </c>
      <c r="E1289" s="2" t="n">
        <v>40663.475</v>
      </c>
      <c r="F1289" s="0" t="n">
        <v>3.33</v>
      </c>
      <c r="G1289" s="0" t="n">
        <v>14758</v>
      </c>
      <c r="H1289" s="3" t="s">
        <v>14</v>
      </c>
      <c r="I1289" s="4" t="n">
        <f aca="false">D1289*F1289</f>
        <v>9.99</v>
      </c>
      <c r="J1289" s="3" t="n">
        <f aca="false">IF(AND(LEFT(A1289,1)&lt;&gt;"C",D1289&gt;0,F1289&gt;0),1,0)</f>
        <v>1</v>
      </c>
      <c r="K1289" s="3" t="n">
        <f aca="false">IF(AND(H1289="United Kingdom",G1289&lt;&gt;"",COUNTIFS($G$2:G1289,G1289,$H$2:H1289,"United Kingdom")=1),1,0)</f>
        <v>0</v>
      </c>
    </row>
    <row r="1290" customFormat="false" ht="15" hidden="false" customHeight="false" outlineLevel="0" collapsed="false">
      <c r="A1290" s="0" t="s">
        <v>325</v>
      </c>
      <c r="B1290" s="0" t="s">
        <v>80</v>
      </c>
      <c r="C1290" s="0" t="s">
        <v>81</v>
      </c>
      <c r="D1290" s="0" t="n">
        <v>3</v>
      </c>
      <c r="E1290" s="2" t="n">
        <v>40663.475</v>
      </c>
      <c r="F1290" s="0" t="n">
        <v>1.53</v>
      </c>
      <c r="G1290" s="0" t="n">
        <v>14758</v>
      </c>
      <c r="H1290" s="3" t="s">
        <v>14</v>
      </c>
      <c r="I1290" s="4" t="n">
        <f aca="false">D1290*F1290</f>
        <v>4.59</v>
      </c>
      <c r="J1290" s="3" t="n">
        <f aca="false">IF(AND(LEFT(A1290,1)&lt;&gt;"C",D1290&gt;0,F1290&gt;0),1,0)</f>
        <v>1</v>
      </c>
      <c r="K1290" s="3" t="n">
        <f aca="false">IF(AND(H1290="United Kingdom",G1290&lt;&gt;"",COUNTIFS($G$2:G1290,G1290,$H$2:H1290,"United Kingdom")=1),1,0)</f>
        <v>0</v>
      </c>
    </row>
    <row r="1291" customFormat="false" ht="15" hidden="false" customHeight="false" outlineLevel="0" collapsed="false">
      <c r="A1291" s="0" t="s">
        <v>325</v>
      </c>
      <c r="B1291" s="0" t="s">
        <v>20</v>
      </c>
      <c r="C1291" s="0" t="s">
        <v>21</v>
      </c>
      <c r="D1291" s="0" t="n">
        <v>24</v>
      </c>
      <c r="E1291" s="2" t="n">
        <v>40663.475</v>
      </c>
      <c r="F1291" s="0" t="n">
        <v>4.24</v>
      </c>
      <c r="G1291" s="0" t="n">
        <v>14758</v>
      </c>
      <c r="H1291" s="3" t="s">
        <v>14</v>
      </c>
      <c r="I1291" s="4" t="n">
        <f aca="false">D1291*F1291</f>
        <v>101.76</v>
      </c>
      <c r="J1291" s="3" t="n">
        <f aca="false">IF(AND(LEFT(A1291,1)&lt;&gt;"C",D1291&gt;0,F1291&gt;0),1,0)</f>
        <v>1</v>
      </c>
      <c r="K1291" s="3" t="n">
        <f aca="false">IF(AND(H1291="United Kingdom",G1291&lt;&gt;"",COUNTIFS($G$2:G1291,G1291,$H$2:H1291,"United Kingdom")=1),1,0)</f>
        <v>0</v>
      </c>
    </row>
    <row r="1292" customFormat="false" ht="15" hidden="false" customHeight="false" outlineLevel="0" collapsed="false">
      <c r="A1292" s="0" t="s">
        <v>325</v>
      </c>
      <c r="B1292" s="0" t="s">
        <v>37</v>
      </c>
      <c r="C1292" s="0" t="s">
        <v>38</v>
      </c>
      <c r="D1292" s="0" t="n">
        <v>2</v>
      </c>
      <c r="E1292" s="2" t="n">
        <v>40663.475</v>
      </c>
      <c r="F1292" s="0" t="n">
        <v>1.82</v>
      </c>
      <c r="G1292" s="0" t="n">
        <v>14758</v>
      </c>
      <c r="H1292" s="3" t="s">
        <v>14</v>
      </c>
      <c r="I1292" s="4" t="n">
        <f aca="false">D1292*F1292</f>
        <v>3.64</v>
      </c>
      <c r="J1292" s="3" t="n">
        <f aca="false">IF(AND(LEFT(A1292,1)&lt;&gt;"C",D1292&gt;0,F1292&gt;0),1,0)</f>
        <v>1</v>
      </c>
      <c r="K1292" s="3" t="n">
        <f aca="false">IF(AND(H1292="United Kingdom",G1292&lt;&gt;"",COUNTIFS($G$2:G1292,G1292,$H$2:H1292,"United Kingdom")=1),1,0)</f>
        <v>0</v>
      </c>
    </row>
    <row r="1293" customFormat="false" ht="15" hidden="false" customHeight="false" outlineLevel="0" collapsed="false">
      <c r="A1293" s="0" t="s">
        <v>325</v>
      </c>
      <c r="B1293" s="0" t="s">
        <v>58</v>
      </c>
      <c r="C1293" s="0" t="s">
        <v>59</v>
      </c>
      <c r="D1293" s="0" t="n">
        <v>3</v>
      </c>
      <c r="E1293" s="2" t="n">
        <v>40663.475</v>
      </c>
      <c r="F1293" s="0" t="n">
        <v>2.16</v>
      </c>
      <c r="G1293" s="0" t="n">
        <v>14758</v>
      </c>
      <c r="H1293" s="3" t="s">
        <v>14</v>
      </c>
      <c r="I1293" s="4" t="n">
        <f aca="false">D1293*F1293</f>
        <v>6.48</v>
      </c>
      <c r="J1293" s="3" t="n">
        <f aca="false">IF(AND(LEFT(A1293,1)&lt;&gt;"C",D1293&gt;0,F1293&gt;0),1,0)</f>
        <v>1</v>
      </c>
      <c r="K1293" s="3" t="n">
        <f aca="false">IF(AND(H1293="United Kingdom",G1293&lt;&gt;"",COUNTIFS($G$2:G1293,G1293,$H$2:H1293,"United Kingdom")=1),1,0)</f>
        <v>0</v>
      </c>
    </row>
    <row r="1294" customFormat="false" ht="15" hidden="false" customHeight="false" outlineLevel="0" collapsed="false">
      <c r="A1294" s="0" t="s">
        <v>325</v>
      </c>
      <c r="B1294" s="0" t="s">
        <v>29</v>
      </c>
      <c r="C1294" s="0" t="s">
        <v>30</v>
      </c>
      <c r="D1294" s="0" t="n">
        <v>6</v>
      </c>
      <c r="E1294" s="2" t="n">
        <v>40663.475</v>
      </c>
      <c r="F1294" s="0" t="n">
        <v>5.79</v>
      </c>
      <c r="G1294" s="0" t="n">
        <v>14758</v>
      </c>
      <c r="H1294" s="3" t="s">
        <v>14</v>
      </c>
      <c r="I1294" s="4" t="n">
        <f aca="false">D1294*F1294</f>
        <v>34.74</v>
      </c>
      <c r="J1294" s="3" t="n">
        <f aca="false">IF(AND(LEFT(A1294,1)&lt;&gt;"C",D1294&gt;0,F1294&gt;0),1,0)</f>
        <v>1</v>
      </c>
      <c r="K1294" s="3" t="n">
        <f aca="false">IF(AND(H1294="United Kingdom",G1294&lt;&gt;"",COUNTIFS($G$2:G1294,G1294,$H$2:H1294,"United Kingdom")=1),1,0)</f>
        <v>0</v>
      </c>
    </row>
    <row r="1295" customFormat="false" ht="15" hidden="false" customHeight="false" outlineLevel="0" collapsed="false">
      <c r="A1295" s="0" t="s">
        <v>326</v>
      </c>
      <c r="B1295" s="0" t="s">
        <v>45</v>
      </c>
      <c r="C1295" s="0" t="s">
        <v>46</v>
      </c>
      <c r="D1295" s="0" t="n">
        <v>-4</v>
      </c>
      <c r="E1295" s="2" t="n">
        <v>40664.3791666667</v>
      </c>
      <c r="F1295" s="0" t="n">
        <v>4.55</v>
      </c>
      <c r="G1295" s="0" t="n">
        <v>17362</v>
      </c>
      <c r="H1295" s="3" t="s">
        <v>14</v>
      </c>
      <c r="I1295" s="4" t="n">
        <f aca="false">D1295*F1295</f>
        <v>-18.2</v>
      </c>
      <c r="J1295" s="3" t="n">
        <f aca="false">IF(AND(LEFT(A1295,1)&lt;&gt;"C",D1295&gt;0,F1295&gt;0),1,0)</f>
        <v>0</v>
      </c>
      <c r="K1295" s="3" t="n">
        <f aca="false">IF(AND(H1295="United Kingdom",G1295&lt;&gt;"",COUNTIFS($G$2:G1295,G1295,$H$2:H1295,"United Kingdom")=1),1,0)</f>
        <v>0</v>
      </c>
    </row>
    <row r="1296" customFormat="false" ht="15" hidden="false" customHeight="false" outlineLevel="0" collapsed="false">
      <c r="A1296" s="0" t="s">
        <v>327</v>
      </c>
      <c r="B1296" s="0" t="s">
        <v>27</v>
      </c>
      <c r="C1296" s="0" t="s">
        <v>28</v>
      </c>
      <c r="D1296" s="0" t="n">
        <v>3</v>
      </c>
      <c r="E1296" s="2" t="n">
        <v>40664.6701388889</v>
      </c>
      <c r="F1296" s="0" t="n">
        <v>4.55</v>
      </c>
      <c r="G1296" s="0" t="n">
        <v>18034</v>
      </c>
      <c r="H1296" s="3" t="s">
        <v>14</v>
      </c>
      <c r="I1296" s="4" t="n">
        <f aca="false">D1296*F1296</f>
        <v>13.65</v>
      </c>
      <c r="J1296" s="3" t="n">
        <f aca="false">IF(AND(LEFT(A1296,1)&lt;&gt;"C",D1296&gt;0,F1296&gt;0),1,0)</f>
        <v>1</v>
      </c>
      <c r="K1296" s="3" t="n">
        <f aca="false">IF(AND(H1296="United Kingdom",G1296&lt;&gt;"",COUNTIFS($G$2:G1296,G1296,$H$2:H1296,"United Kingdom")=1),1,0)</f>
        <v>0</v>
      </c>
    </row>
    <row r="1297" customFormat="false" ht="15" hidden="false" customHeight="false" outlineLevel="0" collapsed="false">
      <c r="A1297" s="0" t="s">
        <v>327</v>
      </c>
      <c r="B1297" s="0" t="s">
        <v>45</v>
      </c>
      <c r="C1297" s="0" t="s">
        <v>46</v>
      </c>
      <c r="D1297" s="0" t="n">
        <v>1</v>
      </c>
      <c r="E1297" s="2" t="n">
        <v>40664.6701388889</v>
      </c>
      <c r="F1297" s="0" t="n">
        <v>4.55</v>
      </c>
      <c r="G1297" s="0" t="n">
        <v>18034</v>
      </c>
      <c r="H1297" s="3" t="s">
        <v>14</v>
      </c>
      <c r="I1297" s="4" t="n">
        <f aca="false">D1297*F1297</f>
        <v>4.55</v>
      </c>
      <c r="J1297" s="3" t="n">
        <f aca="false">IF(AND(LEFT(A1297,1)&lt;&gt;"C",D1297&gt;0,F1297&gt;0),1,0)</f>
        <v>1</v>
      </c>
      <c r="K1297" s="3" t="n">
        <f aca="false">IF(AND(H1297="United Kingdom",G1297&lt;&gt;"",COUNTIFS($G$2:G1297,G1297,$H$2:H1297,"United Kingdom")=1),1,0)</f>
        <v>0</v>
      </c>
    </row>
    <row r="1298" customFormat="false" ht="15" hidden="false" customHeight="false" outlineLevel="0" collapsed="false">
      <c r="A1298" s="0" t="s">
        <v>327</v>
      </c>
      <c r="B1298" s="0" t="s">
        <v>48</v>
      </c>
      <c r="C1298" s="0" t="s">
        <v>49</v>
      </c>
      <c r="D1298" s="0" t="n">
        <v>3</v>
      </c>
      <c r="E1298" s="2" t="n">
        <v>40664.6701388889</v>
      </c>
      <c r="F1298" s="0" t="n">
        <v>1.35</v>
      </c>
      <c r="G1298" s="0" t="n">
        <v>18034</v>
      </c>
      <c r="H1298" s="3" t="s">
        <v>14</v>
      </c>
      <c r="I1298" s="4" t="n">
        <f aca="false">D1298*F1298</f>
        <v>4.05</v>
      </c>
      <c r="J1298" s="3" t="n">
        <f aca="false">IF(AND(LEFT(A1298,1)&lt;&gt;"C",D1298&gt;0,F1298&gt;0),1,0)</f>
        <v>1</v>
      </c>
      <c r="K1298" s="3" t="n">
        <f aca="false">IF(AND(H1298="United Kingdom",G1298&lt;&gt;"",COUNTIFS($G$2:G1298,G1298,$H$2:H1298,"United Kingdom")=1),1,0)</f>
        <v>0</v>
      </c>
    </row>
    <row r="1299" customFormat="false" ht="15" hidden="false" customHeight="false" outlineLevel="0" collapsed="false">
      <c r="A1299" s="0" t="s">
        <v>327</v>
      </c>
      <c r="B1299" s="0" t="s">
        <v>68</v>
      </c>
      <c r="C1299" s="0" t="s">
        <v>69</v>
      </c>
      <c r="D1299" s="0" t="n">
        <v>4</v>
      </c>
      <c r="E1299" s="2" t="n">
        <v>40664.6701388889</v>
      </c>
      <c r="F1299" s="0" t="n">
        <v>1.26</v>
      </c>
      <c r="G1299" s="0" t="n">
        <v>18034</v>
      </c>
      <c r="H1299" s="3" t="s">
        <v>14</v>
      </c>
      <c r="I1299" s="4" t="n">
        <f aca="false">D1299*F1299</f>
        <v>5.04</v>
      </c>
      <c r="J1299" s="3" t="n">
        <f aca="false">IF(AND(LEFT(A1299,1)&lt;&gt;"C",D1299&gt;0,F1299&gt;0),1,0)</f>
        <v>1</v>
      </c>
      <c r="K1299" s="3" t="n">
        <f aca="false">IF(AND(H1299="United Kingdom",G1299&lt;&gt;"",COUNTIFS($G$2:G1299,G1299,$H$2:H1299,"United Kingdom")=1),1,0)</f>
        <v>0</v>
      </c>
    </row>
    <row r="1300" customFormat="false" ht="15" hidden="false" customHeight="false" outlineLevel="0" collapsed="false">
      <c r="A1300" s="0" t="s">
        <v>328</v>
      </c>
      <c r="B1300" s="0" t="s">
        <v>25</v>
      </c>
      <c r="C1300" s="0" t="s">
        <v>26</v>
      </c>
      <c r="D1300" s="0" t="n">
        <v>12</v>
      </c>
      <c r="E1300" s="2" t="n">
        <v>40665.7881944445</v>
      </c>
      <c r="F1300" s="0" t="n">
        <v>2.21</v>
      </c>
      <c r="H1300" s="3" t="s">
        <v>14</v>
      </c>
      <c r="I1300" s="4" t="n">
        <f aca="false">D1300*F1300</f>
        <v>26.52</v>
      </c>
      <c r="J1300" s="3" t="n">
        <f aca="false">IF(AND(LEFT(A1300,1)&lt;&gt;"C",D1300&gt;0,F1300&gt;0),1,0)</f>
        <v>1</v>
      </c>
      <c r="K1300" s="3" t="n">
        <f aca="false">IF(AND(H1300="United Kingdom",G1300&lt;&gt;"",COUNTIFS($G$2:G1300,G1300,$H$2:H1300,"United Kingdom")=1),1,0)</f>
        <v>0</v>
      </c>
    </row>
    <row r="1301" customFormat="false" ht="15" hidden="false" customHeight="false" outlineLevel="0" collapsed="false">
      <c r="A1301" s="0" t="s">
        <v>329</v>
      </c>
      <c r="B1301" s="0" t="s">
        <v>75</v>
      </c>
      <c r="C1301" s="0" t="s">
        <v>76</v>
      </c>
      <c r="D1301" s="0" t="n">
        <v>24</v>
      </c>
      <c r="E1301" s="2" t="n">
        <v>40665.7902777778</v>
      </c>
      <c r="F1301" s="0" t="n">
        <v>1.97</v>
      </c>
      <c r="G1301" s="0" t="n">
        <v>18102</v>
      </c>
      <c r="H1301" s="3" t="s">
        <v>14</v>
      </c>
      <c r="I1301" s="4" t="n">
        <f aca="false">D1301*F1301</f>
        <v>47.28</v>
      </c>
      <c r="J1301" s="3" t="n">
        <f aca="false">IF(AND(LEFT(A1301,1)&lt;&gt;"C",D1301&gt;0,F1301&gt;0),1,0)</f>
        <v>1</v>
      </c>
      <c r="K1301" s="3" t="n">
        <f aca="false">IF(AND(H1301="United Kingdom",G1301&lt;&gt;"",COUNTIFS($G$2:G1301,G1301,$H$2:H1301,"United Kingdom")=1),1,0)</f>
        <v>0</v>
      </c>
    </row>
    <row r="1302" customFormat="false" ht="15" hidden="false" customHeight="false" outlineLevel="0" collapsed="false">
      <c r="A1302" s="0" t="s">
        <v>329</v>
      </c>
      <c r="B1302" s="0" t="s">
        <v>68</v>
      </c>
      <c r="C1302" s="0" t="s">
        <v>69</v>
      </c>
      <c r="D1302" s="0" t="n">
        <v>4</v>
      </c>
      <c r="E1302" s="2" t="n">
        <v>40665.7902777778</v>
      </c>
      <c r="F1302" s="0" t="n">
        <v>1.26</v>
      </c>
      <c r="G1302" s="0" t="n">
        <v>18102</v>
      </c>
      <c r="H1302" s="3" t="s">
        <v>14</v>
      </c>
      <c r="I1302" s="4" t="n">
        <f aca="false">D1302*F1302</f>
        <v>5.04</v>
      </c>
      <c r="J1302" s="3" t="n">
        <f aca="false">IF(AND(LEFT(A1302,1)&lt;&gt;"C",D1302&gt;0,F1302&gt;0),1,0)</f>
        <v>1</v>
      </c>
      <c r="K1302" s="3" t="n">
        <f aca="false">IF(AND(H1302="United Kingdom",G1302&lt;&gt;"",COUNTIFS($G$2:G1302,G1302,$H$2:H1302,"United Kingdom")=1),1,0)</f>
        <v>0</v>
      </c>
    </row>
    <row r="1303" customFormat="false" ht="15" hidden="false" customHeight="false" outlineLevel="0" collapsed="false">
      <c r="A1303" s="0" t="s">
        <v>329</v>
      </c>
      <c r="B1303" s="0" t="s">
        <v>15</v>
      </c>
      <c r="C1303" s="0" t="s">
        <v>16</v>
      </c>
      <c r="D1303" s="0" t="n">
        <v>8</v>
      </c>
      <c r="E1303" s="2" t="n">
        <v>40665.7902777778</v>
      </c>
      <c r="F1303" s="0" t="n">
        <v>3.18</v>
      </c>
      <c r="G1303" s="0" t="n">
        <v>18102</v>
      </c>
      <c r="H1303" s="3" t="s">
        <v>14</v>
      </c>
      <c r="I1303" s="4" t="n">
        <f aca="false">D1303*F1303</f>
        <v>25.44</v>
      </c>
      <c r="J1303" s="3" t="n">
        <f aca="false">IF(AND(LEFT(A1303,1)&lt;&gt;"C",D1303&gt;0,F1303&gt;0),1,0)</f>
        <v>1</v>
      </c>
      <c r="K1303" s="3" t="n">
        <f aca="false">IF(AND(H1303="United Kingdom",G1303&lt;&gt;"",COUNTIFS($G$2:G1303,G1303,$H$2:H1303,"United Kingdom")=1),1,0)</f>
        <v>0</v>
      </c>
    </row>
    <row r="1304" customFormat="false" ht="15" hidden="false" customHeight="false" outlineLevel="0" collapsed="false">
      <c r="A1304" s="0" t="s">
        <v>329</v>
      </c>
      <c r="B1304" s="0" t="s">
        <v>17</v>
      </c>
      <c r="C1304" s="0" t="s">
        <v>18</v>
      </c>
      <c r="D1304" s="0" t="n">
        <v>3</v>
      </c>
      <c r="E1304" s="2" t="n">
        <v>40665.7902777778</v>
      </c>
      <c r="F1304" s="0" t="n">
        <v>1.92</v>
      </c>
      <c r="G1304" s="0" t="n">
        <v>18102</v>
      </c>
      <c r="H1304" s="3" t="s">
        <v>14</v>
      </c>
      <c r="I1304" s="4" t="n">
        <f aca="false">D1304*F1304</f>
        <v>5.76</v>
      </c>
      <c r="J1304" s="3" t="n">
        <f aca="false">IF(AND(LEFT(A1304,1)&lt;&gt;"C",D1304&gt;0,F1304&gt;0),1,0)</f>
        <v>1</v>
      </c>
      <c r="K1304" s="3" t="n">
        <f aca="false">IF(AND(H1304="United Kingdom",G1304&lt;&gt;"",COUNTIFS($G$2:G1304,G1304,$H$2:H1304,"United Kingdom")=1),1,0)</f>
        <v>0</v>
      </c>
    </row>
    <row r="1305" customFormat="false" ht="15" hidden="false" customHeight="false" outlineLevel="0" collapsed="false">
      <c r="A1305" s="0" t="s">
        <v>329</v>
      </c>
      <c r="B1305" s="0" t="s">
        <v>29</v>
      </c>
      <c r="C1305" s="0" t="s">
        <v>30</v>
      </c>
      <c r="D1305" s="0" t="n">
        <v>24</v>
      </c>
      <c r="E1305" s="2" t="n">
        <v>40665.7902777778</v>
      </c>
      <c r="F1305" s="0" t="n">
        <v>5.79</v>
      </c>
      <c r="G1305" s="0" t="n">
        <v>18102</v>
      </c>
      <c r="H1305" s="3" t="s">
        <v>14</v>
      </c>
      <c r="I1305" s="4" t="n">
        <f aca="false">D1305*F1305</f>
        <v>138.96</v>
      </c>
      <c r="J1305" s="3" t="n">
        <f aca="false">IF(AND(LEFT(A1305,1)&lt;&gt;"C",D1305&gt;0,F1305&gt;0),1,0)</f>
        <v>1</v>
      </c>
      <c r="K1305" s="3" t="n">
        <f aca="false">IF(AND(H1305="United Kingdom",G1305&lt;&gt;"",COUNTIFS($G$2:G1305,G1305,$H$2:H1305,"United Kingdom")=1),1,0)</f>
        <v>0</v>
      </c>
    </row>
    <row r="1306" customFormat="false" ht="15" hidden="false" customHeight="false" outlineLevel="0" collapsed="false">
      <c r="A1306" s="0" t="s">
        <v>329</v>
      </c>
      <c r="B1306" s="0" t="s">
        <v>58</v>
      </c>
      <c r="C1306" s="0" t="s">
        <v>59</v>
      </c>
      <c r="D1306" s="0" t="n">
        <v>4</v>
      </c>
      <c r="E1306" s="2" t="n">
        <v>40665.7902777778</v>
      </c>
      <c r="F1306" s="0" t="n">
        <v>2.16</v>
      </c>
      <c r="G1306" s="0" t="n">
        <v>18102</v>
      </c>
      <c r="H1306" s="3" t="s">
        <v>14</v>
      </c>
      <c r="I1306" s="4" t="n">
        <f aca="false">D1306*F1306</f>
        <v>8.64</v>
      </c>
      <c r="J1306" s="3" t="n">
        <f aca="false">IF(AND(LEFT(A1306,1)&lt;&gt;"C",D1306&gt;0,F1306&gt;0),1,0)</f>
        <v>1</v>
      </c>
      <c r="K1306" s="3" t="n">
        <f aca="false">IF(AND(H1306="United Kingdom",G1306&lt;&gt;"",COUNTIFS($G$2:G1306,G1306,$H$2:H1306,"United Kingdom")=1),1,0)</f>
        <v>0</v>
      </c>
    </row>
    <row r="1307" customFormat="false" ht="15" hidden="false" customHeight="false" outlineLevel="0" collapsed="false">
      <c r="A1307" s="0" t="s">
        <v>329</v>
      </c>
      <c r="B1307" s="0" t="s">
        <v>80</v>
      </c>
      <c r="C1307" s="0" t="s">
        <v>81</v>
      </c>
      <c r="D1307" s="0" t="n">
        <v>3</v>
      </c>
      <c r="E1307" s="2" t="n">
        <v>40665.7902777778</v>
      </c>
      <c r="F1307" s="0" t="n">
        <v>1.53</v>
      </c>
      <c r="G1307" s="0" t="n">
        <v>18102</v>
      </c>
      <c r="H1307" s="3" t="s">
        <v>14</v>
      </c>
      <c r="I1307" s="4" t="n">
        <f aca="false">D1307*F1307</f>
        <v>4.59</v>
      </c>
      <c r="J1307" s="3" t="n">
        <f aca="false">IF(AND(LEFT(A1307,1)&lt;&gt;"C",D1307&gt;0,F1307&gt;0),1,0)</f>
        <v>1</v>
      </c>
      <c r="K1307" s="3" t="n">
        <f aca="false">IF(AND(H1307="United Kingdom",G1307&lt;&gt;"",COUNTIFS($G$2:G1307,G1307,$H$2:H1307,"United Kingdom")=1),1,0)</f>
        <v>0</v>
      </c>
    </row>
    <row r="1308" customFormat="false" ht="15" hidden="false" customHeight="false" outlineLevel="0" collapsed="false">
      <c r="A1308" s="0" t="s">
        <v>329</v>
      </c>
      <c r="B1308" s="0" t="s">
        <v>43</v>
      </c>
      <c r="C1308" s="0" t="s">
        <v>44</v>
      </c>
      <c r="D1308" s="0" t="n">
        <v>8</v>
      </c>
      <c r="E1308" s="2" t="n">
        <v>40665.7902777778</v>
      </c>
      <c r="F1308" s="0" t="n">
        <v>1.35</v>
      </c>
      <c r="G1308" s="0" t="n">
        <v>18102</v>
      </c>
      <c r="H1308" s="3" t="s">
        <v>14</v>
      </c>
      <c r="I1308" s="4" t="n">
        <f aca="false">D1308*F1308</f>
        <v>10.8</v>
      </c>
      <c r="J1308" s="3" t="n">
        <f aca="false">IF(AND(LEFT(A1308,1)&lt;&gt;"C",D1308&gt;0,F1308&gt;0),1,0)</f>
        <v>1</v>
      </c>
      <c r="K1308" s="3" t="n">
        <f aca="false">IF(AND(H1308="United Kingdom",G1308&lt;&gt;"",COUNTIFS($G$2:G1308,G1308,$H$2:H1308,"United Kingdom")=1),1,0)</f>
        <v>0</v>
      </c>
    </row>
    <row r="1309" customFormat="false" ht="15" hidden="false" customHeight="false" outlineLevel="0" collapsed="false">
      <c r="A1309" s="0" t="s">
        <v>329</v>
      </c>
      <c r="B1309" s="0" t="s">
        <v>22</v>
      </c>
      <c r="C1309" s="0" t="s">
        <v>23</v>
      </c>
      <c r="D1309" s="0" t="n">
        <v>2</v>
      </c>
      <c r="E1309" s="2" t="n">
        <v>40665.7902777778</v>
      </c>
      <c r="F1309" s="0" t="n">
        <v>3.18</v>
      </c>
      <c r="G1309" s="0" t="n">
        <v>18102</v>
      </c>
      <c r="H1309" s="3" t="s">
        <v>14</v>
      </c>
      <c r="I1309" s="4" t="n">
        <f aca="false">D1309*F1309</f>
        <v>6.36</v>
      </c>
      <c r="J1309" s="3" t="n">
        <f aca="false">IF(AND(LEFT(A1309,1)&lt;&gt;"C",D1309&gt;0,F1309&gt;0),1,0)</f>
        <v>1</v>
      </c>
      <c r="K1309" s="3" t="n">
        <f aca="false">IF(AND(H1309="United Kingdom",G1309&lt;&gt;"",COUNTIFS($G$2:G1309,G1309,$H$2:H1309,"United Kingdom")=1),1,0)</f>
        <v>0</v>
      </c>
    </row>
    <row r="1310" customFormat="false" ht="15" hidden="false" customHeight="false" outlineLevel="0" collapsed="false">
      <c r="A1310" s="0" t="s">
        <v>329</v>
      </c>
      <c r="B1310" s="0" t="s">
        <v>52</v>
      </c>
      <c r="C1310" s="0" t="s">
        <v>53</v>
      </c>
      <c r="D1310" s="0" t="n">
        <v>6</v>
      </c>
      <c r="E1310" s="2" t="n">
        <v>40665.7902777778</v>
      </c>
      <c r="F1310" s="0" t="n">
        <v>4.16</v>
      </c>
      <c r="G1310" s="0" t="n">
        <v>18102</v>
      </c>
      <c r="H1310" s="3" t="s">
        <v>14</v>
      </c>
      <c r="I1310" s="4" t="n">
        <f aca="false">D1310*F1310</f>
        <v>24.96</v>
      </c>
      <c r="J1310" s="3" t="n">
        <f aca="false">IF(AND(LEFT(A1310,1)&lt;&gt;"C",D1310&gt;0,F1310&gt;0),1,0)</f>
        <v>1</v>
      </c>
      <c r="K1310" s="3" t="n">
        <f aca="false">IF(AND(H1310="United Kingdom",G1310&lt;&gt;"",COUNTIFS($G$2:G1310,G1310,$H$2:H1310,"United Kingdom")=1),1,0)</f>
        <v>0</v>
      </c>
    </row>
    <row r="1311" customFormat="false" ht="15" hidden="false" customHeight="false" outlineLevel="0" collapsed="false">
      <c r="A1311" s="0" t="s">
        <v>329</v>
      </c>
      <c r="B1311" s="0" t="s">
        <v>39</v>
      </c>
      <c r="C1311" s="0" t="s">
        <v>40</v>
      </c>
      <c r="D1311" s="0" t="n">
        <v>2</v>
      </c>
      <c r="E1311" s="2" t="n">
        <v>40665.7902777778</v>
      </c>
      <c r="F1311" s="0" t="n">
        <v>2.58</v>
      </c>
      <c r="G1311" s="0" t="n">
        <v>18102</v>
      </c>
      <c r="H1311" s="3" t="s">
        <v>14</v>
      </c>
      <c r="I1311" s="4" t="n">
        <f aca="false">D1311*F1311</f>
        <v>5.16</v>
      </c>
      <c r="J1311" s="3" t="n">
        <f aca="false">IF(AND(LEFT(A1311,1)&lt;&gt;"C",D1311&gt;0,F1311&gt;0),1,0)</f>
        <v>1</v>
      </c>
      <c r="K1311" s="3" t="n">
        <f aca="false">IF(AND(H1311="United Kingdom",G1311&lt;&gt;"",COUNTIFS($G$2:G1311,G1311,$H$2:H1311,"United Kingdom")=1),1,0)</f>
        <v>0</v>
      </c>
    </row>
    <row r="1312" customFormat="false" ht="15" hidden="false" customHeight="false" outlineLevel="0" collapsed="false">
      <c r="A1312" s="0" t="s">
        <v>329</v>
      </c>
      <c r="B1312" s="0" t="s">
        <v>41</v>
      </c>
      <c r="C1312" s="0" t="s">
        <v>42</v>
      </c>
      <c r="D1312" s="0" t="n">
        <v>1</v>
      </c>
      <c r="E1312" s="2" t="n">
        <v>40665.7902777778</v>
      </c>
      <c r="F1312" s="0" t="n">
        <v>3.28</v>
      </c>
      <c r="G1312" s="0" t="n">
        <v>18102</v>
      </c>
      <c r="H1312" s="3" t="s">
        <v>14</v>
      </c>
      <c r="I1312" s="4" t="n">
        <f aca="false">D1312*F1312</f>
        <v>3.28</v>
      </c>
      <c r="J1312" s="3" t="n">
        <f aca="false">IF(AND(LEFT(A1312,1)&lt;&gt;"C",D1312&gt;0,F1312&gt;0),1,0)</f>
        <v>1</v>
      </c>
      <c r="K1312" s="3" t="n">
        <f aca="false">IF(AND(H1312="United Kingdom",G1312&lt;&gt;"",COUNTIFS($G$2:G1312,G1312,$H$2:H1312,"United Kingdom")=1),1,0)</f>
        <v>0</v>
      </c>
    </row>
    <row r="1313" customFormat="false" ht="15" hidden="false" customHeight="false" outlineLevel="0" collapsed="false">
      <c r="A1313" s="0" t="s">
        <v>329</v>
      </c>
      <c r="B1313" s="0" t="s">
        <v>48</v>
      </c>
      <c r="C1313" s="0" t="s">
        <v>49</v>
      </c>
      <c r="D1313" s="0" t="n">
        <v>3</v>
      </c>
      <c r="E1313" s="2" t="n">
        <v>40665.7902777778</v>
      </c>
      <c r="F1313" s="0" t="n">
        <v>1.35</v>
      </c>
      <c r="G1313" s="0" t="n">
        <v>18102</v>
      </c>
      <c r="H1313" s="3" t="s">
        <v>14</v>
      </c>
      <c r="I1313" s="4" t="n">
        <f aca="false">D1313*F1313</f>
        <v>4.05</v>
      </c>
      <c r="J1313" s="3" t="n">
        <f aca="false">IF(AND(LEFT(A1313,1)&lt;&gt;"C",D1313&gt;0,F1313&gt;0),1,0)</f>
        <v>1</v>
      </c>
      <c r="K1313" s="3" t="n">
        <f aca="false">IF(AND(H1313="United Kingdom",G1313&lt;&gt;"",COUNTIFS($G$2:G1313,G1313,$H$2:H1313,"United Kingdom")=1),1,0)</f>
        <v>0</v>
      </c>
    </row>
    <row r="1314" customFormat="false" ht="15" hidden="false" customHeight="false" outlineLevel="0" collapsed="false">
      <c r="A1314" s="0" t="s">
        <v>329</v>
      </c>
      <c r="B1314" s="0" t="s">
        <v>45</v>
      </c>
      <c r="C1314" s="0" t="s">
        <v>46</v>
      </c>
      <c r="D1314" s="0" t="n">
        <v>4</v>
      </c>
      <c r="E1314" s="2" t="n">
        <v>40665.7902777778</v>
      </c>
      <c r="F1314" s="0" t="n">
        <v>4.55</v>
      </c>
      <c r="G1314" s="0" t="n">
        <v>18102</v>
      </c>
      <c r="H1314" s="3" t="s">
        <v>14</v>
      </c>
      <c r="I1314" s="4" t="n">
        <f aca="false">D1314*F1314</f>
        <v>18.2</v>
      </c>
      <c r="J1314" s="3" t="n">
        <f aca="false">IF(AND(LEFT(A1314,1)&lt;&gt;"C",D1314&gt;0,F1314&gt;0),1,0)</f>
        <v>1</v>
      </c>
      <c r="K1314" s="3" t="n">
        <f aca="false">IF(AND(H1314="United Kingdom",G1314&lt;&gt;"",COUNTIFS($G$2:G1314,G1314,$H$2:H1314,"United Kingdom")=1),1,0)</f>
        <v>0</v>
      </c>
    </row>
    <row r="1315" customFormat="false" ht="15" hidden="false" customHeight="false" outlineLevel="0" collapsed="false">
      <c r="A1315" s="0" t="s">
        <v>329</v>
      </c>
      <c r="B1315" s="0" t="s">
        <v>27</v>
      </c>
      <c r="C1315" s="0" t="s">
        <v>28</v>
      </c>
      <c r="D1315" s="0" t="n">
        <v>2</v>
      </c>
      <c r="E1315" s="2" t="n">
        <v>40665.7902777778</v>
      </c>
      <c r="F1315" s="0" t="n">
        <v>4.55</v>
      </c>
      <c r="G1315" s="0" t="n">
        <v>18102</v>
      </c>
      <c r="H1315" s="3" t="s">
        <v>14</v>
      </c>
      <c r="I1315" s="4" t="n">
        <f aca="false">D1315*F1315</f>
        <v>9.1</v>
      </c>
      <c r="J1315" s="3" t="n">
        <f aca="false">IF(AND(LEFT(A1315,1)&lt;&gt;"C",D1315&gt;0,F1315&gt;0),1,0)</f>
        <v>1</v>
      </c>
      <c r="K1315" s="3" t="n">
        <f aca="false">IF(AND(H1315="United Kingdom",G1315&lt;&gt;"",COUNTIFS($G$2:G1315,G1315,$H$2:H1315,"United Kingdom")=1),1,0)</f>
        <v>0</v>
      </c>
    </row>
    <row r="1316" customFormat="false" ht="15" hidden="false" customHeight="false" outlineLevel="0" collapsed="false">
      <c r="A1316" s="0" t="s">
        <v>329</v>
      </c>
      <c r="B1316" s="0" t="s">
        <v>72</v>
      </c>
      <c r="C1316" s="0" t="s">
        <v>73</v>
      </c>
      <c r="D1316" s="0" t="n">
        <v>2</v>
      </c>
      <c r="E1316" s="2" t="n">
        <v>40665.7902777778</v>
      </c>
      <c r="F1316" s="0" t="n">
        <v>2.69</v>
      </c>
      <c r="G1316" s="0" t="n">
        <v>18102</v>
      </c>
      <c r="H1316" s="3" t="s">
        <v>14</v>
      </c>
      <c r="I1316" s="4" t="n">
        <f aca="false">D1316*F1316</f>
        <v>5.38</v>
      </c>
      <c r="J1316" s="3" t="n">
        <f aca="false">IF(AND(LEFT(A1316,1)&lt;&gt;"C",D1316&gt;0,F1316&gt;0),1,0)</f>
        <v>1</v>
      </c>
      <c r="K1316" s="3" t="n">
        <f aca="false">IF(AND(H1316="United Kingdom",G1316&lt;&gt;"",COUNTIFS($G$2:G1316,G1316,$H$2:H1316,"United Kingdom")=1),1,0)</f>
        <v>0</v>
      </c>
    </row>
    <row r="1317" customFormat="false" ht="15" hidden="false" customHeight="false" outlineLevel="0" collapsed="false">
      <c r="A1317" s="0" t="s">
        <v>329</v>
      </c>
      <c r="B1317" s="0" t="s">
        <v>54</v>
      </c>
      <c r="C1317" s="0" t="s">
        <v>55</v>
      </c>
      <c r="D1317" s="0" t="n">
        <v>6</v>
      </c>
      <c r="E1317" s="2" t="n">
        <v>40665.7902777778</v>
      </c>
      <c r="F1317" s="0" t="n">
        <v>0.99</v>
      </c>
      <c r="G1317" s="0" t="n">
        <v>18102</v>
      </c>
      <c r="H1317" s="3" t="s">
        <v>14</v>
      </c>
      <c r="I1317" s="4" t="n">
        <f aca="false">D1317*F1317</f>
        <v>5.94</v>
      </c>
      <c r="J1317" s="3" t="n">
        <f aca="false">IF(AND(LEFT(A1317,1)&lt;&gt;"C",D1317&gt;0,F1317&gt;0),1,0)</f>
        <v>1</v>
      </c>
      <c r="K1317" s="3" t="n">
        <f aca="false">IF(AND(H1317="United Kingdom",G1317&lt;&gt;"",COUNTIFS($G$2:G1317,G1317,$H$2:H1317,"United Kingdom")=1),1,0)</f>
        <v>0</v>
      </c>
    </row>
    <row r="1318" customFormat="false" ht="15" hidden="false" customHeight="false" outlineLevel="0" collapsed="false">
      <c r="A1318" s="0" t="s">
        <v>329</v>
      </c>
      <c r="B1318" s="0" t="s">
        <v>113</v>
      </c>
      <c r="C1318" s="0" t="s">
        <v>114</v>
      </c>
      <c r="D1318" s="0" t="n">
        <v>6</v>
      </c>
      <c r="E1318" s="2" t="n">
        <v>40665.7902777778</v>
      </c>
      <c r="F1318" s="0" t="n">
        <v>3.57</v>
      </c>
      <c r="G1318" s="0" t="n">
        <v>18102</v>
      </c>
      <c r="H1318" s="3" t="s">
        <v>14</v>
      </c>
      <c r="I1318" s="4" t="n">
        <f aca="false">D1318*F1318</f>
        <v>21.42</v>
      </c>
      <c r="J1318" s="3" t="n">
        <f aca="false">IF(AND(LEFT(A1318,1)&lt;&gt;"C",D1318&gt;0,F1318&gt;0),1,0)</f>
        <v>1</v>
      </c>
      <c r="K1318" s="3" t="n">
        <f aca="false">IF(AND(H1318="United Kingdom",G1318&lt;&gt;"",COUNTIFS($G$2:G1318,G1318,$H$2:H1318,"United Kingdom")=1),1,0)</f>
        <v>0</v>
      </c>
    </row>
    <row r="1319" customFormat="false" ht="15" hidden="false" customHeight="false" outlineLevel="0" collapsed="false">
      <c r="A1319" s="0" t="s">
        <v>330</v>
      </c>
      <c r="B1319" s="0" t="s">
        <v>15</v>
      </c>
      <c r="C1319" s="0" t="s">
        <v>16</v>
      </c>
      <c r="D1319" s="0" t="n">
        <v>7</v>
      </c>
      <c r="E1319" s="2" t="n">
        <v>40666.7034722222</v>
      </c>
      <c r="F1319" s="0" t="n">
        <v>3.18</v>
      </c>
      <c r="G1319" s="0" t="n">
        <v>14600</v>
      </c>
      <c r="H1319" s="3" t="s">
        <v>120</v>
      </c>
      <c r="I1319" s="4" t="n">
        <f aca="false">D1319*F1319</f>
        <v>22.26</v>
      </c>
      <c r="J1319" s="3" t="n">
        <f aca="false">IF(AND(LEFT(A1319,1)&lt;&gt;"C",D1319&gt;0,F1319&gt;0),1,0)</f>
        <v>1</v>
      </c>
      <c r="K1319" s="3" t="n">
        <f aca="false">IF(AND(H1319="United Kingdom",G1319&lt;&gt;"",COUNTIFS($G$2:G1319,G1319,$H$2:H1319,"United Kingdom")=1),1,0)</f>
        <v>0</v>
      </c>
    </row>
    <row r="1320" customFormat="false" ht="15" hidden="false" customHeight="false" outlineLevel="0" collapsed="false">
      <c r="A1320" s="0" t="s">
        <v>330</v>
      </c>
      <c r="B1320" s="0" t="s">
        <v>12</v>
      </c>
      <c r="C1320" s="0" t="s">
        <v>13</v>
      </c>
      <c r="D1320" s="0" t="n">
        <v>10</v>
      </c>
      <c r="E1320" s="2" t="n">
        <v>40666.7034722222</v>
      </c>
      <c r="F1320" s="0" t="n">
        <v>3.33</v>
      </c>
      <c r="G1320" s="0" t="n">
        <v>14600</v>
      </c>
      <c r="H1320" s="3" t="s">
        <v>120</v>
      </c>
      <c r="I1320" s="4" t="n">
        <f aca="false">D1320*F1320</f>
        <v>33.3</v>
      </c>
      <c r="J1320" s="3" t="n">
        <f aca="false">IF(AND(LEFT(A1320,1)&lt;&gt;"C",D1320&gt;0,F1320&gt;0),1,0)</f>
        <v>1</v>
      </c>
      <c r="K1320" s="3" t="n">
        <f aca="false">IF(AND(H1320="United Kingdom",G1320&lt;&gt;"",COUNTIFS($G$2:G1320,G1320,$H$2:H1320,"United Kingdom")=1),1,0)</f>
        <v>0</v>
      </c>
    </row>
    <row r="1321" customFormat="false" ht="15" hidden="false" customHeight="false" outlineLevel="0" collapsed="false">
      <c r="A1321" s="0" t="s">
        <v>330</v>
      </c>
      <c r="B1321" s="0" t="s">
        <v>58</v>
      </c>
      <c r="C1321" s="0" t="s">
        <v>59</v>
      </c>
      <c r="D1321" s="0" t="n">
        <v>5</v>
      </c>
      <c r="E1321" s="2" t="n">
        <v>40666.7034722222</v>
      </c>
      <c r="F1321" s="0" t="n">
        <v>2.16</v>
      </c>
      <c r="G1321" s="0" t="n">
        <v>14600</v>
      </c>
      <c r="H1321" s="3" t="s">
        <v>120</v>
      </c>
      <c r="I1321" s="4" t="n">
        <f aca="false">D1321*F1321</f>
        <v>10.8</v>
      </c>
      <c r="J1321" s="3" t="n">
        <f aca="false">IF(AND(LEFT(A1321,1)&lt;&gt;"C",D1321&gt;0,F1321&gt;0),1,0)</f>
        <v>1</v>
      </c>
      <c r="K1321" s="3" t="n">
        <f aca="false">IF(AND(H1321="United Kingdom",G1321&lt;&gt;"",COUNTIFS($G$2:G1321,G1321,$H$2:H1321,"United Kingdom")=1),1,0)</f>
        <v>0</v>
      </c>
    </row>
    <row r="1322" customFormat="false" ht="15" hidden="false" customHeight="false" outlineLevel="0" collapsed="false">
      <c r="A1322" s="0" t="s">
        <v>330</v>
      </c>
      <c r="B1322" s="0" t="s">
        <v>22</v>
      </c>
      <c r="C1322" s="0" t="s">
        <v>23</v>
      </c>
      <c r="D1322" s="0" t="n">
        <v>2</v>
      </c>
      <c r="E1322" s="2" t="n">
        <v>40666.7034722222</v>
      </c>
      <c r="F1322" s="0" t="n">
        <v>3.18</v>
      </c>
      <c r="G1322" s="0" t="n">
        <v>14600</v>
      </c>
      <c r="H1322" s="3" t="s">
        <v>120</v>
      </c>
      <c r="I1322" s="4" t="n">
        <f aca="false">D1322*F1322</f>
        <v>6.36</v>
      </c>
      <c r="J1322" s="3" t="n">
        <f aca="false">IF(AND(LEFT(A1322,1)&lt;&gt;"C",D1322&gt;0,F1322&gt;0),1,0)</f>
        <v>1</v>
      </c>
      <c r="K1322" s="3" t="n">
        <f aca="false">IF(AND(H1322="United Kingdom",G1322&lt;&gt;"",COUNTIFS($G$2:G1322,G1322,$H$2:H1322,"United Kingdom")=1),1,0)</f>
        <v>0</v>
      </c>
    </row>
    <row r="1323" customFormat="false" ht="15" hidden="false" customHeight="false" outlineLevel="0" collapsed="false">
      <c r="A1323" s="0" t="s">
        <v>330</v>
      </c>
      <c r="B1323" s="0" t="s">
        <v>34</v>
      </c>
      <c r="C1323" s="0" t="s">
        <v>35</v>
      </c>
      <c r="D1323" s="0" t="n">
        <v>15</v>
      </c>
      <c r="E1323" s="2" t="n">
        <v>40666.7034722222</v>
      </c>
      <c r="F1323" s="0" t="n">
        <v>2.38</v>
      </c>
      <c r="G1323" s="0" t="n">
        <v>14600</v>
      </c>
      <c r="H1323" s="3" t="s">
        <v>120</v>
      </c>
      <c r="I1323" s="4" t="n">
        <f aca="false">D1323*F1323</f>
        <v>35.7</v>
      </c>
      <c r="J1323" s="3" t="n">
        <f aca="false">IF(AND(LEFT(A1323,1)&lt;&gt;"C",D1323&gt;0,F1323&gt;0),1,0)</f>
        <v>1</v>
      </c>
      <c r="K1323" s="3" t="n">
        <f aca="false">IF(AND(H1323="United Kingdom",G1323&lt;&gt;"",COUNTIFS($G$2:G1323,G1323,$H$2:H1323,"United Kingdom")=1),1,0)</f>
        <v>0</v>
      </c>
    </row>
    <row r="1324" customFormat="false" ht="15" hidden="false" customHeight="false" outlineLevel="0" collapsed="false">
      <c r="A1324" s="0" t="s">
        <v>330</v>
      </c>
      <c r="B1324" s="0" t="s">
        <v>65</v>
      </c>
      <c r="C1324" s="0" t="s">
        <v>66</v>
      </c>
      <c r="D1324" s="0" t="n">
        <v>5</v>
      </c>
      <c r="E1324" s="2" t="n">
        <v>40666.7034722222</v>
      </c>
      <c r="F1324" s="0" t="n">
        <v>4.75</v>
      </c>
      <c r="G1324" s="0" t="n">
        <v>14600</v>
      </c>
      <c r="H1324" s="3" t="s">
        <v>120</v>
      </c>
      <c r="I1324" s="4" t="n">
        <f aca="false">D1324*F1324</f>
        <v>23.75</v>
      </c>
      <c r="J1324" s="3" t="n">
        <f aca="false">IF(AND(LEFT(A1324,1)&lt;&gt;"C",D1324&gt;0,F1324&gt;0),1,0)</f>
        <v>1</v>
      </c>
      <c r="K1324" s="3" t="n">
        <f aca="false">IF(AND(H1324="United Kingdom",G1324&lt;&gt;"",COUNTIFS($G$2:G1324,G1324,$H$2:H1324,"United Kingdom")=1),1,0)</f>
        <v>0</v>
      </c>
    </row>
    <row r="1325" customFormat="false" ht="15" hidden="false" customHeight="false" outlineLevel="0" collapsed="false">
      <c r="A1325" s="0" t="s">
        <v>330</v>
      </c>
      <c r="B1325" s="0" t="s">
        <v>45</v>
      </c>
      <c r="C1325" s="0" t="s">
        <v>46</v>
      </c>
      <c r="D1325" s="0" t="n">
        <v>7</v>
      </c>
      <c r="E1325" s="2" t="n">
        <v>40666.7034722222</v>
      </c>
      <c r="F1325" s="0" t="n">
        <v>4.55</v>
      </c>
      <c r="G1325" s="0" t="n">
        <v>14600</v>
      </c>
      <c r="H1325" s="3" t="s">
        <v>120</v>
      </c>
      <c r="I1325" s="4" t="n">
        <f aca="false">D1325*F1325</f>
        <v>31.85</v>
      </c>
      <c r="J1325" s="3" t="n">
        <f aca="false">IF(AND(LEFT(A1325,1)&lt;&gt;"C",D1325&gt;0,F1325&gt;0),1,0)</f>
        <v>1</v>
      </c>
      <c r="K1325" s="3" t="n">
        <f aca="false">IF(AND(H1325="United Kingdom",G1325&lt;&gt;"",COUNTIFS($G$2:G1325,G1325,$H$2:H1325,"United Kingdom")=1),1,0)</f>
        <v>0</v>
      </c>
    </row>
    <row r="1326" customFormat="false" ht="15" hidden="false" customHeight="false" outlineLevel="0" collapsed="false">
      <c r="A1326" s="0" t="s">
        <v>330</v>
      </c>
      <c r="B1326" s="0" t="s">
        <v>52</v>
      </c>
      <c r="C1326" s="0" t="s">
        <v>53</v>
      </c>
      <c r="D1326" s="0" t="n">
        <v>3</v>
      </c>
      <c r="E1326" s="2" t="n">
        <v>40666.7034722222</v>
      </c>
      <c r="F1326" s="0" t="n">
        <v>4.16</v>
      </c>
      <c r="G1326" s="0" t="n">
        <v>14600</v>
      </c>
      <c r="H1326" s="3" t="s">
        <v>120</v>
      </c>
      <c r="I1326" s="4" t="n">
        <f aca="false">D1326*F1326</f>
        <v>12.48</v>
      </c>
      <c r="J1326" s="3" t="n">
        <f aca="false">IF(AND(LEFT(A1326,1)&lt;&gt;"C",D1326&gt;0,F1326&gt;0),1,0)</f>
        <v>1</v>
      </c>
      <c r="K1326" s="3" t="n">
        <f aca="false">IF(AND(H1326="United Kingdom",G1326&lt;&gt;"",COUNTIFS($G$2:G1326,G1326,$H$2:H1326,"United Kingdom")=1),1,0)</f>
        <v>0</v>
      </c>
    </row>
    <row r="1327" customFormat="false" ht="15" hidden="false" customHeight="false" outlineLevel="0" collapsed="false">
      <c r="A1327" s="0" t="s">
        <v>330</v>
      </c>
      <c r="B1327" s="0" t="s">
        <v>63</v>
      </c>
      <c r="C1327" s="0" t="s">
        <v>64</v>
      </c>
      <c r="D1327" s="0" t="n">
        <v>2</v>
      </c>
      <c r="E1327" s="2" t="n">
        <v>40666.7034722222</v>
      </c>
      <c r="F1327" s="0" t="n">
        <v>2.43</v>
      </c>
      <c r="G1327" s="0" t="n">
        <v>14600</v>
      </c>
      <c r="H1327" s="3" t="s">
        <v>120</v>
      </c>
      <c r="I1327" s="4" t="n">
        <f aca="false">D1327*F1327</f>
        <v>4.86</v>
      </c>
      <c r="J1327" s="3" t="n">
        <f aca="false">IF(AND(LEFT(A1327,1)&lt;&gt;"C",D1327&gt;0,F1327&gt;0),1,0)</f>
        <v>1</v>
      </c>
      <c r="K1327" s="3" t="n">
        <f aca="false">IF(AND(H1327="United Kingdom",G1327&lt;&gt;"",COUNTIFS($G$2:G1327,G1327,$H$2:H1327,"United Kingdom")=1),1,0)</f>
        <v>0</v>
      </c>
    </row>
    <row r="1328" customFormat="false" ht="15" hidden="false" customHeight="false" outlineLevel="0" collapsed="false">
      <c r="A1328" s="0" t="s">
        <v>330</v>
      </c>
      <c r="B1328" s="0" t="s">
        <v>77</v>
      </c>
      <c r="C1328" s="0" t="s">
        <v>78</v>
      </c>
      <c r="D1328" s="0" t="n">
        <v>10</v>
      </c>
      <c r="E1328" s="2" t="n">
        <v>40666.7034722222</v>
      </c>
      <c r="F1328" s="0" t="n">
        <v>3.41</v>
      </c>
      <c r="G1328" s="0" t="n">
        <v>14600</v>
      </c>
      <c r="H1328" s="3" t="s">
        <v>120</v>
      </c>
      <c r="I1328" s="4" t="n">
        <f aca="false">D1328*F1328</f>
        <v>34.1</v>
      </c>
      <c r="J1328" s="3" t="n">
        <f aca="false">IF(AND(LEFT(A1328,1)&lt;&gt;"C",D1328&gt;0,F1328&gt;0),1,0)</f>
        <v>1</v>
      </c>
      <c r="K1328" s="3" t="n">
        <f aca="false">IF(AND(H1328="United Kingdom",G1328&lt;&gt;"",COUNTIFS($G$2:G1328,G1328,$H$2:H1328,"United Kingdom")=1),1,0)</f>
        <v>0</v>
      </c>
    </row>
    <row r="1329" customFormat="false" ht="15" hidden="false" customHeight="false" outlineLevel="0" collapsed="false">
      <c r="A1329" s="0" t="s">
        <v>330</v>
      </c>
      <c r="B1329" s="0" t="s">
        <v>80</v>
      </c>
      <c r="C1329" s="0" t="s">
        <v>81</v>
      </c>
      <c r="D1329" s="0" t="n">
        <v>5</v>
      </c>
      <c r="E1329" s="2" t="n">
        <v>40666.7034722222</v>
      </c>
      <c r="F1329" s="0" t="n">
        <v>1.53</v>
      </c>
      <c r="G1329" s="0" t="n">
        <v>14600</v>
      </c>
      <c r="H1329" s="3" t="s">
        <v>120</v>
      </c>
      <c r="I1329" s="4" t="n">
        <f aca="false">D1329*F1329</f>
        <v>7.65</v>
      </c>
      <c r="J1329" s="3" t="n">
        <f aca="false">IF(AND(LEFT(A1329,1)&lt;&gt;"C",D1329&gt;0,F1329&gt;0),1,0)</f>
        <v>1</v>
      </c>
      <c r="K1329" s="3" t="n">
        <f aca="false">IF(AND(H1329="United Kingdom",G1329&lt;&gt;"",COUNTIFS($G$2:G1329,G1329,$H$2:H1329,"United Kingdom")=1),1,0)</f>
        <v>0</v>
      </c>
    </row>
    <row r="1330" customFormat="false" ht="15" hidden="false" customHeight="false" outlineLevel="0" collapsed="false">
      <c r="A1330" s="0" t="s">
        <v>330</v>
      </c>
      <c r="B1330" s="0" t="s">
        <v>29</v>
      </c>
      <c r="C1330" s="0" t="s">
        <v>30</v>
      </c>
      <c r="D1330" s="0" t="n">
        <v>10</v>
      </c>
      <c r="E1330" s="2" t="n">
        <v>40666.7034722222</v>
      </c>
      <c r="F1330" s="0" t="n">
        <v>5.79</v>
      </c>
      <c r="G1330" s="0" t="n">
        <v>14600</v>
      </c>
      <c r="H1330" s="3" t="s">
        <v>120</v>
      </c>
      <c r="I1330" s="4" t="n">
        <f aca="false">D1330*F1330</f>
        <v>57.9</v>
      </c>
      <c r="J1330" s="3" t="n">
        <f aca="false">IF(AND(LEFT(A1330,1)&lt;&gt;"C",D1330&gt;0,F1330&gt;0),1,0)</f>
        <v>1</v>
      </c>
      <c r="K1330" s="3" t="n">
        <f aca="false">IF(AND(H1330="United Kingdom",G1330&lt;&gt;"",COUNTIFS($G$2:G1330,G1330,$H$2:H1330,"United Kingdom")=1),1,0)</f>
        <v>0</v>
      </c>
    </row>
    <row r="1331" customFormat="false" ht="15" hidden="false" customHeight="false" outlineLevel="0" collapsed="false">
      <c r="A1331" s="0" t="s">
        <v>331</v>
      </c>
      <c r="B1331" s="0" t="s">
        <v>22</v>
      </c>
      <c r="C1331" s="0" t="s">
        <v>23</v>
      </c>
      <c r="D1331" s="0" t="n">
        <v>2</v>
      </c>
      <c r="E1331" s="2" t="n">
        <v>40667.4340277778</v>
      </c>
      <c r="F1331" s="0" t="n">
        <v>3.18</v>
      </c>
      <c r="G1331" s="0" t="n">
        <v>13924</v>
      </c>
      <c r="H1331" s="3" t="s">
        <v>14</v>
      </c>
      <c r="I1331" s="4" t="n">
        <f aca="false">D1331*F1331</f>
        <v>6.36</v>
      </c>
      <c r="J1331" s="3" t="n">
        <f aca="false">IF(AND(LEFT(A1331,1)&lt;&gt;"C",D1331&gt;0,F1331&gt;0),1,0)</f>
        <v>1</v>
      </c>
      <c r="K1331" s="3" t="n">
        <f aca="false">IF(AND(H1331="United Kingdom",G1331&lt;&gt;"",COUNTIFS($G$2:G1331,G1331,$H$2:H1331,"United Kingdom")=1),1,0)</f>
        <v>0</v>
      </c>
    </row>
    <row r="1332" customFormat="false" ht="15" hidden="false" customHeight="false" outlineLevel="0" collapsed="false">
      <c r="A1332" s="0" t="s">
        <v>331</v>
      </c>
      <c r="B1332" s="0" t="s">
        <v>72</v>
      </c>
      <c r="C1332" s="0" t="s">
        <v>73</v>
      </c>
      <c r="D1332" s="0" t="n">
        <v>12</v>
      </c>
      <c r="E1332" s="2" t="n">
        <v>40667.4340277778</v>
      </c>
      <c r="F1332" s="0" t="n">
        <v>2.69</v>
      </c>
      <c r="G1332" s="0" t="n">
        <v>13924</v>
      </c>
      <c r="H1332" s="3" t="s">
        <v>14</v>
      </c>
      <c r="I1332" s="4" t="n">
        <f aca="false">D1332*F1332</f>
        <v>32.28</v>
      </c>
      <c r="J1332" s="3" t="n">
        <f aca="false">IF(AND(LEFT(A1332,1)&lt;&gt;"C",D1332&gt;0,F1332&gt;0),1,0)</f>
        <v>1</v>
      </c>
      <c r="K1332" s="3" t="n">
        <f aca="false">IF(AND(H1332="United Kingdom",G1332&lt;&gt;"",COUNTIFS($G$2:G1332,G1332,$H$2:H1332,"United Kingdom")=1),1,0)</f>
        <v>0</v>
      </c>
    </row>
    <row r="1333" customFormat="false" ht="15" hidden="false" customHeight="false" outlineLevel="0" collapsed="false">
      <c r="A1333" s="0" t="s">
        <v>331</v>
      </c>
      <c r="B1333" s="0" t="s">
        <v>50</v>
      </c>
      <c r="C1333" s="0" t="s">
        <v>51</v>
      </c>
      <c r="D1333" s="0" t="n">
        <v>24</v>
      </c>
      <c r="E1333" s="2" t="n">
        <v>40667.4340277778</v>
      </c>
      <c r="F1333" s="0" t="n">
        <v>5.41</v>
      </c>
      <c r="G1333" s="0" t="n">
        <v>13924</v>
      </c>
      <c r="H1333" s="3" t="s">
        <v>14</v>
      </c>
      <c r="I1333" s="4" t="n">
        <f aca="false">D1333*F1333</f>
        <v>129.84</v>
      </c>
      <c r="J1333" s="3" t="n">
        <f aca="false">IF(AND(LEFT(A1333,1)&lt;&gt;"C",D1333&gt;0,F1333&gt;0),1,0)</f>
        <v>1</v>
      </c>
      <c r="K1333" s="3" t="n">
        <f aca="false">IF(AND(H1333="United Kingdom",G1333&lt;&gt;"",COUNTIFS($G$2:G1333,G1333,$H$2:H1333,"United Kingdom")=1),1,0)</f>
        <v>0</v>
      </c>
    </row>
    <row r="1334" customFormat="false" ht="15" hidden="false" customHeight="false" outlineLevel="0" collapsed="false">
      <c r="A1334" s="0" t="s">
        <v>331</v>
      </c>
      <c r="B1334" s="0" t="s">
        <v>17</v>
      </c>
      <c r="C1334" s="0" t="s">
        <v>18</v>
      </c>
      <c r="D1334" s="0" t="n">
        <v>3</v>
      </c>
      <c r="E1334" s="2" t="n">
        <v>40667.4340277778</v>
      </c>
      <c r="F1334" s="0" t="n">
        <v>1.92</v>
      </c>
      <c r="G1334" s="0" t="n">
        <v>13924</v>
      </c>
      <c r="H1334" s="3" t="s">
        <v>14</v>
      </c>
      <c r="I1334" s="4" t="n">
        <f aca="false">D1334*F1334</f>
        <v>5.76</v>
      </c>
      <c r="J1334" s="3" t="n">
        <f aca="false">IF(AND(LEFT(A1334,1)&lt;&gt;"C",D1334&gt;0,F1334&gt;0),1,0)</f>
        <v>1</v>
      </c>
      <c r="K1334" s="3" t="n">
        <f aca="false">IF(AND(H1334="United Kingdom",G1334&lt;&gt;"",COUNTIFS($G$2:G1334,G1334,$H$2:H1334,"United Kingdom")=1),1,0)</f>
        <v>0</v>
      </c>
    </row>
    <row r="1335" customFormat="false" ht="15" hidden="false" customHeight="false" outlineLevel="0" collapsed="false">
      <c r="A1335" s="0" t="s">
        <v>331</v>
      </c>
      <c r="B1335" s="0" t="s">
        <v>41</v>
      </c>
      <c r="C1335" s="0" t="s">
        <v>42</v>
      </c>
      <c r="D1335" s="0" t="n">
        <v>8</v>
      </c>
      <c r="E1335" s="2" t="n">
        <v>40667.4340277778</v>
      </c>
      <c r="F1335" s="0" t="n">
        <v>3.28</v>
      </c>
      <c r="G1335" s="0" t="n">
        <v>13924</v>
      </c>
      <c r="H1335" s="3" t="s">
        <v>14</v>
      </c>
      <c r="I1335" s="4" t="n">
        <f aca="false">D1335*F1335</f>
        <v>26.24</v>
      </c>
      <c r="J1335" s="3" t="n">
        <f aca="false">IF(AND(LEFT(A1335,1)&lt;&gt;"C",D1335&gt;0,F1335&gt;0),1,0)</f>
        <v>1</v>
      </c>
      <c r="K1335" s="3" t="n">
        <f aca="false">IF(AND(H1335="United Kingdom",G1335&lt;&gt;"",COUNTIFS($G$2:G1335,G1335,$H$2:H1335,"United Kingdom")=1),1,0)</f>
        <v>0</v>
      </c>
    </row>
    <row r="1336" customFormat="false" ht="15" hidden="false" customHeight="false" outlineLevel="0" collapsed="false">
      <c r="A1336" s="0" t="s">
        <v>332</v>
      </c>
      <c r="B1336" s="0" t="s">
        <v>52</v>
      </c>
      <c r="C1336" s="0" t="s">
        <v>53</v>
      </c>
      <c r="D1336" s="0" t="n">
        <v>12</v>
      </c>
      <c r="E1336" s="2" t="n">
        <v>40667.8131944445</v>
      </c>
      <c r="F1336" s="0" t="n">
        <v>4.16</v>
      </c>
      <c r="G1336" s="0" t="n">
        <v>17009</v>
      </c>
      <c r="H1336" s="3" t="s">
        <v>14</v>
      </c>
      <c r="I1336" s="4" t="n">
        <f aca="false">D1336*F1336</f>
        <v>49.92</v>
      </c>
      <c r="J1336" s="3" t="n">
        <f aca="false">IF(AND(LEFT(A1336,1)&lt;&gt;"C",D1336&gt;0,F1336&gt;0),1,0)</f>
        <v>1</v>
      </c>
      <c r="K1336" s="3" t="n">
        <f aca="false">IF(AND(H1336="United Kingdom",G1336&lt;&gt;"",COUNTIFS($G$2:G1336,G1336,$H$2:H1336,"United Kingdom")=1),1,0)</f>
        <v>1</v>
      </c>
    </row>
    <row r="1337" customFormat="false" ht="15" hidden="false" customHeight="false" outlineLevel="0" collapsed="false">
      <c r="A1337" s="0" t="s">
        <v>332</v>
      </c>
      <c r="B1337" s="0" t="s">
        <v>43</v>
      </c>
      <c r="C1337" s="0" t="s">
        <v>44</v>
      </c>
      <c r="D1337" s="0" t="n">
        <v>3</v>
      </c>
      <c r="E1337" s="2" t="n">
        <v>40667.8131944445</v>
      </c>
      <c r="F1337" s="0" t="n">
        <v>1.35</v>
      </c>
      <c r="G1337" s="0" t="n">
        <v>17009</v>
      </c>
      <c r="H1337" s="3" t="s">
        <v>14</v>
      </c>
      <c r="I1337" s="4" t="n">
        <f aca="false">D1337*F1337</f>
        <v>4.05</v>
      </c>
      <c r="J1337" s="3" t="n">
        <f aca="false">IF(AND(LEFT(A1337,1)&lt;&gt;"C",D1337&gt;0,F1337&gt;0),1,0)</f>
        <v>1</v>
      </c>
      <c r="K1337" s="3" t="n">
        <f aca="false">IF(AND(H1337="United Kingdom",G1337&lt;&gt;"",COUNTIFS($G$2:G1337,G1337,$H$2:H1337,"United Kingdom")=1),1,0)</f>
        <v>0</v>
      </c>
    </row>
    <row r="1338" customFormat="false" ht="15" hidden="false" customHeight="false" outlineLevel="0" collapsed="false">
      <c r="A1338" s="0" t="s">
        <v>332</v>
      </c>
      <c r="B1338" s="0" t="s">
        <v>39</v>
      </c>
      <c r="C1338" s="0" t="s">
        <v>40</v>
      </c>
      <c r="D1338" s="0" t="n">
        <v>4</v>
      </c>
      <c r="E1338" s="2" t="n">
        <v>40667.8131944445</v>
      </c>
      <c r="F1338" s="0" t="n">
        <v>2.58</v>
      </c>
      <c r="G1338" s="0" t="n">
        <v>17009</v>
      </c>
      <c r="H1338" s="3" t="s">
        <v>14</v>
      </c>
      <c r="I1338" s="4" t="n">
        <f aca="false">D1338*F1338</f>
        <v>10.32</v>
      </c>
      <c r="J1338" s="3" t="n">
        <f aca="false">IF(AND(LEFT(A1338,1)&lt;&gt;"C",D1338&gt;0,F1338&gt;0),1,0)</f>
        <v>1</v>
      </c>
      <c r="K1338" s="3" t="n">
        <f aca="false">IF(AND(H1338="United Kingdom",G1338&lt;&gt;"",COUNTIFS($G$2:G1338,G1338,$H$2:H1338,"United Kingdom")=1),1,0)</f>
        <v>0</v>
      </c>
    </row>
    <row r="1339" customFormat="false" ht="15" hidden="false" customHeight="false" outlineLevel="0" collapsed="false">
      <c r="A1339" s="0" t="s">
        <v>332</v>
      </c>
      <c r="B1339" s="0" t="s">
        <v>80</v>
      </c>
      <c r="C1339" s="0" t="s">
        <v>81</v>
      </c>
      <c r="D1339" s="0" t="n">
        <v>2</v>
      </c>
      <c r="E1339" s="2" t="n">
        <v>40667.8131944445</v>
      </c>
      <c r="F1339" s="0" t="n">
        <v>1.53</v>
      </c>
      <c r="G1339" s="0" t="n">
        <v>17009</v>
      </c>
      <c r="H1339" s="3" t="s">
        <v>14</v>
      </c>
      <c r="I1339" s="4" t="n">
        <f aca="false">D1339*F1339</f>
        <v>3.06</v>
      </c>
      <c r="J1339" s="3" t="n">
        <f aca="false">IF(AND(LEFT(A1339,1)&lt;&gt;"C",D1339&gt;0,F1339&gt;0),1,0)</f>
        <v>1</v>
      </c>
      <c r="K1339" s="3" t="n">
        <f aca="false">IF(AND(H1339="United Kingdom",G1339&lt;&gt;"",COUNTIFS($G$2:G1339,G1339,$H$2:H1339,"United Kingdom")=1),1,0)</f>
        <v>0</v>
      </c>
    </row>
    <row r="1340" customFormat="false" ht="15" hidden="false" customHeight="false" outlineLevel="0" collapsed="false">
      <c r="A1340" s="0" t="s">
        <v>332</v>
      </c>
      <c r="B1340" s="0" t="s">
        <v>25</v>
      </c>
      <c r="C1340" s="0" t="s">
        <v>26</v>
      </c>
      <c r="D1340" s="0" t="n">
        <v>2</v>
      </c>
      <c r="E1340" s="2" t="n">
        <v>40667.8131944445</v>
      </c>
      <c r="F1340" s="0" t="n">
        <v>2.21</v>
      </c>
      <c r="G1340" s="0" t="n">
        <v>17009</v>
      </c>
      <c r="H1340" s="3" t="s">
        <v>14</v>
      </c>
      <c r="I1340" s="4" t="n">
        <f aca="false">D1340*F1340</f>
        <v>4.42</v>
      </c>
      <c r="J1340" s="3" t="n">
        <f aca="false">IF(AND(LEFT(A1340,1)&lt;&gt;"C",D1340&gt;0,F1340&gt;0),1,0)</f>
        <v>1</v>
      </c>
      <c r="K1340" s="3" t="n">
        <f aca="false">IF(AND(H1340="United Kingdom",G1340&lt;&gt;"",COUNTIFS($G$2:G1340,G1340,$H$2:H1340,"United Kingdom")=1),1,0)</f>
        <v>0</v>
      </c>
    </row>
    <row r="1341" customFormat="false" ht="15" hidden="false" customHeight="false" outlineLevel="0" collapsed="false">
      <c r="A1341" s="0" t="s">
        <v>332</v>
      </c>
      <c r="B1341" s="0" t="s">
        <v>20</v>
      </c>
      <c r="C1341" s="0" t="s">
        <v>21</v>
      </c>
      <c r="D1341" s="0" t="n">
        <v>2</v>
      </c>
      <c r="E1341" s="2" t="n">
        <v>40667.8131944445</v>
      </c>
      <c r="F1341" s="0" t="n">
        <v>4.24</v>
      </c>
      <c r="G1341" s="0" t="n">
        <v>17009</v>
      </c>
      <c r="H1341" s="3" t="s">
        <v>14</v>
      </c>
      <c r="I1341" s="4" t="n">
        <f aca="false">D1341*F1341</f>
        <v>8.48</v>
      </c>
      <c r="J1341" s="3" t="n">
        <f aca="false">IF(AND(LEFT(A1341,1)&lt;&gt;"C",D1341&gt;0,F1341&gt;0),1,0)</f>
        <v>1</v>
      </c>
      <c r="K1341" s="3" t="n">
        <f aca="false">IF(AND(H1341="United Kingdom",G1341&lt;&gt;"",COUNTIFS($G$2:G1341,G1341,$H$2:H1341,"United Kingdom")=1),1,0)</f>
        <v>0</v>
      </c>
    </row>
    <row r="1342" customFormat="false" ht="15" hidden="false" customHeight="false" outlineLevel="0" collapsed="false">
      <c r="A1342" s="0" t="s">
        <v>333</v>
      </c>
      <c r="B1342" s="0" t="s">
        <v>48</v>
      </c>
      <c r="C1342" s="0" t="s">
        <v>49</v>
      </c>
      <c r="D1342" s="0" t="n">
        <v>2</v>
      </c>
      <c r="E1342" s="2" t="n">
        <v>40668.6041666667</v>
      </c>
      <c r="F1342" s="0" t="n">
        <v>1.35</v>
      </c>
      <c r="G1342" s="0" t="n">
        <v>16828</v>
      </c>
      <c r="H1342" s="3" t="s">
        <v>14</v>
      </c>
      <c r="I1342" s="4" t="n">
        <f aca="false">D1342*F1342</f>
        <v>2.7</v>
      </c>
      <c r="J1342" s="3" t="n">
        <f aca="false">IF(AND(LEFT(A1342,1)&lt;&gt;"C",D1342&gt;0,F1342&gt;0),1,0)</f>
        <v>1</v>
      </c>
      <c r="K1342" s="3" t="n">
        <f aca="false">IF(AND(H1342="United Kingdom",G1342&lt;&gt;"",COUNTIFS($G$2:G1342,G1342,$H$2:H1342,"United Kingdom")=1),1,0)</f>
        <v>0</v>
      </c>
    </row>
    <row r="1343" customFormat="false" ht="15" hidden="false" customHeight="false" outlineLevel="0" collapsed="false">
      <c r="A1343" s="0" t="s">
        <v>333</v>
      </c>
      <c r="B1343" s="0" t="s">
        <v>80</v>
      </c>
      <c r="C1343" s="0" t="s">
        <v>81</v>
      </c>
      <c r="D1343" s="0" t="n">
        <v>8</v>
      </c>
      <c r="E1343" s="2" t="n">
        <v>40668.6041666667</v>
      </c>
      <c r="F1343" s="0" t="n">
        <v>1.53</v>
      </c>
      <c r="G1343" s="0" t="n">
        <v>16828</v>
      </c>
      <c r="H1343" s="3" t="s">
        <v>14</v>
      </c>
      <c r="I1343" s="4" t="n">
        <f aca="false">D1343*F1343</f>
        <v>12.24</v>
      </c>
      <c r="J1343" s="3" t="n">
        <f aca="false">IF(AND(LEFT(A1343,1)&lt;&gt;"C",D1343&gt;0,F1343&gt;0),1,0)</f>
        <v>1</v>
      </c>
      <c r="K1343" s="3" t="n">
        <f aca="false">IF(AND(H1343="United Kingdom",G1343&lt;&gt;"",COUNTIFS($G$2:G1343,G1343,$H$2:H1343,"United Kingdom")=1),1,0)</f>
        <v>0</v>
      </c>
    </row>
    <row r="1344" customFormat="false" ht="15" hidden="false" customHeight="false" outlineLevel="0" collapsed="false">
      <c r="A1344" s="0" t="s">
        <v>334</v>
      </c>
      <c r="B1344" s="0" t="s">
        <v>37</v>
      </c>
      <c r="C1344" s="0" t="s">
        <v>38</v>
      </c>
      <c r="D1344" s="0" t="n">
        <v>12</v>
      </c>
      <c r="E1344" s="2" t="n">
        <v>40669.60625</v>
      </c>
      <c r="F1344" s="0" t="n">
        <v>1.82</v>
      </c>
      <c r="G1344" s="0" t="n">
        <v>17032</v>
      </c>
      <c r="H1344" s="3" t="s">
        <v>14</v>
      </c>
      <c r="I1344" s="4" t="n">
        <f aca="false">D1344*F1344</f>
        <v>21.84</v>
      </c>
      <c r="J1344" s="3" t="n">
        <f aca="false">IF(AND(LEFT(A1344,1)&lt;&gt;"C",D1344&gt;0,F1344&gt;0),1,0)</f>
        <v>1</v>
      </c>
      <c r="K1344" s="3" t="n">
        <f aca="false">IF(AND(H1344="United Kingdom",G1344&lt;&gt;"",COUNTIFS($G$2:G1344,G1344,$H$2:H1344,"United Kingdom")=1),1,0)</f>
        <v>0</v>
      </c>
    </row>
    <row r="1345" customFormat="false" ht="15" hidden="false" customHeight="false" outlineLevel="0" collapsed="false">
      <c r="A1345" s="0" t="s">
        <v>334</v>
      </c>
      <c r="B1345" s="0" t="s">
        <v>41</v>
      </c>
      <c r="C1345" s="0" t="s">
        <v>42</v>
      </c>
      <c r="D1345" s="0" t="n">
        <v>1</v>
      </c>
      <c r="E1345" s="2" t="n">
        <v>40669.60625</v>
      </c>
      <c r="F1345" s="0" t="n">
        <v>3.28</v>
      </c>
      <c r="G1345" s="0" t="n">
        <v>17032</v>
      </c>
      <c r="H1345" s="3" t="s">
        <v>14</v>
      </c>
      <c r="I1345" s="4" t="n">
        <f aca="false">D1345*F1345</f>
        <v>3.28</v>
      </c>
      <c r="J1345" s="3" t="n">
        <f aca="false">IF(AND(LEFT(A1345,1)&lt;&gt;"C",D1345&gt;0,F1345&gt;0),1,0)</f>
        <v>1</v>
      </c>
      <c r="K1345" s="3" t="n">
        <f aca="false">IF(AND(H1345="United Kingdom",G1345&lt;&gt;"",COUNTIFS($G$2:G1345,G1345,$H$2:H1345,"United Kingdom")=1),1,0)</f>
        <v>0</v>
      </c>
    </row>
    <row r="1346" customFormat="false" ht="15" hidden="false" customHeight="false" outlineLevel="0" collapsed="false">
      <c r="A1346" s="0" t="s">
        <v>334</v>
      </c>
      <c r="B1346" s="0" t="s">
        <v>65</v>
      </c>
      <c r="C1346" s="0" t="s">
        <v>66</v>
      </c>
      <c r="D1346" s="0" t="n">
        <v>8</v>
      </c>
      <c r="E1346" s="2" t="n">
        <v>40669.60625</v>
      </c>
      <c r="F1346" s="0" t="n">
        <v>4.75</v>
      </c>
      <c r="G1346" s="0" t="n">
        <v>17032</v>
      </c>
      <c r="H1346" s="3" t="s">
        <v>14</v>
      </c>
      <c r="I1346" s="4" t="n">
        <f aca="false">D1346*F1346</f>
        <v>38</v>
      </c>
      <c r="J1346" s="3" t="n">
        <f aca="false">IF(AND(LEFT(A1346,1)&lt;&gt;"C",D1346&gt;0,F1346&gt;0),1,0)</f>
        <v>1</v>
      </c>
      <c r="K1346" s="3" t="n">
        <f aca="false">IF(AND(H1346="United Kingdom",G1346&lt;&gt;"",COUNTIFS($G$2:G1346,G1346,$H$2:H1346,"United Kingdom")=1),1,0)</f>
        <v>0</v>
      </c>
    </row>
    <row r="1347" customFormat="false" ht="15" hidden="false" customHeight="false" outlineLevel="0" collapsed="false">
      <c r="A1347" s="0" t="s">
        <v>334</v>
      </c>
      <c r="B1347" s="0" t="s">
        <v>63</v>
      </c>
      <c r="C1347" s="0" t="s">
        <v>64</v>
      </c>
      <c r="D1347" s="0" t="n">
        <v>2</v>
      </c>
      <c r="E1347" s="2" t="n">
        <v>40669.60625</v>
      </c>
      <c r="F1347" s="0" t="n">
        <v>2.43</v>
      </c>
      <c r="G1347" s="0" t="n">
        <v>17032</v>
      </c>
      <c r="H1347" s="3" t="s">
        <v>14</v>
      </c>
      <c r="I1347" s="4" t="n">
        <f aca="false">D1347*F1347</f>
        <v>4.86</v>
      </c>
      <c r="J1347" s="3" t="n">
        <f aca="false">IF(AND(LEFT(A1347,1)&lt;&gt;"C",D1347&gt;0,F1347&gt;0),1,0)</f>
        <v>1</v>
      </c>
      <c r="K1347" s="3" t="n">
        <f aca="false">IF(AND(H1347="United Kingdom",G1347&lt;&gt;"",COUNTIFS($G$2:G1347,G1347,$H$2:H1347,"United Kingdom")=1),1,0)</f>
        <v>0</v>
      </c>
    </row>
    <row r="1348" customFormat="false" ht="15" hidden="false" customHeight="false" outlineLevel="0" collapsed="false">
      <c r="A1348" s="0" t="s">
        <v>334</v>
      </c>
      <c r="B1348" s="0" t="s">
        <v>113</v>
      </c>
      <c r="C1348" s="0" t="s">
        <v>114</v>
      </c>
      <c r="D1348" s="0" t="n">
        <v>3</v>
      </c>
      <c r="E1348" s="2" t="n">
        <v>40669.60625</v>
      </c>
      <c r="F1348" s="0" t="n">
        <v>3.57</v>
      </c>
      <c r="G1348" s="0" t="n">
        <v>17032</v>
      </c>
      <c r="H1348" s="3" t="s">
        <v>14</v>
      </c>
      <c r="I1348" s="4" t="n">
        <f aca="false">D1348*F1348</f>
        <v>10.71</v>
      </c>
      <c r="J1348" s="3" t="n">
        <f aca="false">IF(AND(LEFT(A1348,1)&lt;&gt;"C",D1348&gt;0,F1348&gt;0),1,0)</f>
        <v>1</v>
      </c>
      <c r="K1348" s="3" t="n">
        <f aca="false">IF(AND(H1348="United Kingdom",G1348&lt;&gt;"",COUNTIFS($G$2:G1348,G1348,$H$2:H1348,"United Kingdom")=1),1,0)</f>
        <v>0</v>
      </c>
    </row>
    <row r="1349" customFormat="false" ht="15" hidden="false" customHeight="false" outlineLevel="0" collapsed="false">
      <c r="A1349" s="0" t="s">
        <v>334</v>
      </c>
      <c r="B1349" s="0" t="s">
        <v>80</v>
      </c>
      <c r="C1349" s="0" t="s">
        <v>81</v>
      </c>
      <c r="D1349" s="0" t="n">
        <v>12</v>
      </c>
      <c r="E1349" s="2" t="n">
        <v>40669.60625</v>
      </c>
      <c r="F1349" s="0" t="n">
        <v>1.53</v>
      </c>
      <c r="G1349" s="0" t="n">
        <v>17032</v>
      </c>
      <c r="H1349" s="3" t="s">
        <v>14</v>
      </c>
      <c r="I1349" s="4" t="n">
        <f aca="false">D1349*F1349</f>
        <v>18.36</v>
      </c>
      <c r="J1349" s="3" t="n">
        <f aca="false">IF(AND(LEFT(A1349,1)&lt;&gt;"C",D1349&gt;0,F1349&gt;0),1,0)</f>
        <v>1</v>
      </c>
      <c r="K1349" s="3" t="n">
        <f aca="false">IF(AND(H1349="United Kingdom",G1349&lt;&gt;"",COUNTIFS($G$2:G1349,G1349,$H$2:H1349,"United Kingdom")=1),1,0)</f>
        <v>0</v>
      </c>
    </row>
    <row r="1350" customFormat="false" ht="15" hidden="false" customHeight="false" outlineLevel="0" collapsed="false">
      <c r="A1350" s="0" t="s">
        <v>334</v>
      </c>
      <c r="B1350" s="0" t="s">
        <v>75</v>
      </c>
      <c r="C1350" s="0" t="s">
        <v>76</v>
      </c>
      <c r="D1350" s="0" t="n">
        <v>2</v>
      </c>
      <c r="E1350" s="2" t="n">
        <v>40669.60625</v>
      </c>
      <c r="F1350" s="0" t="n">
        <v>1.97</v>
      </c>
      <c r="G1350" s="0" t="n">
        <v>17032</v>
      </c>
      <c r="H1350" s="3" t="s">
        <v>14</v>
      </c>
      <c r="I1350" s="4" t="n">
        <f aca="false">D1350*F1350</f>
        <v>3.94</v>
      </c>
      <c r="J1350" s="3" t="n">
        <f aca="false">IF(AND(LEFT(A1350,1)&lt;&gt;"C",D1350&gt;0,F1350&gt;0),1,0)</f>
        <v>1</v>
      </c>
      <c r="K1350" s="3" t="n">
        <f aca="false">IF(AND(H1350="United Kingdom",G1350&lt;&gt;"",COUNTIFS($G$2:G1350,G1350,$H$2:H1350,"United Kingdom")=1),1,0)</f>
        <v>0</v>
      </c>
    </row>
    <row r="1351" customFormat="false" ht="15" hidden="false" customHeight="false" outlineLevel="0" collapsed="false">
      <c r="A1351" s="0" t="s">
        <v>334</v>
      </c>
      <c r="B1351" s="0" t="s">
        <v>22</v>
      </c>
      <c r="C1351" s="0" t="s">
        <v>23</v>
      </c>
      <c r="D1351" s="0" t="n">
        <v>2</v>
      </c>
      <c r="E1351" s="2" t="n">
        <v>40669.60625</v>
      </c>
      <c r="F1351" s="0" t="n">
        <v>3.18</v>
      </c>
      <c r="G1351" s="0" t="n">
        <v>17032</v>
      </c>
      <c r="H1351" s="3" t="s">
        <v>14</v>
      </c>
      <c r="I1351" s="4" t="n">
        <f aca="false">D1351*F1351</f>
        <v>6.36</v>
      </c>
      <c r="J1351" s="3" t="n">
        <f aca="false">IF(AND(LEFT(A1351,1)&lt;&gt;"C",D1351&gt;0,F1351&gt;0),1,0)</f>
        <v>1</v>
      </c>
      <c r="K1351" s="3" t="n">
        <f aca="false">IF(AND(H1351="United Kingdom",G1351&lt;&gt;"",COUNTIFS($G$2:G1351,G1351,$H$2:H1351,"United Kingdom")=1),1,0)</f>
        <v>0</v>
      </c>
    </row>
    <row r="1352" customFormat="false" ht="15" hidden="false" customHeight="false" outlineLevel="0" collapsed="false">
      <c r="A1352" s="0" t="s">
        <v>334</v>
      </c>
      <c r="B1352" s="0" t="s">
        <v>43</v>
      </c>
      <c r="C1352" s="0" t="s">
        <v>44</v>
      </c>
      <c r="D1352" s="0" t="n">
        <v>6</v>
      </c>
      <c r="E1352" s="2" t="n">
        <v>40669.60625</v>
      </c>
      <c r="F1352" s="0" t="n">
        <v>1.35</v>
      </c>
      <c r="G1352" s="0" t="n">
        <v>17032</v>
      </c>
      <c r="H1352" s="3" t="s">
        <v>14</v>
      </c>
      <c r="I1352" s="4" t="n">
        <f aca="false">D1352*F1352</f>
        <v>8.1</v>
      </c>
      <c r="J1352" s="3" t="n">
        <f aca="false">IF(AND(LEFT(A1352,1)&lt;&gt;"C",D1352&gt;0,F1352&gt;0),1,0)</f>
        <v>1</v>
      </c>
      <c r="K1352" s="3" t="n">
        <f aca="false">IF(AND(H1352="United Kingdom",G1352&lt;&gt;"",COUNTIFS($G$2:G1352,G1352,$H$2:H1352,"United Kingdom")=1),1,0)</f>
        <v>0</v>
      </c>
    </row>
    <row r="1353" customFormat="false" ht="15" hidden="false" customHeight="false" outlineLevel="0" collapsed="false">
      <c r="A1353" s="0" t="s">
        <v>334</v>
      </c>
      <c r="B1353" s="0" t="s">
        <v>12</v>
      </c>
      <c r="C1353" s="0" t="s">
        <v>13</v>
      </c>
      <c r="D1353" s="0" t="n">
        <v>12</v>
      </c>
      <c r="E1353" s="2" t="n">
        <v>40669.60625</v>
      </c>
      <c r="F1353" s="0" t="n">
        <v>3.33</v>
      </c>
      <c r="G1353" s="0" t="n">
        <v>17032</v>
      </c>
      <c r="H1353" s="3" t="s">
        <v>14</v>
      </c>
      <c r="I1353" s="4" t="n">
        <f aca="false">D1353*F1353</f>
        <v>39.96</v>
      </c>
      <c r="J1353" s="3" t="n">
        <f aca="false">IF(AND(LEFT(A1353,1)&lt;&gt;"C",D1353&gt;0,F1353&gt;0),1,0)</f>
        <v>1</v>
      </c>
      <c r="K1353" s="3" t="n">
        <f aca="false">IF(AND(H1353="United Kingdom",G1353&lt;&gt;"",COUNTIFS($G$2:G1353,G1353,$H$2:H1353,"United Kingdom")=1),1,0)</f>
        <v>0</v>
      </c>
    </row>
    <row r="1354" customFormat="false" ht="15" hidden="false" customHeight="false" outlineLevel="0" collapsed="false">
      <c r="A1354" s="0" t="s">
        <v>334</v>
      </c>
      <c r="B1354" s="0" t="s">
        <v>39</v>
      </c>
      <c r="C1354" s="0" t="s">
        <v>40</v>
      </c>
      <c r="D1354" s="0" t="n">
        <v>1</v>
      </c>
      <c r="E1354" s="2" t="n">
        <v>40669.60625</v>
      </c>
      <c r="F1354" s="0" t="n">
        <v>2.58</v>
      </c>
      <c r="G1354" s="0" t="n">
        <v>17032</v>
      </c>
      <c r="H1354" s="3" t="s">
        <v>14</v>
      </c>
      <c r="I1354" s="4" t="n">
        <f aca="false">D1354*F1354</f>
        <v>2.58</v>
      </c>
      <c r="J1354" s="3" t="n">
        <f aca="false">IF(AND(LEFT(A1354,1)&lt;&gt;"C",D1354&gt;0,F1354&gt;0),1,0)</f>
        <v>1</v>
      </c>
      <c r="K1354" s="3" t="n">
        <f aca="false">IF(AND(H1354="United Kingdom",G1354&lt;&gt;"",COUNTIFS($G$2:G1354,G1354,$H$2:H1354,"United Kingdom")=1),1,0)</f>
        <v>0</v>
      </c>
    </row>
    <row r="1355" customFormat="false" ht="15" hidden="false" customHeight="false" outlineLevel="0" collapsed="false">
      <c r="A1355" s="0" t="s">
        <v>334</v>
      </c>
      <c r="B1355" s="0" t="s">
        <v>60</v>
      </c>
      <c r="C1355" s="0" t="s">
        <v>61</v>
      </c>
      <c r="D1355" s="0" t="n">
        <v>4</v>
      </c>
      <c r="E1355" s="2" t="n">
        <v>40669.60625</v>
      </c>
      <c r="F1355" s="0" t="n">
        <v>0.63</v>
      </c>
      <c r="G1355" s="0" t="n">
        <v>17032</v>
      </c>
      <c r="H1355" s="3" t="s">
        <v>14</v>
      </c>
      <c r="I1355" s="4" t="n">
        <f aca="false">D1355*F1355</f>
        <v>2.52</v>
      </c>
      <c r="J1355" s="3" t="n">
        <f aca="false">IF(AND(LEFT(A1355,1)&lt;&gt;"C",D1355&gt;0,F1355&gt;0),1,0)</f>
        <v>1</v>
      </c>
      <c r="K1355" s="3" t="n">
        <f aca="false">IF(AND(H1355="United Kingdom",G1355&lt;&gt;"",COUNTIFS($G$2:G1355,G1355,$H$2:H1355,"United Kingdom")=1),1,0)</f>
        <v>0</v>
      </c>
    </row>
    <row r="1356" customFormat="false" ht="15" hidden="false" customHeight="false" outlineLevel="0" collapsed="false">
      <c r="A1356" s="0" t="s">
        <v>335</v>
      </c>
      <c r="B1356" s="0" t="s">
        <v>75</v>
      </c>
      <c r="C1356" s="0" t="s">
        <v>76</v>
      </c>
      <c r="D1356" s="0" t="n">
        <v>1</v>
      </c>
      <c r="E1356" s="2" t="n">
        <v>40670.6840277778</v>
      </c>
      <c r="F1356" s="0" t="n">
        <v>1.97</v>
      </c>
      <c r="G1356" s="0" t="n">
        <v>14490</v>
      </c>
      <c r="H1356" s="3" t="s">
        <v>14</v>
      </c>
      <c r="I1356" s="4" t="n">
        <f aca="false">D1356*F1356</f>
        <v>1.97</v>
      </c>
      <c r="J1356" s="3" t="n">
        <f aca="false">IF(AND(LEFT(A1356,1)&lt;&gt;"C",D1356&gt;0,F1356&gt;0),1,0)</f>
        <v>1</v>
      </c>
      <c r="K1356" s="3" t="n">
        <f aca="false">IF(AND(H1356="United Kingdom",G1356&lt;&gt;"",COUNTIFS($G$2:G1356,G1356,$H$2:H1356,"United Kingdom")=1),1,0)</f>
        <v>1</v>
      </c>
    </row>
    <row r="1357" customFormat="false" ht="15" hidden="false" customHeight="false" outlineLevel="0" collapsed="false">
      <c r="A1357" s="0" t="s">
        <v>335</v>
      </c>
      <c r="B1357" s="0" t="s">
        <v>29</v>
      </c>
      <c r="C1357" s="0" t="s">
        <v>30</v>
      </c>
      <c r="D1357" s="0" t="n">
        <v>3</v>
      </c>
      <c r="E1357" s="2" t="n">
        <v>40670.6840277778</v>
      </c>
      <c r="F1357" s="0" t="n">
        <v>5.79</v>
      </c>
      <c r="G1357" s="0" t="n">
        <v>14490</v>
      </c>
      <c r="H1357" s="3" t="s">
        <v>14</v>
      </c>
      <c r="I1357" s="4" t="n">
        <f aca="false">D1357*F1357</f>
        <v>17.37</v>
      </c>
      <c r="J1357" s="3" t="n">
        <f aca="false">IF(AND(LEFT(A1357,1)&lt;&gt;"C",D1357&gt;0,F1357&gt;0),1,0)</f>
        <v>1</v>
      </c>
      <c r="K1357" s="3" t="n">
        <f aca="false">IF(AND(H1357="United Kingdom",G1357&lt;&gt;"",COUNTIFS($G$2:G1357,G1357,$H$2:H1357,"United Kingdom")=1),1,0)</f>
        <v>0</v>
      </c>
    </row>
    <row r="1358" customFormat="false" ht="15" hidden="false" customHeight="false" outlineLevel="0" collapsed="false">
      <c r="A1358" s="0" t="s">
        <v>335</v>
      </c>
      <c r="B1358" s="0" t="s">
        <v>20</v>
      </c>
      <c r="C1358" s="0" t="s">
        <v>21</v>
      </c>
      <c r="D1358" s="0" t="n">
        <v>3</v>
      </c>
      <c r="E1358" s="2" t="n">
        <v>40670.6840277778</v>
      </c>
      <c r="F1358" s="0" t="n">
        <v>4.24</v>
      </c>
      <c r="G1358" s="0" t="n">
        <v>14490</v>
      </c>
      <c r="H1358" s="3" t="s">
        <v>14</v>
      </c>
      <c r="I1358" s="4" t="n">
        <f aca="false">D1358*F1358</f>
        <v>12.72</v>
      </c>
      <c r="J1358" s="3" t="n">
        <f aca="false">IF(AND(LEFT(A1358,1)&lt;&gt;"C",D1358&gt;0,F1358&gt;0),1,0)</f>
        <v>1</v>
      </c>
      <c r="K1358" s="3" t="n">
        <f aca="false">IF(AND(H1358="United Kingdom",G1358&lt;&gt;"",COUNTIFS($G$2:G1358,G1358,$H$2:H1358,"United Kingdom")=1),1,0)</f>
        <v>0</v>
      </c>
    </row>
    <row r="1359" customFormat="false" ht="15" hidden="false" customHeight="false" outlineLevel="0" collapsed="false">
      <c r="A1359" s="0" t="s">
        <v>336</v>
      </c>
      <c r="B1359" s="0" t="s">
        <v>48</v>
      </c>
      <c r="C1359" s="0" t="s">
        <v>49</v>
      </c>
      <c r="D1359" s="0" t="n">
        <v>8</v>
      </c>
      <c r="E1359" s="2" t="n">
        <v>40670.7173611111</v>
      </c>
      <c r="F1359" s="0" t="n">
        <v>1.35</v>
      </c>
      <c r="G1359" s="0" t="n">
        <v>16997</v>
      </c>
      <c r="H1359" s="3" t="s">
        <v>14</v>
      </c>
      <c r="I1359" s="4" t="n">
        <f aca="false">D1359*F1359</f>
        <v>10.8</v>
      </c>
      <c r="J1359" s="3" t="n">
        <f aca="false">IF(AND(LEFT(A1359,1)&lt;&gt;"C",D1359&gt;0,F1359&gt;0),1,0)</f>
        <v>1</v>
      </c>
      <c r="K1359" s="3" t="n">
        <f aca="false">IF(AND(H1359="United Kingdom",G1359&lt;&gt;"",COUNTIFS($G$2:G1359,G1359,$H$2:H1359,"United Kingdom")=1),1,0)</f>
        <v>1</v>
      </c>
    </row>
    <row r="1360" customFormat="false" ht="15" hidden="false" customHeight="false" outlineLevel="0" collapsed="false">
      <c r="A1360" s="0" t="s">
        <v>336</v>
      </c>
      <c r="B1360" s="0" t="s">
        <v>72</v>
      </c>
      <c r="C1360" s="0" t="s">
        <v>73</v>
      </c>
      <c r="D1360" s="0" t="n">
        <v>4</v>
      </c>
      <c r="E1360" s="2" t="n">
        <v>40670.7173611111</v>
      </c>
      <c r="F1360" s="0" t="n">
        <v>2.69</v>
      </c>
      <c r="G1360" s="0" t="n">
        <v>16997</v>
      </c>
      <c r="H1360" s="3" t="s">
        <v>14</v>
      </c>
      <c r="I1360" s="4" t="n">
        <f aca="false">D1360*F1360</f>
        <v>10.76</v>
      </c>
      <c r="J1360" s="3" t="n">
        <f aca="false">IF(AND(LEFT(A1360,1)&lt;&gt;"C",D1360&gt;0,F1360&gt;0),1,0)</f>
        <v>1</v>
      </c>
      <c r="K1360" s="3" t="n">
        <f aca="false">IF(AND(H1360="United Kingdom",G1360&lt;&gt;"",COUNTIFS($G$2:G1360,G1360,$H$2:H1360,"United Kingdom")=1),1,0)</f>
        <v>0</v>
      </c>
    </row>
    <row r="1361" customFormat="false" ht="15" hidden="false" customHeight="false" outlineLevel="0" collapsed="false">
      <c r="A1361" s="0" t="s">
        <v>336</v>
      </c>
      <c r="B1361" s="0" t="s">
        <v>60</v>
      </c>
      <c r="C1361" s="0" t="s">
        <v>61</v>
      </c>
      <c r="D1361" s="0" t="n">
        <v>24</v>
      </c>
      <c r="E1361" s="2" t="n">
        <v>40670.7173611111</v>
      </c>
      <c r="F1361" s="0" t="n">
        <v>0.63</v>
      </c>
      <c r="G1361" s="0" t="n">
        <v>16997</v>
      </c>
      <c r="H1361" s="3" t="s">
        <v>14</v>
      </c>
      <c r="I1361" s="4" t="n">
        <f aca="false">D1361*F1361</f>
        <v>15.12</v>
      </c>
      <c r="J1361" s="3" t="n">
        <f aca="false">IF(AND(LEFT(A1361,1)&lt;&gt;"C",D1361&gt;0,F1361&gt;0),1,0)</f>
        <v>1</v>
      </c>
      <c r="K1361" s="3" t="n">
        <f aca="false">IF(AND(H1361="United Kingdom",G1361&lt;&gt;"",COUNTIFS($G$2:G1361,G1361,$H$2:H1361,"United Kingdom")=1),1,0)</f>
        <v>0</v>
      </c>
    </row>
    <row r="1362" customFormat="false" ht="15" hidden="false" customHeight="false" outlineLevel="0" collapsed="false">
      <c r="A1362" s="0" t="s">
        <v>336</v>
      </c>
      <c r="B1362" s="0" t="s">
        <v>27</v>
      </c>
      <c r="C1362" s="0" t="s">
        <v>28</v>
      </c>
      <c r="D1362" s="0" t="n">
        <v>3</v>
      </c>
      <c r="E1362" s="2" t="n">
        <v>40670.7173611111</v>
      </c>
      <c r="F1362" s="0" t="n">
        <v>4.55</v>
      </c>
      <c r="G1362" s="0" t="n">
        <v>16997</v>
      </c>
      <c r="H1362" s="3" t="s">
        <v>14</v>
      </c>
      <c r="I1362" s="4" t="n">
        <f aca="false">D1362*F1362</f>
        <v>13.65</v>
      </c>
      <c r="J1362" s="3" t="n">
        <f aca="false">IF(AND(LEFT(A1362,1)&lt;&gt;"C",D1362&gt;0,F1362&gt;0),1,0)</f>
        <v>1</v>
      </c>
      <c r="K1362" s="3" t="n">
        <f aca="false">IF(AND(H1362="United Kingdom",G1362&lt;&gt;"",COUNTIFS($G$2:G1362,G1362,$H$2:H1362,"United Kingdom")=1),1,0)</f>
        <v>0</v>
      </c>
    </row>
    <row r="1363" customFormat="false" ht="15" hidden="false" customHeight="false" outlineLevel="0" collapsed="false">
      <c r="A1363" s="0" t="s">
        <v>336</v>
      </c>
      <c r="B1363" s="0" t="s">
        <v>12</v>
      </c>
      <c r="C1363" s="0" t="s">
        <v>13</v>
      </c>
      <c r="D1363" s="0" t="n">
        <v>12</v>
      </c>
      <c r="E1363" s="2" t="n">
        <v>40670.7173611111</v>
      </c>
      <c r="F1363" s="0" t="n">
        <v>3.33</v>
      </c>
      <c r="G1363" s="0" t="n">
        <v>16997</v>
      </c>
      <c r="H1363" s="3" t="s">
        <v>14</v>
      </c>
      <c r="I1363" s="4" t="n">
        <f aca="false">D1363*F1363</f>
        <v>39.96</v>
      </c>
      <c r="J1363" s="3" t="n">
        <f aca="false">IF(AND(LEFT(A1363,1)&lt;&gt;"C",D1363&gt;0,F1363&gt;0),1,0)</f>
        <v>1</v>
      </c>
      <c r="K1363" s="3" t="n">
        <f aca="false">IF(AND(H1363="United Kingdom",G1363&lt;&gt;"",COUNTIFS($G$2:G1363,G1363,$H$2:H1363,"United Kingdom")=1),1,0)</f>
        <v>0</v>
      </c>
    </row>
    <row r="1364" customFormat="false" ht="15" hidden="false" customHeight="false" outlineLevel="0" collapsed="false">
      <c r="A1364" s="0" t="s">
        <v>336</v>
      </c>
      <c r="B1364" s="0" t="s">
        <v>68</v>
      </c>
      <c r="C1364" s="0" t="s">
        <v>69</v>
      </c>
      <c r="D1364" s="0" t="n">
        <v>1</v>
      </c>
      <c r="E1364" s="2" t="n">
        <v>40670.7173611111</v>
      </c>
      <c r="F1364" s="0" t="n">
        <v>1.26</v>
      </c>
      <c r="G1364" s="0" t="n">
        <v>16997</v>
      </c>
      <c r="H1364" s="3" t="s">
        <v>14</v>
      </c>
      <c r="I1364" s="4" t="n">
        <f aca="false">D1364*F1364</f>
        <v>1.26</v>
      </c>
      <c r="J1364" s="3" t="n">
        <f aca="false">IF(AND(LEFT(A1364,1)&lt;&gt;"C",D1364&gt;0,F1364&gt;0),1,0)</f>
        <v>1</v>
      </c>
      <c r="K1364" s="3" t="n">
        <f aca="false">IF(AND(H1364="United Kingdom",G1364&lt;&gt;"",COUNTIFS($G$2:G1364,G1364,$H$2:H1364,"United Kingdom")=1),1,0)</f>
        <v>0</v>
      </c>
    </row>
    <row r="1365" customFormat="false" ht="15" hidden="false" customHeight="false" outlineLevel="0" collapsed="false">
      <c r="A1365" s="0" t="s">
        <v>336</v>
      </c>
      <c r="B1365" s="0" t="s">
        <v>50</v>
      </c>
      <c r="C1365" s="0" t="s">
        <v>51</v>
      </c>
      <c r="D1365" s="0" t="n">
        <v>6</v>
      </c>
      <c r="E1365" s="2" t="n">
        <v>40670.7173611111</v>
      </c>
      <c r="F1365" s="0" t="n">
        <v>5.41</v>
      </c>
      <c r="G1365" s="0" t="n">
        <v>16997</v>
      </c>
      <c r="H1365" s="3" t="s">
        <v>14</v>
      </c>
      <c r="I1365" s="4" t="n">
        <f aca="false">D1365*F1365</f>
        <v>32.46</v>
      </c>
      <c r="J1365" s="3" t="n">
        <f aca="false">IF(AND(LEFT(A1365,1)&lt;&gt;"C",D1365&gt;0,F1365&gt;0),1,0)</f>
        <v>1</v>
      </c>
      <c r="K1365" s="3" t="n">
        <f aca="false">IF(AND(H1365="United Kingdom",G1365&lt;&gt;"",COUNTIFS($G$2:G1365,G1365,$H$2:H1365,"United Kingdom")=1),1,0)</f>
        <v>0</v>
      </c>
    </row>
    <row r="1366" customFormat="false" ht="15" hidden="false" customHeight="false" outlineLevel="0" collapsed="false">
      <c r="A1366" s="0" t="s">
        <v>336</v>
      </c>
      <c r="B1366" s="0" t="s">
        <v>15</v>
      </c>
      <c r="C1366" s="0" t="s">
        <v>16</v>
      </c>
      <c r="D1366" s="0" t="n">
        <v>2</v>
      </c>
      <c r="E1366" s="2" t="n">
        <v>40670.7173611111</v>
      </c>
      <c r="F1366" s="0" t="n">
        <v>3.18</v>
      </c>
      <c r="G1366" s="0" t="n">
        <v>16997</v>
      </c>
      <c r="H1366" s="3" t="s">
        <v>14</v>
      </c>
      <c r="I1366" s="4" t="n">
        <f aca="false">D1366*F1366</f>
        <v>6.36</v>
      </c>
      <c r="J1366" s="3" t="n">
        <f aca="false">IF(AND(LEFT(A1366,1)&lt;&gt;"C",D1366&gt;0,F1366&gt;0),1,0)</f>
        <v>1</v>
      </c>
      <c r="K1366" s="3" t="n">
        <f aca="false">IF(AND(H1366="United Kingdom",G1366&lt;&gt;"",COUNTIFS($G$2:G1366,G1366,$H$2:H1366,"United Kingdom")=1),1,0)</f>
        <v>0</v>
      </c>
    </row>
    <row r="1367" customFormat="false" ht="15" hidden="false" customHeight="false" outlineLevel="0" collapsed="false">
      <c r="A1367" s="0" t="s">
        <v>336</v>
      </c>
      <c r="B1367" s="0" t="s">
        <v>63</v>
      </c>
      <c r="C1367" s="0" t="s">
        <v>64</v>
      </c>
      <c r="D1367" s="0" t="n">
        <v>6</v>
      </c>
      <c r="E1367" s="2" t="n">
        <v>40670.7173611111</v>
      </c>
      <c r="F1367" s="0" t="n">
        <v>2.43</v>
      </c>
      <c r="G1367" s="0" t="n">
        <v>16997</v>
      </c>
      <c r="H1367" s="3" t="s">
        <v>14</v>
      </c>
      <c r="I1367" s="4" t="n">
        <f aca="false">D1367*F1367</f>
        <v>14.58</v>
      </c>
      <c r="J1367" s="3" t="n">
        <f aca="false">IF(AND(LEFT(A1367,1)&lt;&gt;"C",D1367&gt;0,F1367&gt;0),1,0)</f>
        <v>1</v>
      </c>
      <c r="K1367" s="3" t="n">
        <f aca="false">IF(AND(H1367="United Kingdom",G1367&lt;&gt;"",COUNTIFS($G$2:G1367,G1367,$H$2:H1367,"United Kingdom")=1),1,0)</f>
        <v>0</v>
      </c>
    </row>
    <row r="1368" customFormat="false" ht="15" hidden="false" customHeight="false" outlineLevel="0" collapsed="false">
      <c r="A1368" s="0" t="s">
        <v>336</v>
      </c>
      <c r="B1368" s="0" t="s">
        <v>90</v>
      </c>
      <c r="C1368" s="0" t="s">
        <v>91</v>
      </c>
      <c r="D1368" s="0" t="n">
        <v>16</v>
      </c>
      <c r="E1368" s="2" t="n">
        <v>40670.7173611111</v>
      </c>
      <c r="F1368" s="0" t="n">
        <v>3.04</v>
      </c>
      <c r="G1368" s="0" t="n">
        <v>16997</v>
      </c>
      <c r="H1368" s="3" t="s">
        <v>14</v>
      </c>
      <c r="I1368" s="4" t="n">
        <f aca="false">D1368*F1368</f>
        <v>48.64</v>
      </c>
      <c r="J1368" s="3" t="n">
        <f aca="false">IF(AND(LEFT(A1368,1)&lt;&gt;"C",D1368&gt;0,F1368&gt;0),1,0)</f>
        <v>1</v>
      </c>
      <c r="K1368" s="3" t="n">
        <f aca="false">IF(AND(H1368="United Kingdom",G1368&lt;&gt;"",COUNTIFS($G$2:G1368,G1368,$H$2:H1368,"United Kingdom")=1),1,0)</f>
        <v>0</v>
      </c>
    </row>
    <row r="1369" customFormat="false" ht="15" hidden="false" customHeight="false" outlineLevel="0" collapsed="false">
      <c r="A1369" s="0" t="s">
        <v>336</v>
      </c>
      <c r="B1369" s="0" t="s">
        <v>65</v>
      </c>
      <c r="C1369" s="0" t="s">
        <v>66</v>
      </c>
      <c r="D1369" s="0" t="n">
        <v>24</v>
      </c>
      <c r="E1369" s="2" t="n">
        <v>40670.7173611111</v>
      </c>
      <c r="F1369" s="0" t="n">
        <v>4.75</v>
      </c>
      <c r="G1369" s="0" t="n">
        <v>16997</v>
      </c>
      <c r="H1369" s="3" t="s">
        <v>14</v>
      </c>
      <c r="I1369" s="4" t="n">
        <f aca="false">D1369*F1369</f>
        <v>114</v>
      </c>
      <c r="J1369" s="3" t="n">
        <f aca="false">IF(AND(LEFT(A1369,1)&lt;&gt;"C",D1369&gt;0,F1369&gt;0),1,0)</f>
        <v>1</v>
      </c>
      <c r="K1369" s="3" t="n">
        <f aca="false">IF(AND(H1369="United Kingdom",G1369&lt;&gt;"",COUNTIFS($G$2:G1369,G1369,$H$2:H1369,"United Kingdom")=1),1,0)</f>
        <v>0</v>
      </c>
    </row>
    <row r="1370" customFormat="false" ht="15" hidden="false" customHeight="false" outlineLevel="0" collapsed="false">
      <c r="A1370" s="0" t="s">
        <v>336</v>
      </c>
      <c r="B1370" s="0" t="s">
        <v>45</v>
      </c>
      <c r="C1370" s="0" t="s">
        <v>46</v>
      </c>
      <c r="D1370" s="0" t="n">
        <v>2</v>
      </c>
      <c r="E1370" s="2" t="n">
        <v>40670.7173611111</v>
      </c>
      <c r="F1370" s="0" t="n">
        <v>4.55</v>
      </c>
      <c r="G1370" s="0" t="n">
        <v>16997</v>
      </c>
      <c r="H1370" s="3" t="s">
        <v>14</v>
      </c>
      <c r="I1370" s="4" t="n">
        <f aca="false">D1370*F1370</f>
        <v>9.1</v>
      </c>
      <c r="J1370" s="3" t="n">
        <f aca="false">IF(AND(LEFT(A1370,1)&lt;&gt;"C",D1370&gt;0,F1370&gt;0),1,0)</f>
        <v>1</v>
      </c>
      <c r="K1370" s="3" t="n">
        <f aca="false">IF(AND(H1370="United Kingdom",G1370&lt;&gt;"",COUNTIFS($G$2:G1370,G1370,$H$2:H1370,"United Kingdom")=1),1,0)</f>
        <v>0</v>
      </c>
    </row>
    <row r="1371" customFormat="false" ht="15" hidden="false" customHeight="false" outlineLevel="0" collapsed="false">
      <c r="A1371" s="0" t="s">
        <v>336</v>
      </c>
      <c r="B1371" s="0" t="s">
        <v>25</v>
      </c>
      <c r="C1371" s="0" t="s">
        <v>26</v>
      </c>
      <c r="D1371" s="0" t="n">
        <v>2</v>
      </c>
      <c r="E1371" s="2" t="n">
        <v>40670.7173611111</v>
      </c>
      <c r="F1371" s="0" t="n">
        <v>2.21</v>
      </c>
      <c r="G1371" s="0" t="n">
        <v>16997</v>
      </c>
      <c r="H1371" s="3" t="s">
        <v>14</v>
      </c>
      <c r="I1371" s="4" t="n">
        <f aca="false">D1371*F1371</f>
        <v>4.42</v>
      </c>
      <c r="J1371" s="3" t="n">
        <f aca="false">IF(AND(LEFT(A1371,1)&lt;&gt;"C",D1371&gt;0,F1371&gt;0),1,0)</f>
        <v>1</v>
      </c>
      <c r="K1371" s="3" t="n">
        <f aca="false">IF(AND(H1371="United Kingdom",G1371&lt;&gt;"",COUNTIFS($G$2:G1371,G1371,$H$2:H1371,"United Kingdom")=1),1,0)</f>
        <v>0</v>
      </c>
    </row>
    <row r="1372" customFormat="false" ht="15" hidden="false" customHeight="false" outlineLevel="0" collapsed="false">
      <c r="A1372" s="0" t="s">
        <v>336</v>
      </c>
      <c r="B1372" s="0" t="s">
        <v>22</v>
      </c>
      <c r="C1372" s="0" t="s">
        <v>23</v>
      </c>
      <c r="D1372" s="0" t="n">
        <v>2</v>
      </c>
      <c r="E1372" s="2" t="n">
        <v>40670.7173611111</v>
      </c>
      <c r="F1372" s="0" t="n">
        <v>3.18</v>
      </c>
      <c r="G1372" s="0" t="n">
        <v>16997</v>
      </c>
      <c r="H1372" s="3" t="s">
        <v>14</v>
      </c>
      <c r="I1372" s="4" t="n">
        <f aca="false">D1372*F1372</f>
        <v>6.36</v>
      </c>
      <c r="J1372" s="3" t="n">
        <f aca="false">IF(AND(LEFT(A1372,1)&lt;&gt;"C",D1372&gt;0,F1372&gt;0),1,0)</f>
        <v>1</v>
      </c>
      <c r="K1372" s="3" t="n">
        <f aca="false">IF(AND(H1372="United Kingdom",G1372&lt;&gt;"",COUNTIFS($G$2:G1372,G1372,$H$2:H1372,"United Kingdom")=1),1,0)</f>
        <v>0</v>
      </c>
    </row>
    <row r="1373" customFormat="false" ht="15" hidden="false" customHeight="false" outlineLevel="0" collapsed="false">
      <c r="A1373" s="0" t="s">
        <v>336</v>
      </c>
      <c r="B1373" s="0" t="s">
        <v>113</v>
      </c>
      <c r="C1373" s="0" t="s">
        <v>114</v>
      </c>
      <c r="D1373" s="0" t="n">
        <v>8</v>
      </c>
      <c r="E1373" s="2" t="n">
        <v>40670.7173611111</v>
      </c>
      <c r="F1373" s="0" t="n">
        <v>3.57</v>
      </c>
      <c r="G1373" s="0" t="n">
        <v>16997</v>
      </c>
      <c r="H1373" s="3" t="s">
        <v>14</v>
      </c>
      <c r="I1373" s="4" t="n">
        <f aca="false">D1373*F1373</f>
        <v>28.56</v>
      </c>
      <c r="J1373" s="3" t="n">
        <f aca="false">IF(AND(LEFT(A1373,1)&lt;&gt;"C",D1373&gt;0,F1373&gt;0),1,0)</f>
        <v>1</v>
      </c>
      <c r="K1373" s="3" t="n">
        <f aca="false">IF(AND(H1373="United Kingdom",G1373&lt;&gt;"",COUNTIFS($G$2:G1373,G1373,$H$2:H1373,"United Kingdom")=1),1,0)</f>
        <v>0</v>
      </c>
    </row>
    <row r="1374" customFormat="false" ht="15" hidden="false" customHeight="false" outlineLevel="0" collapsed="false">
      <c r="A1374" s="0" t="s">
        <v>336</v>
      </c>
      <c r="B1374" s="0" t="s">
        <v>17</v>
      </c>
      <c r="C1374" s="0" t="s">
        <v>18</v>
      </c>
      <c r="D1374" s="0" t="n">
        <v>8</v>
      </c>
      <c r="E1374" s="2" t="n">
        <v>40670.7173611111</v>
      </c>
      <c r="F1374" s="0" t="n">
        <v>1.92</v>
      </c>
      <c r="G1374" s="0" t="n">
        <v>16997</v>
      </c>
      <c r="H1374" s="3" t="s">
        <v>14</v>
      </c>
      <c r="I1374" s="4" t="n">
        <f aca="false">D1374*F1374</f>
        <v>15.36</v>
      </c>
      <c r="J1374" s="3" t="n">
        <f aca="false">IF(AND(LEFT(A1374,1)&lt;&gt;"C",D1374&gt;0,F1374&gt;0),1,0)</f>
        <v>1</v>
      </c>
      <c r="K1374" s="3" t="n">
        <f aca="false">IF(AND(H1374="United Kingdom",G1374&lt;&gt;"",COUNTIFS($G$2:G1374,G1374,$H$2:H1374,"United Kingdom")=1),1,0)</f>
        <v>0</v>
      </c>
    </row>
    <row r="1375" customFormat="false" ht="15" hidden="false" customHeight="false" outlineLevel="0" collapsed="false">
      <c r="A1375" s="0" t="s">
        <v>336</v>
      </c>
      <c r="B1375" s="0" t="s">
        <v>58</v>
      </c>
      <c r="C1375" s="0" t="s">
        <v>59</v>
      </c>
      <c r="D1375" s="0" t="n">
        <v>3</v>
      </c>
      <c r="E1375" s="2" t="n">
        <v>40670.7173611111</v>
      </c>
      <c r="F1375" s="0" t="n">
        <v>2.16</v>
      </c>
      <c r="G1375" s="0" t="n">
        <v>16997</v>
      </c>
      <c r="H1375" s="3" t="s">
        <v>14</v>
      </c>
      <c r="I1375" s="4" t="n">
        <f aca="false">D1375*F1375</f>
        <v>6.48</v>
      </c>
      <c r="J1375" s="3" t="n">
        <f aca="false">IF(AND(LEFT(A1375,1)&lt;&gt;"C",D1375&gt;0,F1375&gt;0),1,0)</f>
        <v>1</v>
      </c>
      <c r="K1375" s="3" t="n">
        <f aca="false">IF(AND(H1375="United Kingdom",G1375&lt;&gt;"",COUNTIFS($G$2:G1375,G1375,$H$2:H1375,"United Kingdom")=1),1,0)</f>
        <v>0</v>
      </c>
    </row>
    <row r="1376" customFormat="false" ht="15" hidden="false" customHeight="false" outlineLevel="0" collapsed="false">
      <c r="A1376" s="0" t="s">
        <v>336</v>
      </c>
      <c r="B1376" s="0" t="s">
        <v>34</v>
      </c>
      <c r="C1376" s="0" t="s">
        <v>35</v>
      </c>
      <c r="D1376" s="0" t="n">
        <v>2</v>
      </c>
      <c r="E1376" s="2" t="n">
        <v>40670.7173611111</v>
      </c>
      <c r="F1376" s="0" t="n">
        <v>2.38</v>
      </c>
      <c r="G1376" s="0" t="n">
        <v>16997</v>
      </c>
      <c r="H1376" s="3" t="s">
        <v>14</v>
      </c>
      <c r="I1376" s="4" t="n">
        <f aca="false">D1376*F1376</f>
        <v>4.76</v>
      </c>
      <c r="J1376" s="3" t="n">
        <f aca="false">IF(AND(LEFT(A1376,1)&lt;&gt;"C",D1376&gt;0,F1376&gt;0),1,0)</f>
        <v>1</v>
      </c>
      <c r="K1376" s="3" t="n">
        <f aca="false">IF(AND(H1376="United Kingdom",G1376&lt;&gt;"",COUNTIFS($G$2:G1376,G1376,$H$2:H1376,"United Kingdom")=1),1,0)</f>
        <v>0</v>
      </c>
    </row>
    <row r="1377" customFormat="false" ht="15" hidden="false" customHeight="false" outlineLevel="0" collapsed="false">
      <c r="A1377" s="0" t="s">
        <v>336</v>
      </c>
      <c r="B1377" s="0" t="s">
        <v>77</v>
      </c>
      <c r="C1377" s="0" t="s">
        <v>78</v>
      </c>
      <c r="D1377" s="0" t="n">
        <v>12</v>
      </c>
      <c r="E1377" s="2" t="n">
        <v>40670.7173611111</v>
      </c>
      <c r="F1377" s="0" t="n">
        <v>3.41</v>
      </c>
      <c r="G1377" s="0" t="n">
        <v>16997</v>
      </c>
      <c r="H1377" s="3" t="s">
        <v>14</v>
      </c>
      <c r="I1377" s="4" t="n">
        <f aca="false">D1377*F1377</f>
        <v>40.92</v>
      </c>
      <c r="J1377" s="3" t="n">
        <f aca="false">IF(AND(LEFT(A1377,1)&lt;&gt;"C",D1377&gt;0,F1377&gt;0),1,0)</f>
        <v>1</v>
      </c>
      <c r="K1377" s="3" t="n">
        <f aca="false">IF(AND(H1377="United Kingdom",G1377&lt;&gt;"",COUNTIFS($G$2:G1377,G1377,$H$2:H1377,"United Kingdom")=1),1,0)</f>
        <v>0</v>
      </c>
    </row>
    <row r="1378" customFormat="false" ht="15" hidden="false" customHeight="false" outlineLevel="0" collapsed="false">
      <c r="A1378" s="0" t="s">
        <v>336</v>
      </c>
      <c r="B1378" s="0" t="s">
        <v>29</v>
      </c>
      <c r="C1378" s="0" t="s">
        <v>30</v>
      </c>
      <c r="D1378" s="0" t="n">
        <v>8</v>
      </c>
      <c r="E1378" s="2" t="n">
        <v>40670.7173611111</v>
      </c>
      <c r="F1378" s="0" t="n">
        <v>5.79</v>
      </c>
      <c r="G1378" s="0" t="n">
        <v>16997</v>
      </c>
      <c r="H1378" s="3" t="s">
        <v>14</v>
      </c>
      <c r="I1378" s="4" t="n">
        <f aca="false">D1378*F1378</f>
        <v>46.32</v>
      </c>
      <c r="J1378" s="3" t="n">
        <f aca="false">IF(AND(LEFT(A1378,1)&lt;&gt;"C",D1378&gt;0,F1378&gt;0),1,0)</f>
        <v>1</v>
      </c>
      <c r="K1378" s="3" t="n">
        <f aca="false">IF(AND(H1378="United Kingdom",G1378&lt;&gt;"",COUNTIFS($G$2:G1378,G1378,$H$2:H1378,"United Kingdom")=1),1,0)</f>
        <v>0</v>
      </c>
    </row>
    <row r="1379" customFormat="false" ht="15" hidden="false" customHeight="false" outlineLevel="0" collapsed="false">
      <c r="A1379" s="0" t="s">
        <v>336</v>
      </c>
      <c r="B1379" s="0" t="s">
        <v>75</v>
      </c>
      <c r="C1379" s="0" t="s">
        <v>76</v>
      </c>
      <c r="D1379" s="0" t="n">
        <v>6</v>
      </c>
      <c r="E1379" s="2" t="n">
        <v>40670.7173611111</v>
      </c>
      <c r="F1379" s="0" t="n">
        <v>1.97</v>
      </c>
      <c r="G1379" s="0" t="n">
        <v>16997</v>
      </c>
      <c r="H1379" s="3" t="s">
        <v>14</v>
      </c>
      <c r="I1379" s="4" t="n">
        <f aca="false">D1379*F1379</f>
        <v>11.82</v>
      </c>
      <c r="J1379" s="3" t="n">
        <f aca="false">IF(AND(LEFT(A1379,1)&lt;&gt;"C",D1379&gt;0,F1379&gt;0),1,0)</f>
        <v>1</v>
      </c>
      <c r="K1379" s="3" t="n">
        <f aca="false">IF(AND(H1379="United Kingdom",G1379&lt;&gt;"",COUNTIFS($G$2:G1379,G1379,$H$2:H1379,"United Kingdom")=1),1,0)</f>
        <v>0</v>
      </c>
    </row>
    <row r="1380" customFormat="false" ht="15" hidden="false" customHeight="false" outlineLevel="0" collapsed="false">
      <c r="A1380" s="0" t="s">
        <v>336</v>
      </c>
      <c r="B1380" s="0" t="s">
        <v>20</v>
      </c>
      <c r="C1380" s="0" t="s">
        <v>21</v>
      </c>
      <c r="D1380" s="0" t="n">
        <v>12</v>
      </c>
      <c r="E1380" s="2" t="n">
        <v>40670.7173611111</v>
      </c>
      <c r="F1380" s="0" t="n">
        <v>4.24</v>
      </c>
      <c r="G1380" s="0" t="n">
        <v>16997</v>
      </c>
      <c r="H1380" s="3" t="s">
        <v>14</v>
      </c>
      <c r="I1380" s="4" t="n">
        <f aca="false">D1380*F1380</f>
        <v>50.88</v>
      </c>
      <c r="J1380" s="3" t="n">
        <f aca="false">IF(AND(LEFT(A1380,1)&lt;&gt;"C",D1380&gt;0,F1380&gt;0),1,0)</f>
        <v>1</v>
      </c>
      <c r="K1380" s="3" t="n">
        <f aca="false">IF(AND(H1380="United Kingdom",G1380&lt;&gt;"",COUNTIFS($G$2:G1380,G1380,$H$2:H1380,"United Kingdom")=1),1,0)</f>
        <v>0</v>
      </c>
    </row>
    <row r="1381" customFormat="false" ht="15" hidden="false" customHeight="false" outlineLevel="0" collapsed="false">
      <c r="A1381" s="0" t="s">
        <v>336</v>
      </c>
      <c r="B1381" s="0" t="s">
        <v>39</v>
      </c>
      <c r="C1381" s="0" t="s">
        <v>40</v>
      </c>
      <c r="D1381" s="0" t="n">
        <v>4</v>
      </c>
      <c r="E1381" s="2" t="n">
        <v>40670.7173611111</v>
      </c>
      <c r="F1381" s="0" t="n">
        <v>2.58</v>
      </c>
      <c r="G1381" s="0" t="n">
        <v>16997</v>
      </c>
      <c r="H1381" s="3" t="s">
        <v>14</v>
      </c>
      <c r="I1381" s="4" t="n">
        <f aca="false">D1381*F1381</f>
        <v>10.32</v>
      </c>
      <c r="J1381" s="3" t="n">
        <f aca="false">IF(AND(LEFT(A1381,1)&lt;&gt;"C",D1381&gt;0,F1381&gt;0),1,0)</f>
        <v>1</v>
      </c>
      <c r="K1381" s="3" t="n">
        <f aca="false">IF(AND(H1381="United Kingdom",G1381&lt;&gt;"",COUNTIFS($G$2:G1381,G1381,$H$2:H1381,"United Kingdom")=1),1,0)</f>
        <v>0</v>
      </c>
    </row>
    <row r="1382" customFormat="false" ht="15" hidden="false" customHeight="false" outlineLevel="0" collapsed="false">
      <c r="A1382" s="0" t="s">
        <v>336</v>
      </c>
      <c r="B1382" s="0" t="s">
        <v>37</v>
      </c>
      <c r="C1382" s="0" t="s">
        <v>38</v>
      </c>
      <c r="D1382" s="0" t="n">
        <v>6</v>
      </c>
      <c r="E1382" s="2" t="n">
        <v>40670.7173611111</v>
      </c>
      <c r="F1382" s="0" t="n">
        <v>1.82</v>
      </c>
      <c r="G1382" s="0" t="n">
        <v>16997</v>
      </c>
      <c r="H1382" s="3" t="s">
        <v>14</v>
      </c>
      <c r="I1382" s="4" t="n">
        <f aca="false">D1382*F1382</f>
        <v>10.92</v>
      </c>
      <c r="J1382" s="3" t="n">
        <f aca="false">IF(AND(LEFT(A1382,1)&lt;&gt;"C",D1382&gt;0,F1382&gt;0),1,0)</f>
        <v>1</v>
      </c>
      <c r="K1382" s="3" t="n">
        <f aca="false">IF(AND(H1382="United Kingdom",G1382&lt;&gt;"",COUNTIFS($G$2:G1382,G1382,$H$2:H1382,"United Kingdom")=1),1,0)</f>
        <v>0</v>
      </c>
    </row>
    <row r="1383" customFormat="false" ht="15" hidden="false" customHeight="false" outlineLevel="0" collapsed="false">
      <c r="A1383" s="0" t="s">
        <v>336</v>
      </c>
      <c r="B1383" s="0" t="s">
        <v>41</v>
      </c>
      <c r="C1383" s="0" t="s">
        <v>42</v>
      </c>
      <c r="D1383" s="0" t="n">
        <v>2</v>
      </c>
      <c r="E1383" s="2" t="n">
        <v>40670.7173611111</v>
      </c>
      <c r="F1383" s="0" t="n">
        <v>3.28</v>
      </c>
      <c r="G1383" s="0" t="n">
        <v>16997</v>
      </c>
      <c r="H1383" s="3" t="s">
        <v>14</v>
      </c>
      <c r="I1383" s="4" t="n">
        <f aca="false">D1383*F1383</f>
        <v>6.56</v>
      </c>
      <c r="J1383" s="3" t="n">
        <f aca="false">IF(AND(LEFT(A1383,1)&lt;&gt;"C",D1383&gt;0,F1383&gt;0),1,0)</f>
        <v>1</v>
      </c>
      <c r="K1383" s="3" t="n">
        <f aca="false">IF(AND(H1383="United Kingdom",G1383&lt;&gt;"",COUNTIFS($G$2:G1383,G1383,$H$2:H1383,"United Kingdom")=1),1,0)</f>
        <v>0</v>
      </c>
    </row>
    <row r="1384" customFormat="false" ht="15" hidden="false" customHeight="false" outlineLevel="0" collapsed="false">
      <c r="A1384" s="0" t="s">
        <v>336</v>
      </c>
      <c r="B1384" s="0" t="s">
        <v>52</v>
      </c>
      <c r="C1384" s="0" t="s">
        <v>53</v>
      </c>
      <c r="D1384" s="0" t="n">
        <v>1</v>
      </c>
      <c r="E1384" s="2" t="n">
        <v>40670.7173611111</v>
      </c>
      <c r="F1384" s="0" t="n">
        <v>4.16</v>
      </c>
      <c r="G1384" s="0" t="n">
        <v>16997</v>
      </c>
      <c r="H1384" s="3" t="s">
        <v>14</v>
      </c>
      <c r="I1384" s="4" t="n">
        <f aca="false">D1384*F1384</f>
        <v>4.16</v>
      </c>
      <c r="J1384" s="3" t="n">
        <f aca="false">IF(AND(LEFT(A1384,1)&lt;&gt;"C",D1384&gt;0,F1384&gt;0),1,0)</f>
        <v>1</v>
      </c>
      <c r="K1384" s="3" t="n">
        <f aca="false">IF(AND(H1384="United Kingdom",G1384&lt;&gt;"",COUNTIFS($G$2:G1384,G1384,$H$2:H1384,"United Kingdom")=1),1,0)</f>
        <v>0</v>
      </c>
    </row>
    <row r="1385" customFormat="false" ht="15" hidden="false" customHeight="false" outlineLevel="0" collapsed="false">
      <c r="A1385" s="0" t="s">
        <v>336</v>
      </c>
      <c r="B1385" s="0" t="s">
        <v>54</v>
      </c>
      <c r="C1385" s="0" t="s">
        <v>55</v>
      </c>
      <c r="D1385" s="0" t="n">
        <v>6</v>
      </c>
      <c r="E1385" s="2" t="n">
        <v>40670.7173611111</v>
      </c>
      <c r="F1385" s="0" t="n">
        <v>0.99</v>
      </c>
      <c r="G1385" s="0" t="n">
        <v>16997</v>
      </c>
      <c r="H1385" s="3" t="s">
        <v>14</v>
      </c>
      <c r="I1385" s="4" t="n">
        <f aca="false">D1385*F1385</f>
        <v>5.94</v>
      </c>
      <c r="J1385" s="3" t="n">
        <f aca="false">IF(AND(LEFT(A1385,1)&lt;&gt;"C",D1385&gt;0,F1385&gt;0),1,0)</f>
        <v>1</v>
      </c>
      <c r="K1385" s="3" t="n">
        <f aca="false">IF(AND(H1385="United Kingdom",G1385&lt;&gt;"",COUNTIFS($G$2:G1385,G1385,$H$2:H1385,"United Kingdom")=1),1,0)</f>
        <v>0</v>
      </c>
    </row>
    <row r="1386" customFormat="false" ht="15" hidden="false" customHeight="false" outlineLevel="0" collapsed="false">
      <c r="A1386" s="0" t="s">
        <v>336</v>
      </c>
      <c r="B1386" s="0" t="s">
        <v>32</v>
      </c>
      <c r="C1386" s="0" t="s">
        <v>33</v>
      </c>
      <c r="D1386" s="0" t="n">
        <v>2</v>
      </c>
      <c r="E1386" s="2" t="n">
        <v>40670.7173611111</v>
      </c>
      <c r="F1386" s="0" t="n">
        <v>1.19</v>
      </c>
      <c r="G1386" s="0" t="n">
        <v>16997</v>
      </c>
      <c r="H1386" s="3" t="s">
        <v>14</v>
      </c>
      <c r="I1386" s="4" t="n">
        <f aca="false">D1386*F1386</f>
        <v>2.38</v>
      </c>
      <c r="J1386" s="3" t="n">
        <f aca="false">IF(AND(LEFT(A1386,1)&lt;&gt;"C",D1386&gt;0,F1386&gt;0),1,0)</f>
        <v>1</v>
      </c>
      <c r="K1386" s="3" t="n">
        <f aca="false">IF(AND(H1386="United Kingdom",G1386&lt;&gt;"",COUNTIFS($G$2:G1386,G1386,$H$2:H1386,"United Kingdom")=1),1,0)</f>
        <v>0</v>
      </c>
    </row>
    <row r="1387" customFormat="false" ht="15" hidden="false" customHeight="false" outlineLevel="0" collapsed="false">
      <c r="A1387" s="0" t="s">
        <v>337</v>
      </c>
      <c r="B1387" s="0" t="s">
        <v>12</v>
      </c>
      <c r="C1387" s="0" t="s">
        <v>13</v>
      </c>
      <c r="D1387" s="0" t="n">
        <v>84</v>
      </c>
      <c r="E1387" s="2" t="n">
        <v>40670.8097222222</v>
      </c>
      <c r="F1387" s="0" t="n">
        <v>3.33</v>
      </c>
      <c r="G1387" s="0" t="n">
        <v>13381</v>
      </c>
      <c r="H1387" s="3" t="s">
        <v>177</v>
      </c>
      <c r="I1387" s="4" t="n">
        <f aca="false">D1387*F1387</f>
        <v>279.72</v>
      </c>
      <c r="J1387" s="3" t="n">
        <f aca="false">IF(AND(LEFT(A1387,1)&lt;&gt;"C",D1387&gt;0,F1387&gt;0),1,0)</f>
        <v>1</v>
      </c>
      <c r="K1387" s="3" t="n">
        <f aca="false">IF(AND(H1387="United Kingdom",G1387&lt;&gt;"",COUNTIFS($G$2:G1387,G1387,$H$2:H1387,"United Kingdom")=1),1,0)</f>
        <v>0</v>
      </c>
    </row>
    <row r="1388" customFormat="false" ht="15" hidden="false" customHeight="false" outlineLevel="0" collapsed="false">
      <c r="A1388" s="0" t="s">
        <v>337</v>
      </c>
      <c r="B1388" s="0" t="s">
        <v>48</v>
      </c>
      <c r="C1388" s="0" t="s">
        <v>49</v>
      </c>
      <c r="D1388" s="0" t="n">
        <v>756</v>
      </c>
      <c r="E1388" s="2" t="n">
        <v>40670.8097222222</v>
      </c>
      <c r="F1388" s="0" t="n">
        <v>1.35</v>
      </c>
      <c r="G1388" s="0" t="n">
        <v>13381</v>
      </c>
      <c r="H1388" s="3" t="s">
        <v>177</v>
      </c>
      <c r="I1388" s="4" t="n">
        <f aca="false">D1388*F1388</f>
        <v>1020.6</v>
      </c>
      <c r="J1388" s="3" t="n">
        <f aca="false">IF(AND(LEFT(A1388,1)&lt;&gt;"C",D1388&gt;0,F1388&gt;0),1,0)</f>
        <v>1</v>
      </c>
      <c r="K1388" s="3" t="n">
        <f aca="false">IF(AND(H1388="United Kingdom",G1388&lt;&gt;"",COUNTIFS($G$2:G1388,G1388,$H$2:H1388,"United Kingdom")=1),1,0)</f>
        <v>0</v>
      </c>
    </row>
    <row r="1389" customFormat="false" ht="15" hidden="false" customHeight="false" outlineLevel="0" collapsed="false">
      <c r="A1389" s="0" t="s">
        <v>337</v>
      </c>
      <c r="B1389" s="0" t="s">
        <v>41</v>
      </c>
      <c r="C1389" s="0" t="s">
        <v>42</v>
      </c>
      <c r="D1389" s="0" t="n">
        <v>21</v>
      </c>
      <c r="E1389" s="2" t="n">
        <v>40670.8097222222</v>
      </c>
      <c r="F1389" s="0" t="n">
        <v>3.28</v>
      </c>
      <c r="G1389" s="0" t="n">
        <v>13381</v>
      </c>
      <c r="H1389" s="3" t="s">
        <v>177</v>
      </c>
      <c r="I1389" s="4" t="n">
        <f aca="false">D1389*F1389</f>
        <v>68.88</v>
      </c>
      <c r="J1389" s="3" t="n">
        <f aca="false">IF(AND(LEFT(A1389,1)&lt;&gt;"C",D1389&gt;0,F1389&gt;0),1,0)</f>
        <v>1</v>
      </c>
      <c r="K1389" s="3" t="n">
        <f aca="false">IF(AND(H1389="United Kingdom",G1389&lt;&gt;"",COUNTIFS($G$2:G1389,G1389,$H$2:H1389,"United Kingdom")=1),1,0)</f>
        <v>0</v>
      </c>
    </row>
    <row r="1390" customFormat="false" ht="15" hidden="false" customHeight="false" outlineLevel="0" collapsed="false">
      <c r="A1390" s="0" t="s">
        <v>337</v>
      </c>
      <c r="B1390" s="0" t="s">
        <v>60</v>
      </c>
      <c r="C1390" s="0" t="s">
        <v>61</v>
      </c>
      <c r="D1390" s="0" t="n">
        <v>168</v>
      </c>
      <c r="E1390" s="2" t="n">
        <v>40670.8097222222</v>
      </c>
      <c r="F1390" s="0" t="n">
        <v>0.63</v>
      </c>
      <c r="G1390" s="0" t="n">
        <v>13381</v>
      </c>
      <c r="H1390" s="3" t="s">
        <v>177</v>
      </c>
      <c r="I1390" s="4" t="n">
        <f aca="false">D1390*F1390</f>
        <v>105.84</v>
      </c>
      <c r="J1390" s="3" t="n">
        <f aca="false">IF(AND(LEFT(A1390,1)&lt;&gt;"C",D1390&gt;0,F1390&gt;0),1,0)</f>
        <v>1</v>
      </c>
      <c r="K1390" s="3" t="n">
        <f aca="false">IF(AND(H1390="United Kingdom",G1390&lt;&gt;"",COUNTIFS($G$2:G1390,G1390,$H$2:H1390,"United Kingdom")=1),1,0)</f>
        <v>0</v>
      </c>
    </row>
    <row r="1391" customFormat="false" ht="15" hidden="false" customHeight="false" outlineLevel="0" collapsed="false">
      <c r="A1391" s="0" t="s">
        <v>337</v>
      </c>
      <c r="B1391" s="0" t="s">
        <v>80</v>
      </c>
      <c r="C1391" s="0" t="s">
        <v>81</v>
      </c>
      <c r="D1391" s="0" t="n">
        <v>672</v>
      </c>
      <c r="E1391" s="2" t="n">
        <v>40670.8097222222</v>
      </c>
      <c r="F1391" s="0" t="n">
        <v>1.53</v>
      </c>
      <c r="G1391" s="0" t="n">
        <v>13381</v>
      </c>
      <c r="H1391" s="3" t="s">
        <v>177</v>
      </c>
      <c r="I1391" s="4" t="n">
        <f aca="false">D1391*F1391</f>
        <v>1028.16</v>
      </c>
      <c r="J1391" s="3" t="n">
        <f aca="false">IF(AND(LEFT(A1391,1)&lt;&gt;"C",D1391&gt;0,F1391&gt;0),1,0)</f>
        <v>1</v>
      </c>
      <c r="K1391" s="3" t="n">
        <f aca="false">IF(AND(H1391="United Kingdom",G1391&lt;&gt;"",COUNTIFS($G$2:G1391,G1391,$H$2:H1391,"United Kingdom")=1),1,0)</f>
        <v>0</v>
      </c>
    </row>
    <row r="1392" customFormat="false" ht="15" hidden="false" customHeight="false" outlineLevel="0" collapsed="false">
      <c r="A1392" s="0" t="s">
        <v>337</v>
      </c>
      <c r="B1392" s="0" t="s">
        <v>54</v>
      </c>
      <c r="C1392" s="0" t="s">
        <v>55</v>
      </c>
      <c r="D1392" s="0" t="n">
        <v>1008</v>
      </c>
      <c r="E1392" s="2" t="n">
        <v>40670.8097222222</v>
      </c>
      <c r="F1392" s="0" t="n">
        <v>0.99</v>
      </c>
      <c r="G1392" s="0" t="n">
        <v>13381</v>
      </c>
      <c r="H1392" s="3" t="s">
        <v>177</v>
      </c>
      <c r="I1392" s="4" t="n">
        <f aca="false">D1392*F1392</f>
        <v>997.92</v>
      </c>
      <c r="J1392" s="3" t="n">
        <f aca="false">IF(AND(LEFT(A1392,1)&lt;&gt;"C",D1392&gt;0,F1392&gt;0),1,0)</f>
        <v>1</v>
      </c>
      <c r="K1392" s="3" t="n">
        <f aca="false">IF(AND(H1392="United Kingdom",G1392&lt;&gt;"",COUNTIFS($G$2:G1392,G1392,$H$2:H1392,"United Kingdom")=1),1,0)</f>
        <v>0</v>
      </c>
    </row>
    <row r="1393" customFormat="false" ht="15" hidden="false" customHeight="false" outlineLevel="0" collapsed="false">
      <c r="A1393" s="0" t="s">
        <v>337</v>
      </c>
      <c r="B1393" s="0" t="s">
        <v>52</v>
      </c>
      <c r="C1393" s="0" t="s">
        <v>53</v>
      </c>
      <c r="D1393" s="0" t="n">
        <v>672</v>
      </c>
      <c r="E1393" s="2" t="n">
        <v>40670.8097222222</v>
      </c>
      <c r="F1393" s="0" t="n">
        <v>4.16</v>
      </c>
      <c r="G1393" s="0" t="n">
        <v>13381</v>
      </c>
      <c r="H1393" s="3" t="s">
        <v>177</v>
      </c>
      <c r="I1393" s="4" t="n">
        <f aca="false">D1393*F1393</f>
        <v>2795.52</v>
      </c>
      <c r="J1393" s="3" t="n">
        <f aca="false">IF(AND(LEFT(A1393,1)&lt;&gt;"C",D1393&gt;0,F1393&gt;0),1,0)</f>
        <v>1</v>
      </c>
      <c r="K1393" s="3" t="n">
        <f aca="false">IF(AND(H1393="United Kingdom",G1393&lt;&gt;"",COUNTIFS($G$2:G1393,G1393,$H$2:H1393,"United Kingdom")=1),1,0)</f>
        <v>0</v>
      </c>
    </row>
    <row r="1394" customFormat="false" ht="15" hidden="false" customHeight="false" outlineLevel="0" collapsed="false">
      <c r="A1394" s="0" t="s">
        <v>338</v>
      </c>
      <c r="B1394" s="0" t="s">
        <v>63</v>
      </c>
      <c r="C1394" s="0" t="s">
        <v>64</v>
      </c>
      <c r="D1394" s="0" t="n">
        <v>4</v>
      </c>
      <c r="E1394" s="2" t="n">
        <v>40671.6243055556</v>
      </c>
      <c r="F1394" s="0" t="n">
        <v>2.43</v>
      </c>
      <c r="G1394" s="0" t="n">
        <v>14810</v>
      </c>
      <c r="H1394" s="3" t="s">
        <v>14</v>
      </c>
      <c r="I1394" s="4" t="n">
        <f aca="false">D1394*F1394</f>
        <v>9.72</v>
      </c>
      <c r="J1394" s="3" t="n">
        <f aca="false">IF(AND(LEFT(A1394,1)&lt;&gt;"C",D1394&gt;0,F1394&gt;0),1,0)</f>
        <v>1</v>
      </c>
      <c r="K1394" s="3" t="n">
        <f aca="false">IF(AND(H1394="United Kingdom",G1394&lt;&gt;"",COUNTIFS($G$2:G1394,G1394,$H$2:H1394,"United Kingdom")=1),1,0)</f>
        <v>1</v>
      </c>
    </row>
    <row r="1395" customFormat="false" ht="15" hidden="false" customHeight="false" outlineLevel="0" collapsed="false">
      <c r="A1395" s="0" t="s">
        <v>338</v>
      </c>
      <c r="B1395" s="0" t="s">
        <v>68</v>
      </c>
      <c r="C1395" s="0" t="s">
        <v>69</v>
      </c>
      <c r="D1395" s="0" t="n">
        <v>4</v>
      </c>
      <c r="E1395" s="2" t="n">
        <v>40671.6243055556</v>
      </c>
      <c r="F1395" s="0" t="n">
        <v>1.26</v>
      </c>
      <c r="G1395" s="0" t="n">
        <v>14810</v>
      </c>
      <c r="H1395" s="3" t="s">
        <v>14</v>
      </c>
      <c r="I1395" s="4" t="n">
        <f aca="false">D1395*F1395</f>
        <v>5.04</v>
      </c>
      <c r="J1395" s="3" t="n">
        <f aca="false">IF(AND(LEFT(A1395,1)&lt;&gt;"C",D1395&gt;0,F1395&gt;0),1,0)</f>
        <v>1</v>
      </c>
      <c r="K1395" s="3" t="n">
        <f aca="false">IF(AND(H1395="United Kingdom",G1395&lt;&gt;"",COUNTIFS($G$2:G1395,G1395,$H$2:H1395,"United Kingdom")=1),1,0)</f>
        <v>0</v>
      </c>
    </row>
    <row r="1396" customFormat="false" ht="15" hidden="false" customHeight="false" outlineLevel="0" collapsed="false">
      <c r="A1396" s="0" t="s">
        <v>338</v>
      </c>
      <c r="B1396" s="0" t="s">
        <v>65</v>
      </c>
      <c r="C1396" s="0" t="s">
        <v>66</v>
      </c>
      <c r="D1396" s="0" t="n">
        <v>3</v>
      </c>
      <c r="E1396" s="2" t="n">
        <v>40671.6243055556</v>
      </c>
      <c r="F1396" s="0" t="n">
        <v>4.75</v>
      </c>
      <c r="G1396" s="0" t="n">
        <v>14810</v>
      </c>
      <c r="H1396" s="3" t="s">
        <v>14</v>
      </c>
      <c r="I1396" s="4" t="n">
        <f aca="false">D1396*F1396</f>
        <v>14.25</v>
      </c>
      <c r="J1396" s="3" t="n">
        <f aca="false">IF(AND(LEFT(A1396,1)&lt;&gt;"C",D1396&gt;0,F1396&gt;0),1,0)</f>
        <v>1</v>
      </c>
      <c r="K1396" s="3" t="n">
        <f aca="false">IF(AND(H1396="United Kingdom",G1396&lt;&gt;"",COUNTIFS($G$2:G1396,G1396,$H$2:H1396,"United Kingdom")=1),1,0)</f>
        <v>0</v>
      </c>
    </row>
    <row r="1397" customFormat="false" ht="15" hidden="false" customHeight="false" outlineLevel="0" collapsed="false">
      <c r="A1397" s="0" t="s">
        <v>338</v>
      </c>
      <c r="B1397" s="0" t="s">
        <v>20</v>
      </c>
      <c r="C1397" s="0" t="s">
        <v>21</v>
      </c>
      <c r="D1397" s="0" t="n">
        <v>6</v>
      </c>
      <c r="E1397" s="2" t="n">
        <v>40671.6243055556</v>
      </c>
      <c r="F1397" s="0" t="n">
        <v>4.24</v>
      </c>
      <c r="G1397" s="0" t="n">
        <v>14810</v>
      </c>
      <c r="H1397" s="3" t="s">
        <v>14</v>
      </c>
      <c r="I1397" s="4" t="n">
        <f aca="false">D1397*F1397</f>
        <v>25.44</v>
      </c>
      <c r="J1397" s="3" t="n">
        <f aca="false">IF(AND(LEFT(A1397,1)&lt;&gt;"C",D1397&gt;0,F1397&gt;0),1,0)</f>
        <v>1</v>
      </c>
      <c r="K1397" s="3" t="n">
        <f aca="false">IF(AND(H1397="United Kingdom",G1397&lt;&gt;"",COUNTIFS($G$2:G1397,G1397,$H$2:H1397,"United Kingdom")=1),1,0)</f>
        <v>0</v>
      </c>
    </row>
    <row r="1398" customFormat="false" ht="15" hidden="false" customHeight="false" outlineLevel="0" collapsed="false">
      <c r="A1398" s="0" t="s">
        <v>338</v>
      </c>
      <c r="B1398" s="0" t="s">
        <v>12</v>
      </c>
      <c r="C1398" s="0" t="s">
        <v>13</v>
      </c>
      <c r="D1398" s="0" t="n">
        <v>24</v>
      </c>
      <c r="E1398" s="2" t="n">
        <v>40671.6243055556</v>
      </c>
      <c r="F1398" s="0" t="n">
        <v>3.33</v>
      </c>
      <c r="G1398" s="0" t="n">
        <v>14810</v>
      </c>
      <c r="H1398" s="3" t="s">
        <v>14</v>
      </c>
      <c r="I1398" s="4" t="n">
        <f aca="false">D1398*F1398</f>
        <v>79.92</v>
      </c>
      <c r="J1398" s="3" t="n">
        <f aca="false">IF(AND(LEFT(A1398,1)&lt;&gt;"C",D1398&gt;0,F1398&gt;0),1,0)</f>
        <v>1</v>
      </c>
      <c r="K1398" s="3" t="n">
        <f aca="false">IF(AND(H1398="United Kingdom",G1398&lt;&gt;"",COUNTIFS($G$2:G1398,G1398,$H$2:H1398,"United Kingdom")=1),1,0)</f>
        <v>0</v>
      </c>
    </row>
    <row r="1399" customFormat="false" ht="15" hidden="false" customHeight="false" outlineLevel="0" collapsed="false">
      <c r="A1399" s="0" t="s">
        <v>338</v>
      </c>
      <c r="B1399" s="0" t="s">
        <v>50</v>
      </c>
      <c r="C1399" s="0" t="s">
        <v>51</v>
      </c>
      <c r="D1399" s="0" t="n">
        <v>8</v>
      </c>
      <c r="E1399" s="2" t="n">
        <v>40671.6243055556</v>
      </c>
      <c r="F1399" s="0" t="n">
        <v>5.41</v>
      </c>
      <c r="G1399" s="0" t="n">
        <v>14810</v>
      </c>
      <c r="H1399" s="3" t="s">
        <v>14</v>
      </c>
      <c r="I1399" s="4" t="n">
        <f aca="false">D1399*F1399</f>
        <v>43.28</v>
      </c>
      <c r="J1399" s="3" t="n">
        <f aca="false">IF(AND(LEFT(A1399,1)&lt;&gt;"C",D1399&gt;0,F1399&gt;0),1,0)</f>
        <v>1</v>
      </c>
      <c r="K1399" s="3" t="n">
        <f aca="false">IF(AND(H1399="United Kingdom",G1399&lt;&gt;"",COUNTIFS($G$2:G1399,G1399,$H$2:H1399,"United Kingdom")=1),1,0)</f>
        <v>0</v>
      </c>
    </row>
    <row r="1400" customFormat="false" ht="15" hidden="false" customHeight="false" outlineLevel="0" collapsed="false">
      <c r="A1400" s="0" t="s">
        <v>338</v>
      </c>
      <c r="B1400" s="0" t="s">
        <v>29</v>
      </c>
      <c r="C1400" s="0" t="s">
        <v>30</v>
      </c>
      <c r="D1400" s="0" t="n">
        <v>6</v>
      </c>
      <c r="E1400" s="2" t="n">
        <v>40671.6243055556</v>
      </c>
      <c r="F1400" s="0" t="n">
        <v>5.79</v>
      </c>
      <c r="G1400" s="0" t="n">
        <v>14810</v>
      </c>
      <c r="H1400" s="3" t="s">
        <v>14</v>
      </c>
      <c r="I1400" s="4" t="n">
        <f aca="false">D1400*F1400</f>
        <v>34.74</v>
      </c>
      <c r="J1400" s="3" t="n">
        <f aca="false">IF(AND(LEFT(A1400,1)&lt;&gt;"C",D1400&gt;0,F1400&gt;0),1,0)</f>
        <v>1</v>
      </c>
      <c r="K1400" s="3" t="n">
        <f aca="false">IF(AND(H1400="United Kingdom",G1400&lt;&gt;"",COUNTIFS($G$2:G1400,G1400,$H$2:H1400,"United Kingdom")=1),1,0)</f>
        <v>0</v>
      </c>
    </row>
    <row r="1401" customFormat="false" ht="15" hidden="false" customHeight="false" outlineLevel="0" collapsed="false">
      <c r="A1401" s="0" t="s">
        <v>338</v>
      </c>
      <c r="B1401" s="0" t="s">
        <v>43</v>
      </c>
      <c r="C1401" s="0" t="s">
        <v>44</v>
      </c>
      <c r="D1401" s="0" t="n">
        <v>3</v>
      </c>
      <c r="E1401" s="2" t="n">
        <v>40671.6243055556</v>
      </c>
      <c r="F1401" s="0" t="n">
        <v>1.35</v>
      </c>
      <c r="G1401" s="0" t="n">
        <v>14810</v>
      </c>
      <c r="H1401" s="3" t="s">
        <v>14</v>
      </c>
      <c r="I1401" s="4" t="n">
        <f aca="false">D1401*F1401</f>
        <v>4.05</v>
      </c>
      <c r="J1401" s="3" t="n">
        <f aca="false">IF(AND(LEFT(A1401,1)&lt;&gt;"C",D1401&gt;0,F1401&gt;0),1,0)</f>
        <v>1</v>
      </c>
      <c r="K1401" s="3" t="n">
        <f aca="false">IF(AND(H1401="United Kingdom",G1401&lt;&gt;"",COUNTIFS($G$2:G1401,G1401,$H$2:H1401,"United Kingdom")=1),1,0)</f>
        <v>0</v>
      </c>
    </row>
    <row r="1402" customFormat="false" ht="15" hidden="false" customHeight="false" outlineLevel="0" collapsed="false">
      <c r="A1402" s="0" t="s">
        <v>338</v>
      </c>
      <c r="B1402" s="0" t="s">
        <v>48</v>
      </c>
      <c r="C1402" s="0" t="s">
        <v>49</v>
      </c>
      <c r="D1402" s="0" t="n">
        <v>2</v>
      </c>
      <c r="E1402" s="2" t="n">
        <v>40671.6243055556</v>
      </c>
      <c r="F1402" s="0" t="n">
        <v>1.35</v>
      </c>
      <c r="G1402" s="0" t="n">
        <v>14810</v>
      </c>
      <c r="H1402" s="3" t="s">
        <v>14</v>
      </c>
      <c r="I1402" s="4" t="n">
        <f aca="false">D1402*F1402</f>
        <v>2.7</v>
      </c>
      <c r="J1402" s="3" t="n">
        <f aca="false">IF(AND(LEFT(A1402,1)&lt;&gt;"C",D1402&gt;0,F1402&gt;0),1,0)</f>
        <v>1</v>
      </c>
      <c r="K1402" s="3" t="n">
        <f aca="false">IF(AND(H1402="United Kingdom",G1402&lt;&gt;"",COUNTIFS($G$2:G1402,G1402,$H$2:H1402,"United Kingdom")=1),1,0)</f>
        <v>0</v>
      </c>
    </row>
    <row r="1403" customFormat="false" ht="15" hidden="false" customHeight="false" outlineLevel="0" collapsed="false">
      <c r="A1403" s="0" t="s">
        <v>338</v>
      </c>
      <c r="B1403" s="0" t="s">
        <v>41</v>
      </c>
      <c r="C1403" s="0" t="s">
        <v>42</v>
      </c>
      <c r="D1403" s="0" t="n">
        <v>8</v>
      </c>
      <c r="E1403" s="2" t="n">
        <v>40671.6243055556</v>
      </c>
      <c r="F1403" s="0" t="n">
        <v>3.28</v>
      </c>
      <c r="G1403" s="0" t="n">
        <v>14810</v>
      </c>
      <c r="H1403" s="3" t="s">
        <v>14</v>
      </c>
      <c r="I1403" s="4" t="n">
        <f aca="false">D1403*F1403</f>
        <v>26.24</v>
      </c>
      <c r="J1403" s="3" t="n">
        <f aca="false">IF(AND(LEFT(A1403,1)&lt;&gt;"C",D1403&gt;0,F1403&gt;0),1,0)</f>
        <v>1</v>
      </c>
      <c r="K1403" s="3" t="n">
        <f aca="false">IF(AND(H1403="United Kingdom",G1403&lt;&gt;"",COUNTIFS($G$2:G1403,G1403,$H$2:H1403,"United Kingdom")=1),1,0)</f>
        <v>0</v>
      </c>
    </row>
    <row r="1404" customFormat="false" ht="15" hidden="false" customHeight="false" outlineLevel="0" collapsed="false">
      <c r="A1404" s="0" t="s">
        <v>338</v>
      </c>
      <c r="B1404" s="0" t="s">
        <v>80</v>
      </c>
      <c r="C1404" s="0" t="s">
        <v>81</v>
      </c>
      <c r="D1404" s="0" t="n">
        <v>2</v>
      </c>
      <c r="E1404" s="2" t="n">
        <v>40671.6243055556</v>
      </c>
      <c r="F1404" s="0" t="n">
        <v>1.53</v>
      </c>
      <c r="G1404" s="0" t="n">
        <v>14810</v>
      </c>
      <c r="H1404" s="3" t="s">
        <v>14</v>
      </c>
      <c r="I1404" s="4" t="n">
        <f aca="false">D1404*F1404</f>
        <v>3.06</v>
      </c>
      <c r="J1404" s="3" t="n">
        <f aca="false">IF(AND(LEFT(A1404,1)&lt;&gt;"C",D1404&gt;0,F1404&gt;0),1,0)</f>
        <v>1</v>
      </c>
      <c r="K1404" s="3" t="n">
        <f aca="false">IF(AND(H1404="United Kingdom",G1404&lt;&gt;"",COUNTIFS($G$2:G1404,G1404,$H$2:H1404,"United Kingdom")=1),1,0)</f>
        <v>0</v>
      </c>
    </row>
    <row r="1405" customFormat="false" ht="15" hidden="false" customHeight="false" outlineLevel="0" collapsed="false">
      <c r="A1405" s="0" t="s">
        <v>338</v>
      </c>
      <c r="B1405" s="0" t="s">
        <v>15</v>
      </c>
      <c r="C1405" s="0" t="s">
        <v>16</v>
      </c>
      <c r="D1405" s="0" t="n">
        <v>6</v>
      </c>
      <c r="E1405" s="2" t="n">
        <v>40671.6243055556</v>
      </c>
      <c r="F1405" s="0" t="n">
        <v>3.18</v>
      </c>
      <c r="G1405" s="0" t="n">
        <v>14810</v>
      </c>
      <c r="H1405" s="3" t="s">
        <v>14</v>
      </c>
      <c r="I1405" s="4" t="n">
        <f aca="false">D1405*F1405</f>
        <v>19.08</v>
      </c>
      <c r="J1405" s="3" t="n">
        <f aca="false">IF(AND(LEFT(A1405,1)&lt;&gt;"C",D1405&gt;0,F1405&gt;0),1,0)</f>
        <v>1</v>
      </c>
      <c r="K1405" s="3" t="n">
        <f aca="false">IF(AND(H1405="United Kingdom",G1405&lt;&gt;"",COUNTIFS($G$2:G1405,G1405,$H$2:H1405,"United Kingdom")=1),1,0)</f>
        <v>0</v>
      </c>
    </row>
    <row r="1406" customFormat="false" ht="15" hidden="false" customHeight="false" outlineLevel="0" collapsed="false">
      <c r="A1406" s="0" t="s">
        <v>338</v>
      </c>
      <c r="B1406" s="0" t="s">
        <v>17</v>
      </c>
      <c r="C1406" s="0" t="s">
        <v>18</v>
      </c>
      <c r="D1406" s="0" t="n">
        <v>12</v>
      </c>
      <c r="E1406" s="2" t="n">
        <v>40671.6243055556</v>
      </c>
      <c r="F1406" s="0" t="n">
        <v>1.92</v>
      </c>
      <c r="G1406" s="0" t="n">
        <v>14810</v>
      </c>
      <c r="H1406" s="3" t="s">
        <v>14</v>
      </c>
      <c r="I1406" s="4" t="n">
        <f aca="false">D1406*F1406</f>
        <v>23.04</v>
      </c>
      <c r="J1406" s="3" t="n">
        <f aca="false">IF(AND(LEFT(A1406,1)&lt;&gt;"C",D1406&gt;0,F1406&gt;0),1,0)</f>
        <v>1</v>
      </c>
      <c r="K1406" s="3" t="n">
        <f aca="false">IF(AND(H1406="United Kingdom",G1406&lt;&gt;"",COUNTIFS($G$2:G1406,G1406,$H$2:H1406,"United Kingdom")=1),1,0)</f>
        <v>0</v>
      </c>
    </row>
    <row r="1407" customFormat="false" ht="15" hidden="false" customHeight="false" outlineLevel="0" collapsed="false">
      <c r="A1407" s="0" t="s">
        <v>338</v>
      </c>
      <c r="B1407" s="0" t="s">
        <v>77</v>
      </c>
      <c r="C1407" s="0" t="s">
        <v>78</v>
      </c>
      <c r="D1407" s="0" t="n">
        <v>2</v>
      </c>
      <c r="E1407" s="2" t="n">
        <v>40671.6243055556</v>
      </c>
      <c r="F1407" s="0" t="n">
        <v>3.41</v>
      </c>
      <c r="G1407" s="0" t="n">
        <v>14810</v>
      </c>
      <c r="H1407" s="3" t="s">
        <v>14</v>
      </c>
      <c r="I1407" s="4" t="n">
        <f aca="false">D1407*F1407</f>
        <v>6.82</v>
      </c>
      <c r="J1407" s="3" t="n">
        <f aca="false">IF(AND(LEFT(A1407,1)&lt;&gt;"C",D1407&gt;0,F1407&gt;0),1,0)</f>
        <v>1</v>
      </c>
      <c r="K1407" s="3" t="n">
        <f aca="false">IF(AND(H1407="United Kingdom",G1407&lt;&gt;"",COUNTIFS($G$2:G1407,G1407,$H$2:H1407,"United Kingdom")=1),1,0)</f>
        <v>0</v>
      </c>
    </row>
    <row r="1408" customFormat="false" ht="15" hidden="false" customHeight="false" outlineLevel="0" collapsed="false">
      <c r="A1408" s="0" t="s">
        <v>338</v>
      </c>
      <c r="B1408" s="0" t="s">
        <v>45</v>
      </c>
      <c r="C1408" s="0" t="s">
        <v>46</v>
      </c>
      <c r="D1408" s="0" t="n">
        <v>1</v>
      </c>
      <c r="E1408" s="2" t="n">
        <v>40671.6243055556</v>
      </c>
      <c r="F1408" s="0" t="n">
        <v>4.55</v>
      </c>
      <c r="G1408" s="0" t="n">
        <v>14810</v>
      </c>
      <c r="H1408" s="3" t="s">
        <v>14</v>
      </c>
      <c r="I1408" s="4" t="n">
        <f aca="false">D1408*F1408</f>
        <v>4.55</v>
      </c>
      <c r="J1408" s="3" t="n">
        <f aca="false">IF(AND(LEFT(A1408,1)&lt;&gt;"C",D1408&gt;0,F1408&gt;0),1,0)</f>
        <v>1</v>
      </c>
      <c r="K1408" s="3" t="n">
        <f aca="false">IF(AND(H1408="United Kingdom",G1408&lt;&gt;"",COUNTIFS($G$2:G1408,G1408,$H$2:H1408,"United Kingdom")=1),1,0)</f>
        <v>0</v>
      </c>
    </row>
    <row r="1409" customFormat="false" ht="15" hidden="false" customHeight="false" outlineLevel="0" collapsed="false">
      <c r="A1409" s="0" t="s">
        <v>338</v>
      </c>
      <c r="B1409" s="0" t="s">
        <v>72</v>
      </c>
      <c r="C1409" s="0" t="s">
        <v>73</v>
      </c>
      <c r="D1409" s="0" t="n">
        <v>1</v>
      </c>
      <c r="E1409" s="2" t="n">
        <v>40671.6243055556</v>
      </c>
      <c r="F1409" s="0" t="n">
        <v>2.69</v>
      </c>
      <c r="G1409" s="0" t="n">
        <v>14810</v>
      </c>
      <c r="H1409" s="3" t="s">
        <v>14</v>
      </c>
      <c r="I1409" s="4" t="n">
        <f aca="false">D1409*F1409</f>
        <v>2.69</v>
      </c>
      <c r="J1409" s="3" t="n">
        <f aca="false">IF(AND(LEFT(A1409,1)&lt;&gt;"C",D1409&gt;0,F1409&gt;0),1,0)</f>
        <v>1</v>
      </c>
      <c r="K1409" s="3" t="n">
        <f aca="false">IF(AND(H1409="United Kingdom",G1409&lt;&gt;"",COUNTIFS($G$2:G1409,G1409,$H$2:H1409,"United Kingdom")=1),1,0)</f>
        <v>0</v>
      </c>
    </row>
    <row r="1410" customFormat="false" ht="15" hidden="false" customHeight="false" outlineLevel="0" collapsed="false">
      <c r="A1410" s="0" t="s">
        <v>338</v>
      </c>
      <c r="B1410" s="0" t="s">
        <v>32</v>
      </c>
      <c r="C1410" s="0" t="s">
        <v>33</v>
      </c>
      <c r="D1410" s="0" t="n">
        <v>2</v>
      </c>
      <c r="E1410" s="2" t="n">
        <v>40671.6243055556</v>
      </c>
      <c r="F1410" s="0" t="n">
        <v>1.19</v>
      </c>
      <c r="G1410" s="0" t="n">
        <v>14810</v>
      </c>
      <c r="H1410" s="3" t="s">
        <v>14</v>
      </c>
      <c r="I1410" s="4" t="n">
        <f aca="false">D1410*F1410</f>
        <v>2.38</v>
      </c>
      <c r="J1410" s="3" t="n">
        <f aca="false">IF(AND(LEFT(A1410,1)&lt;&gt;"C",D1410&gt;0,F1410&gt;0),1,0)</f>
        <v>1</v>
      </c>
      <c r="K1410" s="3" t="n">
        <f aca="false">IF(AND(H1410="United Kingdom",G1410&lt;&gt;"",COUNTIFS($G$2:G1410,G1410,$H$2:H1410,"United Kingdom")=1),1,0)</f>
        <v>0</v>
      </c>
    </row>
    <row r="1411" customFormat="false" ht="15" hidden="false" customHeight="false" outlineLevel="0" collapsed="false">
      <c r="A1411" s="0" t="s">
        <v>338</v>
      </c>
      <c r="B1411" s="0" t="s">
        <v>52</v>
      </c>
      <c r="C1411" s="0" t="s">
        <v>53</v>
      </c>
      <c r="D1411" s="0" t="n">
        <v>6</v>
      </c>
      <c r="E1411" s="2" t="n">
        <v>40671.6243055556</v>
      </c>
      <c r="F1411" s="0" t="n">
        <v>4.16</v>
      </c>
      <c r="G1411" s="0" t="n">
        <v>14810</v>
      </c>
      <c r="H1411" s="3" t="s">
        <v>14</v>
      </c>
      <c r="I1411" s="4" t="n">
        <f aca="false">D1411*F1411</f>
        <v>24.96</v>
      </c>
      <c r="J1411" s="3" t="n">
        <f aca="false">IF(AND(LEFT(A1411,1)&lt;&gt;"C",D1411&gt;0,F1411&gt;0),1,0)</f>
        <v>1</v>
      </c>
      <c r="K1411" s="3" t="n">
        <f aca="false">IF(AND(H1411="United Kingdom",G1411&lt;&gt;"",COUNTIFS($G$2:G1411,G1411,$H$2:H1411,"United Kingdom")=1),1,0)</f>
        <v>0</v>
      </c>
    </row>
    <row r="1412" customFormat="false" ht="15" hidden="false" customHeight="false" outlineLevel="0" collapsed="false">
      <c r="A1412" s="0" t="s">
        <v>338</v>
      </c>
      <c r="B1412" s="0" t="s">
        <v>75</v>
      </c>
      <c r="C1412" s="0" t="s">
        <v>76</v>
      </c>
      <c r="D1412" s="0" t="n">
        <v>8</v>
      </c>
      <c r="E1412" s="2" t="n">
        <v>40671.6243055556</v>
      </c>
      <c r="F1412" s="0" t="n">
        <v>1.97</v>
      </c>
      <c r="G1412" s="0" t="n">
        <v>14810</v>
      </c>
      <c r="H1412" s="3" t="s">
        <v>14</v>
      </c>
      <c r="I1412" s="4" t="n">
        <f aca="false">D1412*F1412</f>
        <v>15.76</v>
      </c>
      <c r="J1412" s="3" t="n">
        <f aca="false">IF(AND(LEFT(A1412,1)&lt;&gt;"C",D1412&gt;0,F1412&gt;0),1,0)</f>
        <v>1</v>
      </c>
      <c r="K1412" s="3" t="n">
        <f aca="false">IF(AND(H1412="United Kingdom",G1412&lt;&gt;"",COUNTIFS($G$2:G1412,G1412,$H$2:H1412,"United Kingdom")=1),1,0)</f>
        <v>0</v>
      </c>
    </row>
    <row r="1413" customFormat="false" ht="15" hidden="false" customHeight="false" outlineLevel="0" collapsed="false">
      <c r="A1413" s="0" t="s">
        <v>339</v>
      </c>
      <c r="B1413" s="0" t="s">
        <v>60</v>
      </c>
      <c r="C1413" s="0" t="s">
        <v>61</v>
      </c>
      <c r="D1413" s="0" t="n">
        <v>6</v>
      </c>
      <c r="E1413" s="2" t="n">
        <v>40671.6381944444</v>
      </c>
      <c r="F1413" s="0" t="n">
        <v>0.63</v>
      </c>
      <c r="G1413" s="0" t="n">
        <v>18211</v>
      </c>
      <c r="H1413" s="3" t="s">
        <v>14</v>
      </c>
      <c r="I1413" s="4" t="n">
        <f aca="false">D1413*F1413</f>
        <v>3.78</v>
      </c>
      <c r="J1413" s="3" t="n">
        <f aca="false">IF(AND(LEFT(A1413,1)&lt;&gt;"C",D1413&gt;0,F1413&gt;0),1,0)</f>
        <v>1</v>
      </c>
      <c r="K1413" s="3" t="n">
        <f aca="false">IF(AND(H1413="United Kingdom",G1413&lt;&gt;"",COUNTIFS($G$2:G1413,G1413,$H$2:H1413,"United Kingdom")=1),1,0)</f>
        <v>0</v>
      </c>
    </row>
    <row r="1414" customFormat="false" ht="15" hidden="false" customHeight="false" outlineLevel="0" collapsed="false">
      <c r="A1414" s="0" t="s">
        <v>339</v>
      </c>
      <c r="B1414" s="0" t="s">
        <v>90</v>
      </c>
      <c r="C1414" s="0" t="s">
        <v>91</v>
      </c>
      <c r="D1414" s="0" t="n">
        <v>2</v>
      </c>
      <c r="E1414" s="2" t="n">
        <v>40671.6381944444</v>
      </c>
      <c r="F1414" s="0" t="n">
        <v>3.04</v>
      </c>
      <c r="G1414" s="0" t="n">
        <v>18211</v>
      </c>
      <c r="H1414" s="3" t="s">
        <v>14</v>
      </c>
      <c r="I1414" s="4" t="n">
        <f aca="false">D1414*F1414</f>
        <v>6.08</v>
      </c>
      <c r="J1414" s="3" t="n">
        <f aca="false">IF(AND(LEFT(A1414,1)&lt;&gt;"C",D1414&gt;0,F1414&gt;0),1,0)</f>
        <v>1</v>
      </c>
      <c r="K1414" s="3" t="n">
        <f aca="false">IF(AND(H1414="United Kingdom",G1414&lt;&gt;"",COUNTIFS($G$2:G1414,G1414,$H$2:H1414,"United Kingdom")=1),1,0)</f>
        <v>0</v>
      </c>
    </row>
    <row r="1415" customFormat="false" ht="15" hidden="false" customHeight="false" outlineLevel="0" collapsed="false">
      <c r="A1415" s="0" t="s">
        <v>339</v>
      </c>
      <c r="B1415" s="0" t="s">
        <v>65</v>
      </c>
      <c r="C1415" s="0" t="s">
        <v>66</v>
      </c>
      <c r="D1415" s="0" t="n">
        <v>8</v>
      </c>
      <c r="E1415" s="2" t="n">
        <v>40671.6381944444</v>
      </c>
      <c r="F1415" s="0" t="n">
        <v>4.75</v>
      </c>
      <c r="G1415" s="0" t="n">
        <v>18211</v>
      </c>
      <c r="H1415" s="3" t="s">
        <v>14</v>
      </c>
      <c r="I1415" s="4" t="n">
        <f aca="false">D1415*F1415</f>
        <v>38</v>
      </c>
      <c r="J1415" s="3" t="n">
        <f aca="false">IF(AND(LEFT(A1415,1)&lt;&gt;"C",D1415&gt;0,F1415&gt;0),1,0)</f>
        <v>1</v>
      </c>
      <c r="K1415" s="3" t="n">
        <f aca="false">IF(AND(H1415="United Kingdom",G1415&lt;&gt;"",COUNTIFS($G$2:G1415,G1415,$H$2:H1415,"United Kingdom")=1),1,0)</f>
        <v>0</v>
      </c>
    </row>
    <row r="1416" customFormat="false" ht="15" hidden="false" customHeight="false" outlineLevel="0" collapsed="false">
      <c r="A1416" s="0" t="s">
        <v>339</v>
      </c>
      <c r="B1416" s="0" t="s">
        <v>54</v>
      </c>
      <c r="C1416" s="0" t="s">
        <v>55</v>
      </c>
      <c r="D1416" s="0" t="n">
        <v>1</v>
      </c>
      <c r="E1416" s="2" t="n">
        <v>40671.6381944444</v>
      </c>
      <c r="F1416" s="0" t="n">
        <v>0.99</v>
      </c>
      <c r="G1416" s="0" t="n">
        <v>18211</v>
      </c>
      <c r="H1416" s="3" t="s">
        <v>14</v>
      </c>
      <c r="I1416" s="4" t="n">
        <f aca="false">D1416*F1416</f>
        <v>0.99</v>
      </c>
      <c r="J1416" s="3" t="n">
        <f aca="false">IF(AND(LEFT(A1416,1)&lt;&gt;"C",D1416&gt;0,F1416&gt;0),1,0)</f>
        <v>1</v>
      </c>
      <c r="K1416" s="3" t="n">
        <f aca="false">IF(AND(H1416="United Kingdom",G1416&lt;&gt;"",COUNTIFS($G$2:G1416,G1416,$H$2:H1416,"United Kingdom")=1),1,0)</f>
        <v>0</v>
      </c>
    </row>
    <row r="1417" customFormat="false" ht="15" hidden="false" customHeight="false" outlineLevel="0" collapsed="false">
      <c r="A1417" s="0" t="s">
        <v>340</v>
      </c>
      <c r="B1417" s="0" t="s">
        <v>80</v>
      </c>
      <c r="C1417" s="0" t="s">
        <v>81</v>
      </c>
      <c r="D1417" s="0" t="n">
        <v>4</v>
      </c>
      <c r="E1417" s="2" t="n">
        <v>40673.4604166667</v>
      </c>
      <c r="F1417" s="0" t="n">
        <v>1.53</v>
      </c>
      <c r="G1417" s="0" t="n">
        <v>14603</v>
      </c>
      <c r="H1417" s="3" t="s">
        <v>14</v>
      </c>
      <c r="I1417" s="4" t="n">
        <f aca="false">D1417*F1417</f>
        <v>6.12</v>
      </c>
      <c r="J1417" s="3" t="n">
        <f aca="false">IF(AND(LEFT(A1417,1)&lt;&gt;"C",D1417&gt;0,F1417&gt;0),1,0)</f>
        <v>1</v>
      </c>
      <c r="K1417" s="3" t="n">
        <f aca="false">IF(AND(H1417="United Kingdom",G1417&lt;&gt;"",COUNTIFS($G$2:G1417,G1417,$H$2:H1417,"United Kingdom")=1),1,0)</f>
        <v>1</v>
      </c>
    </row>
    <row r="1418" customFormat="false" ht="15" hidden="false" customHeight="false" outlineLevel="0" collapsed="false">
      <c r="A1418" s="0" t="s">
        <v>340</v>
      </c>
      <c r="B1418" s="0" t="s">
        <v>22</v>
      </c>
      <c r="C1418" s="0" t="s">
        <v>23</v>
      </c>
      <c r="D1418" s="0" t="n">
        <v>2</v>
      </c>
      <c r="E1418" s="2" t="n">
        <v>40673.4604166667</v>
      </c>
      <c r="F1418" s="0" t="n">
        <v>3.18</v>
      </c>
      <c r="G1418" s="0" t="n">
        <v>14603</v>
      </c>
      <c r="H1418" s="3" t="s">
        <v>14</v>
      </c>
      <c r="I1418" s="4" t="n">
        <f aca="false">D1418*F1418</f>
        <v>6.36</v>
      </c>
      <c r="J1418" s="3" t="n">
        <f aca="false">IF(AND(LEFT(A1418,1)&lt;&gt;"C",D1418&gt;0,F1418&gt;0),1,0)</f>
        <v>1</v>
      </c>
      <c r="K1418" s="3" t="n">
        <f aca="false">IF(AND(H1418="United Kingdom",G1418&lt;&gt;"",COUNTIFS($G$2:G1418,G1418,$H$2:H1418,"United Kingdom")=1),1,0)</f>
        <v>0</v>
      </c>
    </row>
    <row r="1419" customFormat="false" ht="15" hidden="false" customHeight="false" outlineLevel="0" collapsed="false">
      <c r="A1419" s="0" t="s">
        <v>340</v>
      </c>
      <c r="B1419" s="0" t="s">
        <v>77</v>
      </c>
      <c r="C1419" s="0" t="s">
        <v>78</v>
      </c>
      <c r="D1419" s="0" t="n">
        <v>4</v>
      </c>
      <c r="E1419" s="2" t="n">
        <v>40673.4604166667</v>
      </c>
      <c r="F1419" s="0" t="n">
        <v>3.41</v>
      </c>
      <c r="G1419" s="0" t="n">
        <v>14603</v>
      </c>
      <c r="H1419" s="3" t="s">
        <v>14</v>
      </c>
      <c r="I1419" s="4" t="n">
        <f aca="false">D1419*F1419</f>
        <v>13.64</v>
      </c>
      <c r="J1419" s="3" t="n">
        <f aca="false">IF(AND(LEFT(A1419,1)&lt;&gt;"C",D1419&gt;0,F1419&gt;0),1,0)</f>
        <v>1</v>
      </c>
      <c r="K1419" s="3" t="n">
        <f aca="false">IF(AND(H1419="United Kingdom",G1419&lt;&gt;"",COUNTIFS($G$2:G1419,G1419,$H$2:H1419,"United Kingdom")=1),1,0)</f>
        <v>0</v>
      </c>
    </row>
    <row r="1420" customFormat="false" ht="15" hidden="false" customHeight="false" outlineLevel="0" collapsed="false">
      <c r="A1420" s="0" t="s">
        <v>340</v>
      </c>
      <c r="B1420" s="0" t="s">
        <v>15</v>
      </c>
      <c r="C1420" s="0" t="s">
        <v>16</v>
      </c>
      <c r="D1420" s="0" t="n">
        <v>8</v>
      </c>
      <c r="E1420" s="2" t="n">
        <v>40673.4604166667</v>
      </c>
      <c r="F1420" s="0" t="n">
        <v>3.18</v>
      </c>
      <c r="G1420" s="0" t="n">
        <v>14603</v>
      </c>
      <c r="H1420" s="3" t="s">
        <v>14</v>
      </c>
      <c r="I1420" s="4" t="n">
        <f aca="false">D1420*F1420</f>
        <v>25.44</v>
      </c>
      <c r="J1420" s="3" t="n">
        <f aca="false">IF(AND(LEFT(A1420,1)&lt;&gt;"C",D1420&gt;0,F1420&gt;0),1,0)</f>
        <v>1</v>
      </c>
      <c r="K1420" s="3" t="n">
        <f aca="false">IF(AND(H1420="United Kingdom",G1420&lt;&gt;"",COUNTIFS($G$2:G1420,G1420,$H$2:H1420,"United Kingdom")=1),1,0)</f>
        <v>0</v>
      </c>
    </row>
    <row r="1421" customFormat="false" ht="15" hidden="false" customHeight="false" outlineLevel="0" collapsed="false">
      <c r="A1421" s="0" t="s">
        <v>341</v>
      </c>
      <c r="B1421" s="0" t="s">
        <v>32</v>
      </c>
      <c r="C1421" s="0" t="s">
        <v>33</v>
      </c>
      <c r="D1421" s="0" t="n">
        <v>3</v>
      </c>
      <c r="E1421" s="2" t="n">
        <v>40673.4868055556</v>
      </c>
      <c r="F1421" s="0" t="n">
        <v>1.19</v>
      </c>
      <c r="G1421" s="0" t="n">
        <v>12526</v>
      </c>
      <c r="H1421" s="3" t="s">
        <v>14</v>
      </c>
      <c r="I1421" s="4" t="n">
        <f aca="false">D1421*F1421</f>
        <v>3.57</v>
      </c>
      <c r="J1421" s="3" t="n">
        <f aca="false">IF(AND(LEFT(A1421,1)&lt;&gt;"C",D1421&gt;0,F1421&gt;0),1,0)</f>
        <v>1</v>
      </c>
      <c r="K1421" s="3" t="n">
        <f aca="false">IF(AND(H1421="United Kingdom",G1421&lt;&gt;"",COUNTIFS($G$2:G1421,G1421,$H$2:H1421,"United Kingdom")=1),1,0)</f>
        <v>1</v>
      </c>
    </row>
    <row r="1422" customFormat="false" ht="15" hidden="false" customHeight="false" outlineLevel="0" collapsed="false">
      <c r="A1422" s="0" t="s">
        <v>341</v>
      </c>
      <c r="B1422" s="0" t="s">
        <v>58</v>
      </c>
      <c r="C1422" s="0" t="s">
        <v>59</v>
      </c>
      <c r="D1422" s="0" t="n">
        <v>8</v>
      </c>
      <c r="E1422" s="2" t="n">
        <v>40673.4868055556</v>
      </c>
      <c r="F1422" s="0" t="n">
        <v>2.16</v>
      </c>
      <c r="G1422" s="0" t="n">
        <v>12526</v>
      </c>
      <c r="H1422" s="3" t="s">
        <v>14</v>
      </c>
      <c r="I1422" s="4" t="n">
        <f aca="false">D1422*F1422</f>
        <v>17.28</v>
      </c>
      <c r="J1422" s="3" t="n">
        <f aca="false">IF(AND(LEFT(A1422,1)&lt;&gt;"C",D1422&gt;0,F1422&gt;0),1,0)</f>
        <v>1</v>
      </c>
      <c r="K1422" s="3" t="n">
        <f aca="false">IF(AND(H1422="United Kingdom",G1422&lt;&gt;"",COUNTIFS($G$2:G1422,G1422,$H$2:H1422,"United Kingdom")=1),1,0)</f>
        <v>0</v>
      </c>
    </row>
    <row r="1423" customFormat="false" ht="15" hidden="false" customHeight="false" outlineLevel="0" collapsed="false">
      <c r="A1423" s="0" t="s">
        <v>341</v>
      </c>
      <c r="B1423" s="0" t="s">
        <v>39</v>
      </c>
      <c r="C1423" s="0" t="s">
        <v>40</v>
      </c>
      <c r="D1423" s="0" t="n">
        <v>8</v>
      </c>
      <c r="E1423" s="2" t="n">
        <v>40673.4868055556</v>
      </c>
      <c r="F1423" s="0" t="n">
        <v>2.58</v>
      </c>
      <c r="G1423" s="0" t="n">
        <v>12526</v>
      </c>
      <c r="H1423" s="3" t="s">
        <v>14</v>
      </c>
      <c r="I1423" s="4" t="n">
        <f aca="false">D1423*F1423</f>
        <v>20.64</v>
      </c>
      <c r="J1423" s="3" t="n">
        <f aca="false">IF(AND(LEFT(A1423,1)&lt;&gt;"C",D1423&gt;0,F1423&gt;0),1,0)</f>
        <v>1</v>
      </c>
      <c r="K1423" s="3" t="n">
        <f aca="false">IF(AND(H1423="United Kingdom",G1423&lt;&gt;"",COUNTIFS($G$2:G1423,G1423,$H$2:H1423,"United Kingdom")=1),1,0)</f>
        <v>0</v>
      </c>
    </row>
    <row r="1424" customFormat="false" ht="15" hidden="false" customHeight="false" outlineLevel="0" collapsed="false">
      <c r="A1424" s="0" t="s">
        <v>341</v>
      </c>
      <c r="B1424" s="0" t="s">
        <v>68</v>
      </c>
      <c r="C1424" s="0" t="s">
        <v>69</v>
      </c>
      <c r="D1424" s="0" t="n">
        <v>4</v>
      </c>
      <c r="E1424" s="2" t="n">
        <v>40673.4868055556</v>
      </c>
      <c r="F1424" s="0" t="n">
        <v>1.26</v>
      </c>
      <c r="G1424" s="0" t="n">
        <v>12526</v>
      </c>
      <c r="H1424" s="3" t="s">
        <v>14</v>
      </c>
      <c r="I1424" s="4" t="n">
        <f aca="false">D1424*F1424</f>
        <v>5.04</v>
      </c>
      <c r="J1424" s="3" t="n">
        <f aca="false">IF(AND(LEFT(A1424,1)&lt;&gt;"C",D1424&gt;0,F1424&gt;0),1,0)</f>
        <v>1</v>
      </c>
      <c r="K1424" s="3" t="n">
        <f aca="false">IF(AND(H1424="United Kingdom",G1424&lt;&gt;"",COUNTIFS($G$2:G1424,G1424,$H$2:H1424,"United Kingdom")=1),1,0)</f>
        <v>0</v>
      </c>
    </row>
    <row r="1425" customFormat="false" ht="15" hidden="false" customHeight="false" outlineLevel="0" collapsed="false">
      <c r="A1425" s="0" t="s">
        <v>341</v>
      </c>
      <c r="B1425" s="0" t="s">
        <v>34</v>
      </c>
      <c r="C1425" s="0" t="s">
        <v>35</v>
      </c>
      <c r="D1425" s="0" t="n">
        <v>8</v>
      </c>
      <c r="E1425" s="2" t="n">
        <v>40673.4868055556</v>
      </c>
      <c r="F1425" s="0" t="n">
        <v>2.38</v>
      </c>
      <c r="G1425" s="0" t="n">
        <v>12526</v>
      </c>
      <c r="H1425" s="3" t="s">
        <v>14</v>
      </c>
      <c r="I1425" s="4" t="n">
        <f aca="false">D1425*F1425</f>
        <v>19.04</v>
      </c>
      <c r="J1425" s="3" t="n">
        <f aca="false">IF(AND(LEFT(A1425,1)&lt;&gt;"C",D1425&gt;0,F1425&gt;0),1,0)</f>
        <v>1</v>
      </c>
      <c r="K1425" s="3" t="n">
        <f aca="false">IF(AND(H1425="United Kingdom",G1425&lt;&gt;"",COUNTIFS($G$2:G1425,G1425,$H$2:H1425,"United Kingdom")=1),1,0)</f>
        <v>0</v>
      </c>
    </row>
    <row r="1426" customFormat="false" ht="15" hidden="false" customHeight="false" outlineLevel="0" collapsed="false">
      <c r="A1426" s="0" t="s">
        <v>341</v>
      </c>
      <c r="B1426" s="0" t="s">
        <v>60</v>
      </c>
      <c r="C1426" s="0" t="s">
        <v>61</v>
      </c>
      <c r="D1426" s="0" t="n">
        <v>3</v>
      </c>
      <c r="E1426" s="2" t="n">
        <v>40673.4868055556</v>
      </c>
      <c r="F1426" s="0" t="n">
        <v>0.63</v>
      </c>
      <c r="G1426" s="0" t="n">
        <v>12526</v>
      </c>
      <c r="H1426" s="3" t="s">
        <v>14</v>
      </c>
      <c r="I1426" s="4" t="n">
        <f aca="false">D1426*F1426</f>
        <v>1.89</v>
      </c>
      <c r="J1426" s="3" t="n">
        <f aca="false">IF(AND(LEFT(A1426,1)&lt;&gt;"C",D1426&gt;0,F1426&gt;0),1,0)</f>
        <v>1</v>
      </c>
      <c r="K1426" s="3" t="n">
        <f aca="false">IF(AND(H1426="United Kingdom",G1426&lt;&gt;"",COUNTIFS($G$2:G1426,G1426,$H$2:H1426,"United Kingdom")=1),1,0)</f>
        <v>0</v>
      </c>
    </row>
    <row r="1427" customFormat="false" ht="15" hidden="false" customHeight="false" outlineLevel="0" collapsed="false">
      <c r="A1427" s="0" t="s">
        <v>341</v>
      </c>
      <c r="B1427" s="0" t="s">
        <v>20</v>
      </c>
      <c r="C1427" s="0" t="s">
        <v>21</v>
      </c>
      <c r="D1427" s="0" t="n">
        <v>2</v>
      </c>
      <c r="E1427" s="2" t="n">
        <v>40673.4868055556</v>
      </c>
      <c r="F1427" s="0" t="n">
        <v>4.24</v>
      </c>
      <c r="G1427" s="0" t="n">
        <v>12526</v>
      </c>
      <c r="H1427" s="3" t="s">
        <v>14</v>
      </c>
      <c r="I1427" s="4" t="n">
        <f aca="false">D1427*F1427</f>
        <v>8.48</v>
      </c>
      <c r="J1427" s="3" t="n">
        <f aca="false">IF(AND(LEFT(A1427,1)&lt;&gt;"C",D1427&gt;0,F1427&gt;0),1,0)</f>
        <v>1</v>
      </c>
      <c r="K1427" s="3" t="n">
        <f aca="false">IF(AND(H1427="United Kingdom",G1427&lt;&gt;"",COUNTIFS($G$2:G1427,G1427,$H$2:H1427,"United Kingdom")=1),1,0)</f>
        <v>0</v>
      </c>
    </row>
    <row r="1428" customFormat="false" ht="15" hidden="false" customHeight="false" outlineLevel="0" collapsed="false">
      <c r="A1428" s="0" t="s">
        <v>342</v>
      </c>
      <c r="B1428" s="0" t="s">
        <v>68</v>
      </c>
      <c r="C1428" s="0" t="s">
        <v>69</v>
      </c>
      <c r="D1428" s="0" t="n">
        <v>2</v>
      </c>
      <c r="E1428" s="2" t="n">
        <v>40673.7055555556</v>
      </c>
      <c r="F1428" s="0" t="n">
        <v>1.26</v>
      </c>
      <c r="G1428" s="0" t="n">
        <v>16258</v>
      </c>
      <c r="H1428" s="3" t="s">
        <v>14</v>
      </c>
      <c r="I1428" s="4" t="n">
        <f aca="false">D1428*F1428</f>
        <v>2.52</v>
      </c>
      <c r="J1428" s="3" t="n">
        <f aca="false">IF(AND(LEFT(A1428,1)&lt;&gt;"C",D1428&gt;0,F1428&gt;0),1,0)</f>
        <v>1</v>
      </c>
      <c r="K1428" s="3" t="n">
        <f aca="false">IF(AND(H1428="United Kingdom",G1428&lt;&gt;"",COUNTIFS($G$2:G1428,G1428,$H$2:H1428,"United Kingdom")=1),1,0)</f>
        <v>0</v>
      </c>
    </row>
    <row r="1429" customFormat="false" ht="15" hidden="false" customHeight="false" outlineLevel="0" collapsed="false">
      <c r="A1429" s="0" t="s">
        <v>342</v>
      </c>
      <c r="B1429" s="0" t="s">
        <v>58</v>
      </c>
      <c r="C1429" s="0" t="s">
        <v>59</v>
      </c>
      <c r="D1429" s="0" t="n">
        <v>6</v>
      </c>
      <c r="E1429" s="2" t="n">
        <v>40673.7055555556</v>
      </c>
      <c r="F1429" s="0" t="n">
        <v>2.16</v>
      </c>
      <c r="G1429" s="0" t="n">
        <v>16258</v>
      </c>
      <c r="H1429" s="3" t="s">
        <v>14</v>
      </c>
      <c r="I1429" s="4" t="n">
        <f aca="false">D1429*F1429</f>
        <v>12.96</v>
      </c>
      <c r="J1429" s="3" t="n">
        <f aca="false">IF(AND(LEFT(A1429,1)&lt;&gt;"C",D1429&gt;0,F1429&gt;0),1,0)</f>
        <v>1</v>
      </c>
      <c r="K1429" s="3" t="n">
        <f aca="false">IF(AND(H1429="United Kingdom",G1429&lt;&gt;"",COUNTIFS($G$2:G1429,G1429,$H$2:H1429,"United Kingdom")=1),1,0)</f>
        <v>0</v>
      </c>
    </row>
    <row r="1430" customFormat="false" ht="15" hidden="false" customHeight="false" outlineLevel="0" collapsed="false">
      <c r="A1430" s="0" t="s">
        <v>342</v>
      </c>
      <c r="B1430" s="0" t="s">
        <v>32</v>
      </c>
      <c r="C1430" s="0" t="s">
        <v>33</v>
      </c>
      <c r="D1430" s="0" t="n">
        <v>2</v>
      </c>
      <c r="E1430" s="2" t="n">
        <v>40673.7055555556</v>
      </c>
      <c r="F1430" s="0" t="n">
        <v>1.19</v>
      </c>
      <c r="G1430" s="0" t="n">
        <v>16258</v>
      </c>
      <c r="H1430" s="3" t="s">
        <v>14</v>
      </c>
      <c r="I1430" s="4" t="n">
        <f aca="false">D1430*F1430</f>
        <v>2.38</v>
      </c>
      <c r="J1430" s="3" t="n">
        <f aca="false">IF(AND(LEFT(A1430,1)&lt;&gt;"C",D1430&gt;0,F1430&gt;0),1,0)</f>
        <v>1</v>
      </c>
      <c r="K1430" s="3" t="n">
        <f aca="false">IF(AND(H1430="United Kingdom",G1430&lt;&gt;"",COUNTIFS($G$2:G1430,G1430,$H$2:H1430,"United Kingdom")=1),1,0)</f>
        <v>0</v>
      </c>
    </row>
    <row r="1431" customFormat="false" ht="15" hidden="false" customHeight="false" outlineLevel="0" collapsed="false">
      <c r="A1431" s="0" t="s">
        <v>342</v>
      </c>
      <c r="B1431" s="0" t="s">
        <v>22</v>
      </c>
      <c r="C1431" s="0" t="s">
        <v>23</v>
      </c>
      <c r="D1431" s="0" t="n">
        <v>2</v>
      </c>
      <c r="E1431" s="2" t="n">
        <v>40673.7055555556</v>
      </c>
      <c r="F1431" s="0" t="n">
        <v>3.18</v>
      </c>
      <c r="G1431" s="0" t="n">
        <v>16258</v>
      </c>
      <c r="H1431" s="3" t="s">
        <v>14</v>
      </c>
      <c r="I1431" s="4" t="n">
        <f aca="false">D1431*F1431</f>
        <v>6.36</v>
      </c>
      <c r="J1431" s="3" t="n">
        <f aca="false">IF(AND(LEFT(A1431,1)&lt;&gt;"C",D1431&gt;0,F1431&gt;0),1,0)</f>
        <v>1</v>
      </c>
      <c r="K1431" s="3" t="n">
        <f aca="false">IF(AND(H1431="United Kingdom",G1431&lt;&gt;"",COUNTIFS($G$2:G1431,G1431,$H$2:H1431,"United Kingdom")=1),1,0)</f>
        <v>0</v>
      </c>
    </row>
    <row r="1432" customFormat="false" ht="15" hidden="false" customHeight="false" outlineLevel="0" collapsed="false">
      <c r="A1432" s="0" t="s">
        <v>342</v>
      </c>
      <c r="B1432" s="0" t="s">
        <v>48</v>
      </c>
      <c r="C1432" s="0" t="s">
        <v>49</v>
      </c>
      <c r="D1432" s="0" t="n">
        <v>4</v>
      </c>
      <c r="E1432" s="2" t="n">
        <v>40673.7055555556</v>
      </c>
      <c r="F1432" s="0" t="n">
        <v>1.35</v>
      </c>
      <c r="G1432" s="0" t="n">
        <v>16258</v>
      </c>
      <c r="H1432" s="3" t="s">
        <v>14</v>
      </c>
      <c r="I1432" s="4" t="n">
        <f aca="false">D1432*F1432</f>
        <v>5.4</v>
      </c>
      <c r="J1432" s="3" t="n">
        <f aca="false">IF(AND(LEFT(A1432,1)&lt;&gt;"C",D1432&gt;0,F1432&gt;0),1,0)</f>
        <v>1</v>
      </c>
      <c r="K1432" s="3" t="n">
        <f aca="false">IF(AND(H1432="United Kingdom",G1432&lt;&gt;"",COUNTIFS($G$2:G1432,G1432,$H$2:H1432,"United Kingdom")=1),1,0)</f>
        <v>0</v>
      </c>
    </row>
    <row r="1433" customFormat="false" ht="15" hidden="false" customHeight="false" outlineLevel="0" collapsed="false">
      <c r="A1433" s="0" t="s">
        <v>342</v>
      </c>
      <c r="B1433" s="0" t="s">
        <v>17</v>
      </c>
      <c r="C1433" s="0" t="s">
        <v>18</v>
      </c>
      <c r="D1433" s="0" t="n">
        <v>1</v>
      </c>
      <c r="E1433" s="2" t="n">
        <v>40673.7055555556</v>
      </c>
      <c r="F1433" s="0" t="n">
        <v>1.92</v>
      </c>
      <c r="G1433" s="0" t="n">
        <v>16258</v>
      </c>
      <c r="H1433" s="3" t="s">
        <v>14</v>
      </c>
      <c r="I1433" s="4" t="n">
        <f aca="false">D1433*F1433</f>
        <v>1.92</v>
      </c>
      <c r="J1433" s="3" t="n">
        <f aca="false">IF(AND(LEFT(A1433,1)&lt;&gt;"C",D1433&gt;0,F1433&gt;0),1,0)</f>
        <v>1</v>
      </c>
      <c r="K1433" s="3" t="n">
        <f aca="false">IF(AND(H1433="United Kingdom",G1433&lt;&gt;"",COUNTIFS($G$2:G1433,G1433,$H$2:H1433,"United Kingdom")=1),1,0)</f>
        <v>0</v>
      </c>
    </row>
    <row r="1434" customFormat="false" ht="15" hidden="false" customHeight="false" outlineLevel="0" collapsed="false">
      <c r="A1434" s="0" t="s">
        <v>342</v>
      </c>
      <c r="B1434" s="0" t="s">
        <v>45</v>
      </c>
      <c r="C1434" s="0" t="s">
        <v>46</v>
      </c>
      <c r="D1434" s="0" t="n">
        <v>12</v>
      </c>
      <c r="E1434" s="2" t="n">
        <v>40673.7055555556</v>
      </c>
      <c r="F1434" s="0" t="n">
        <v>4.55</v>
      </c>
      <c r="G1434" s="0" t="n">
        <v>16258</v>
      </c>
      <c r="H1434" s="3" t="s">
        <v>14</v>
      </c>
      <c r="I1434" s="4" t="n">
        <f aca="false">D1434*F1434</f>
        <v>54.6</v>
      </c>
      <c r="J1434" s="3" t="n">
        <f aca="false">IF(AND(LEFT(A1434,1)&lt;&gt;"C",D1434&gt;0,F1434&gt;0),1,0)</f>
        <v>1</v>
      </c>
      <c r="K1434" s="3" t="n">
        <f aca="false">IF(AND(H1434="United Kingdom",G1434&lt;&gt;"",COUNTIFS($G$2:G1434,G1434,$H$2:H1434,"United Kingdom")=1),1,0)</f>
        <v>0</v>
      </c>
    </row>
    <row r="1435" customFormat="false" ht="15" hidden="false" customHeight="false" outlineLevel="0" collapsed="false">
      <c r="A1435" s="0" t="s">
        <v>342</v>
      </c>
      <c r="B1435" s="0" t="s">
        <v>12</v>
      </c>
      <c r="C1435" s="0" t="s">
        <v>13</v>
      </c>
      <c r="D1435" s="0" t="n">
        <v>8</v>
      </c>
      <c r="E1435" s="2" t="n">
        <v>40673.7055555556</v>
      </c>
      <c r="F1435" s="0" t="n">
        <v>3.33</v>
      </c>
      <c r="G1435" s="0" t="n">
        <v>16258</v>
      </c>
      <c r="H1435" s="3" t="s">
        <v>14</v>
      </c>
      <c r="I1435" s="4" t="n">
        <f aca="false">D1435*F1435</f>
        <v>26.64</v>
      </c>
      <c r="J1435" s="3" t="n">
        <f aca="false">IF(AND(LEFT(A1435,1)&lt;&gt;"C",D1435&gt;0,F1435&gt;0),1,0)</f>
        <v>1</v>
      </c>
      <c r="K1435" s="3" t="n">
        <f aca="false">IF(AND(H1435="United Kingdom",G1435&lt;&gt;"",COUNTIFS($G$2:G1435,G1435,$H$2:H1435,"United Kingdom")=1),1,0)</f>
        <v>0</v>
      </c>
    </row>
    <row r="1436" customFormat="false" ht="15" hidden="false" customHeight="false" outlineLevel="0" collapsed="false">
      <c r="A1436" s="0" t="s">
        <v>343</v>
      </c>
      <c r="B1436" s="0" t="s">
        <v>39</v>
      </c>
      <c r="C1436" s="0" t="s">
        <v>40</v>
      </c>
      <c r="D1436" s="0" t="n">
        <v>12</v>
      </c>
      <c r="E1436" s="2" t="n">
        <v>40678.6458333333</v>
      </c>
      <c r="F1436" s="0" t="n">
        <v>2.58</v>
      </c>
      <c r="G1436" s="0" t="n">
        <v>16787</v>
      </c>
      <c r="H1436" s="3" t="s">
        <v>57</v>
      </c>
      <c r="I1436" s="4" t="n">
        <f aca="false">D1436*F1436</f>
        <v>30.96</v>
      </c>
      <c r="J1436" s="3" t="n">
        <f aca="false">IF(AND(LEFT(A1436,1)&lt;&gt;"C",D1436&gt;0,F1436&gt;0),1,0)</f>
        <v>1</v>
      </c>
      <c r="K1436" s="3" t="n">
        <f aca="false">IF(AND(H1436="United Kingdom",G1436&lt;&gt;"",COUNTIFS($G$2:G1436,G1436,$H$2:H1436,"United Kingdom")=1),1,0)</f>
        <v>0</v>
      </c>
    </row>
    <row r="1437" customFormat="false" ht="15" hidden="false" customHeight="false" outlineLevel="0" collapsed="false">
      <c r="A1437" s="0" t="s">
        <v>343</v>
      </c>
      <c r="B1437" s="0" t="s">
        <v>20</v>
      </c>
      <c r="C1437" s="0" t="s">
        <v>21</v>
      </c>
      <c r="D1437" s="0" t="n">
        <v>1</v>
      </c>
      <c r="E1437" s="2" t="n">
        <v>40678.6458333333</v>
      </c>
      <c r="F1437" s="0" t="n">
        <v>4.24</v>
      </c>
      <c r="G1437" s="0" t="n">
        <v>16787</v>
      </c>
      <c r="H1437" s="3" t="s">
        <v>57</v>
      </c>
      <c r="I1437" s="4" t="n">
        <f aca="false">D1437*F1437</f>
        <v>4.24</v>
      </c>
      <c r="J1437" s="3" t="n">
        <f aca="false">IF(AND(LEFT(A1437,1)&lt;&gt;"C",D1437&gt;0,F1437&gt;0),1,0)</f>
        <v>1</v>
      </c>
      <c r="K1437" s="3" t="n">
        <f aca="false">IF(AND(H1437="United Kingdom",G1437&lt;&gt;"",COUNTIFS($G$2:G1437,G1437,$H$2:H1437,"United Kingdom")=1),1,0)</f>
        <v>0</v>
      </c>
    </row>
    <row r="1438" customFormat="false" ht="15" hidden="false" customHeight="false" outlineLevel="0" collapsed="false">
      <c r="A1438" s="0" t="s">
        <v>343</v>
      </c>
      <c r="B1438" s="0" t="s">
        <v>77</v>
      </c>
      <c r="C1438" s="0" t="s">
        <v>78</v>
      </c>
      <c r="D1438" s="0" t="n">
        <v>4</v>
      </c>
      <c r="E1438" s="2" t="n">
        <v>40678.6458333333</v>
      </c>
      <c r="F1438" s="0" t="n">
        <v>3.41</v>
      </c>
      <c r="G1438" s="0" t="n">
        <v>16787</v>
      </c>
      <c r="H1438" s="3" t="s">
        <v>57</v>
      </c>
      <c r="I1438" s="4" t="n">
        <f aca="false">D1438*F1438</f>
        <v>13.64</v>
      </c>
      <c r="J1438" s="3" t="n">
        <f aca="false">IF(AND(LEFT(A1438,1)&lt;&gt;"C",D1438&gt;0,F1438&gt;0),1,0)</f>
        <v>1</v>
      </c>
      <c r="K1438" s="3" t="n">
        <f aca="false">IF(AND(H1438="United Kingdom",G1438&lt;&gt;"",COUNTIFS($G$2:G1438,G1438,$H$2:H1438,"United Kingdom")=1),1,0)</f>
        <v>0</v>
      </c>
    </row>
    <row r="1439" customFormat="false" ht="15" hidden="false" customHeight="false" outlineLevel="0" collapsed="false">
      <c r="A1439" s="0" t="s">
        <v>343</v>
      </c>
      <c r="B1439" s="0" t="s">
        <v>80</v>
      </c>
      <c r="C1439" s="0" t="s">
        <v>81</v>
      </c>
      <c r="D1439" s="0" t="n">
        <v>4</v>
      </c>
      <c r="E1439" s="2" t="n">
        <v>40678.6458333333</v>
      </c>
      <c r="F1439" s="0" t="n">
        <v>1.53</v>
      </c>
      <c r="G1439" s="0" t="n">
        <v>16787</v>
      </c>
      <c r="H1439" s="3" t="s">
        <v>57</v>
      </c>
      <c r="I1439" s="4" t="n">
        <f aca="false">D1439*F1439</f>
        <v>6.12</v>
      </c>
      <c r="J1439" s="3" t="n">
        <f aca="false">IF(AND(LEFT(A1439,1)&lt;&gt;"C",D1439&gt;0,F1439&gt;0),1,0)</f>
        <v>1</v>
      </c>
      <c r="K1439" s="3" t="n">
        <f aca="false">IF(AND(H1439="United Kingdom",G1439&lt;&gt;"",COUNTIFS($G$2:G1439,G1439,$H$2:H1439,"United Kingdom")=1),1,0)</f>
        <v>0</v>
      </c>
    </row>
    <row r="1440" customFormat="false" ht="15" hidden="false" customHeight="false" outlineLevel="0" collapsed="false">
      <c r="A1440" s="0" t="s">
        <v>343</v>
      </c>
      <c r="B1440" s="0" t="s">
        <v>65</v>
      </c>
      <c r="C1440" s="0" t="s">
        <v>66</v>
      </c>
      <c r="D1440" s="0" t="n">
        <v>1</v>
      </c>
      <c r="E1440" s="2" t="n">
        <v>40678.6458333333</v>
      </c>
      <c r="F1440" s="0" t="n">
        <v>4.75</v>
      </c>
      <c r="G1440" s="0" t="n">
        <v>16787</v>
      </c>
      <c r="H1440" s="3" t="s">
        <v>57</v>
      </c>
      <c r="I1440" s="4" t="n">
        <f aca="false">D1440*F1440</f>
        <v>4.75</v>
      </c>
      <c r="J1440" s="3" t="n">
        <f aca="false">IF(AND(LEFT(A1440,1)&lt;&gt;"C",D1440&gt;0,F1440&gt;0),1,0)</f>
        <v>1</v>
      </c>
      <c r="K1440" s="3" t="n">
        <f aca="false">IF(AND(H1440="United Kingdom",G1440&lt;&gt;"",COUNTIFS($G$2:G1440,G1440,$H$2:H1440,"United Kingdom")=1),1,0)</f>
        <v>0</v>
      </c>
    </row>
    <row r="1441" customFormat="false" ht="15" hidden="false" customHeight="false" outlineLevel="0" collapsed="false">
      <c r="A1441" s="0" t="s">
        <v>344</v>
      </c>
      <c r="B1441" s="0" t="s">
        <v>63</v>
      </c>
      <c r="C1441" s="0" t="s">
        <v>64</v>
      </c>
      <c r="D1441" s="0" t="n">
        <v>5</v>
      </c>
      <c r="E1441" s="2" t="n">
        <v>40679.3652777778</v>
      </c>
      <c r="F1441" s="0" t="n">
        <v>2.43</v>
      </c>
      <c r="G1441" s="0" t="n">
        <v>12747</v>
      </c>
      <c r="H1441" s="3" t="s">
        <v>120</v>
      </c>
      <c r="I1441" s="4" t="n">
        <f aca="false">D1441*F1441</f>
        <v>12.15</v>
      </c>
      <c r="J1441" s="3" t="n">
        <f aca="false">IF(AND(LEFT(A1441,1)&lt;&gt;"C",D1441&gt;0,F1441&gt;0),1,0)</f>
        <v>1</v>
      </c>
      <c r="K1441" s="3" t="n">
        <f aca="false">IF(AND(H1441="United Kingdom",G1441&lt;&gt;"",COUNTIFS($G$2:G1441,G1441,$H$2:H1441,"United Kingdom")=1),1,0)</f>
        <v>0</v>
      </c>
    </row>
    <row r="1442" customFormat="false" ht="15" hidden="false" customHeight="false" outlineLevel="0" collapsed="false">
      <c r="A1442" s="0" t="s">
        <v>344</v>
      </c>
      <c r="B1442" s="0" t="s">
        <v>45</v>
      </c>
      <c r="C1442" s="0" t="s">
        <v>46</v>
      </c>
      <c r="D1442" s="0" t="n">
        <v>2</v>
      </c>
      <c r="E1442" s="2" t="n">
        <v>40679.3652777778</v>
      </c>
      <c r="F1442" s="0" t="n">
        <v>4.55</v>
      </c>
      <c r="G1442" s="0" t="n">
        <v>12747</v>
      </c>
      <c r="H1442" s="3" t="s">
        <v>120</v>
      </c>
      <c r="I1442" s="4" t="n">
        <f aca="false">D1442*F1442</f>
        <v>9.1</v>
      </c>
      <c r="J1442" s="3" t="n">
        <f aca="false">IF(AND(LEFT(A1442,1)&lt;&gt;"C",D1442&gt;0,F1442&gt;0),1,0)</f>
        <v>1</v>
      </c>
      <c r="K1442" s="3" t="n">
        <f aca="false">IF(AND(H1442="United Kingdom",G1442&lt;&gt;"",COUNTIFS($G$2:G1442,G1442,$H$2:H1442,"United Kingdom")=1),1,0)</f>
        <v>0</v>
      </c>
    </row>
    <row r="1443" customFormat="false" ht="15" hidden="false" customHeight="false" outlineLevel="0" collapsed="false">
      <c r="A1443" s="0" t="s">
        <v>344</v>
      </c>
      <c r="B1443" s="0" t="s">
        <v>27</v>
      </c>
      <c r="C1443" s="0" t="s">
        <v>28</v>
      </c>
      <c r="D1443" s="0" t="n">
        <v>3</v>
      </c>
      <c r="E1443" s="2" t="n">
        <v>40679.3652777778</v>
      </c>
      <c r="F1443" s="0" t="n">
        <v>4.55</v>
      </c>
      <c r="G1443" s="0" t="n">
        <v>12747</v>
      </c>
      <c r="H1443" s="3" t="s">
        <v>120</v>
      </c>
      <c r="I1443" s="4" t="n">
        <f aca="false">D1443*F1443</f>
        <v>13.65</v>
      </c>
      <c r="J1443" s="3" t="n">
        <f aca="false">IF(AND(LEFT(A1443,1)&lt;&gt;"C",D1443&gt;0,F1443&gt;0),1,0)</f>
        <v>1</v>
      </c>
      <c r="K1443" s="3" t="n">
        <f aca="false">IF(AND(H1443="United Kingdom",G1443&lt;&gt;"",COUNTIFS($G$2:G1443,G1443,$H$2:H1443,"United Kingdom")=1),1,0)</f>
        <v>0</v>
      </c>
    </row>
    <row r="1444" customFormat="false" ht="15" hidden="false" customHeight="false" outlineLevel="0" collapsed="false">
      <c r="A1444" s="0" t="s">
        <v>344</v>
      </c>
      <c r="B1444" s="0" t="s">
        <v>37</v>
      </c>
      <c r="C1444" s="0" t="s">
        <v>38</v>
      </c>
      <c r="D1444" s="0" t="n">
        <v>3</v>
      </c>
      <c r="E1444" s="2" t="n">
        <v>40679.3652777778</v>
      </c>
      <c r="F1444" s="0" t="n">
        <v>1.82</v>
      </c>
      <c r="G1444" s="0" t="n">
        <v>12747</v>
      </c>
      <c r="H1444" s="3" t="s">
        <v>120</v>
      </c>
      <c r="I1444" s="4" t="n">
        <f aca="false">D1444*F1444</f>
        <v>5.46</v>
      </c>
      <c r="J1444" s="3" t="n">
        <f aca="false">IF(AND(LEFT(A1444,1)&lt;&gt;"C",D1444&gt;0,F1444&gt;0),1,0)</f>
        <v>1</v>
      </c>
      <c r="K1444" s="3" t="n">
        <f aca="false">IF(AND(H1444="United Kingdom",G1444&lt;&gt;"",COUNTIFS($G$2:G1444,G1444,$H$2:H1444,"United Kingdom")=1),1,0)</f>
        <v>0</v>
      </c>
    </row>
    <row r="1445" customFormat="false" ht="15" hidden="false" customHeight="false" outlineLevel="0" collapsed="false">
      <c r="A1445" s="0" t="s">
        <v>345</v>
      </c>
      <c r="B1445" s="0" t="s">
        <v>63</v>
      </c>
      <c r="C1445" s="0" t="s">
        <v>64</v>
      </c>
      <c r="D1445" s="0" t="n">
        <v>6</v>
      </c>
      <c r="E1445" s="2" t="n">
        <v>40680.4930555556</v>
      </c>
      <c r="F1445" s="0" t="n">
        <v>2.43</v>
      </c>
      <c r="G1445" s="0" t="n">
        <v>16395</v>
      </c>
      <c r="H1445" s="3" t="s">
        <v>14</v>
      </c>
      <c r="I1445" s="4" t="n">
        <f aca="false">D1445*F1445</f>
        <v>14.58</v>
      </c>
      <c r="J1445" s="3" t="n">
        <f aca="false">IF(AND(LEFT(A1445,1)&lt;&gt;"C",D1445&gt;0,F1445&gt;0),1,0)</f>
        <v>1</v>
      </c>
      <c r="K1445" s="3" t="n">
        <f aca="false">IF(AND(H1445="United Kingdom",G1445&lt;&gt;"",COUNTIFS($G$2:G1445,G1445,$H$2:H1445,"United Kingdom")=1),1,0)</f>
        <v>1</v>
      </c>
    </row>
    <row r="1446" customFormat="false" ht="15" hidden="false" customHeight="false" outlineLevel="0" collapsed="false">
      <c r="A1446" s="0" t="s">
        <v>346</v>
      </c>
      <c r="B1446" s="0" t="s">
        <v>25</v>
      </c>
      <c r="C1446" s="0" t="s">
        <v>26</v>
      </c>
      <c r="D1446" s="0" t="n">
        <v>4</v>
      </c>
      <c r="E1446" s="2" t="n">
        <v>40680.6916666667</v>
      </c>
      <c r="F1446" s="0" t="n">
        <v>2.21</v>
      </c>
      <c r="G1446" s="0" t="n">
        <v>14001</v>
      </c>
      <c r="H1446" s="3" t="s">
        <v>14</v>
      </c>
      <c r="I1446" s="4" t="n">
        <f aca="false">D1446*F1446</f>
        <v>8.84</v>
      </c>
      <c r="J1446" s="3" t="n">
        <f aca="false">IF(AND(LEFT(A1446,1)&lt;&gt;"C",D1446&gt;0,F1446&gt;0),1,0)</f>
        <v>1</v>
      </c>
      <c r="K1446" s="3" t="n">
        <f aca="false">IF(AND(H1446="United Kingdom",G1446&lt;&gt;"",COUNTIFS($G$2:G1446,G1446,$H$2:H1446,"United Kingdom")=1),1,0)</f>
        <v>0</v>
      </c>
    </row>
    <row r="1447" customFormat="false" ht="15" hidden="false" customHeight="false" outlineLevel="0" collapsed="false">
      <c r="A1447" s="0" t="s">
        <v>346</v>
      </c>
      <c r="B1447" s="0" t="s">
        <v>52</v>
      </c>
      <c r="C1447" s="0" t="s">
        <v>53</v>
      </c>
      <c r="D1447" s="0" t="n">
        <v>1</v>
      </c>
      <c r="E1447" s="2" t="n">
        <v>40680.6916666667</v>
      </c>
      <c r="F1447" s="0" t="n">
        <v>4.16</v>
      </c>
      <c r="G1447" s="0" t="n">
        <v>14001</v>
      </c>
      <c r="H1447" s="3" t="s">
        <v>14</v>
      </c>
      <c r="I1447" s="4" t="n">
        <f aca="false">D1447*F1447</f>
        <v>4.16</v>
      </c>
      <c r="J1447" s="3" t="n">
        <f aca="false">IF(AND(LEFT(A1447,1)&lt;&gt;"C",D1447&gt;0,F1447&gt;0),1,0)</f>
        <v>1</v>
      </c>
      <c r="K1447" s="3" t="n">
        <f aca="false">IF(AND(H1447="United Kingdom",G1447&lt;&gt;"",COUNTIFS($G$2:G1447,G1447,$H$2:H1447,"United Kingdom")=1),1,0)</f>
        <v>0</v>
      </c>
    </row>
    <row r="1448" customFormat="false" ht="15" hidden="false" customHeight="false" outlineLevel="0" collapsed="false">
      <c r="A1448" s="0" t="s">
        <v>346</v>
      </c>
      <c r="B1448" s="0" t="s">
        <v>72</v>
      </c>
      <c r="C1448" s="0" t="s">
        <v>73</v>
      </c>
      <c r="D1448" s="0" t="n">
        <v>1</v>
      </c>
      <c r="E1448" s="2" t="n">
        <v>40680.6916666667</v>
      </c>
      <c r="F1448" s="0" t="n">
        <v>2.69</v>
      </c>
      <c r="G1448" s="0" t="n">
        <v>14001</v>
      </c>
      <c r="H1448" s="3" t="s">
        <v>14</v>
      </c>
      <c r="I1448" s="4" t="n">
        <f aca="false">D1448*F1448</f>
        <v>2.69</v>
      </c>
      <c r="J1448" s="3" t="n">
        <f aca="false">IF(AND(LEFT(A1448,1)&lt;&gt;"C",D1448&gt;0,F1448&gt;0),1,0)</f>
        <v>1</v>
      </c>
      <c r="K1448" s="3" t="n">
        <f aca="false">IF(AND(H1448="United Kingdom",G1448&lt;&gt;"",COUNTIFS($G$2:G1448,G1448,$H$2:H1448,"United Kingdom")=1),1,0)</f>
        <v>0</v>
      </c>
    </row>
    <row r="1449" customFormat="false" ht="15" hidden="false" customHeight="false" outlineLevel="0" collapsed="false">
      <c r="A1449" s="0" t="s">
        <v>347</v>
      </c>
      <c r="B1449" s="0" t="s">
        <v>63</v>
      </c>
      <c r="C1449" s="0" t="s">
        <v>64</v>
      </c>
      <c r="D1449" s="0" t="n">
        <v>144</v>
      </c>
      <c r="E1449" s="2" t="n">
        <v>40680.8208333333</v>
      </c>
      <c r="F1449" s="0" t="n">
        <v>2.43</v>
      </c>
      <c r="G1449" s="0" t="n">
        <v>18250</v>
      </c>
      <c r="H1449" s="3" t="s">
        <v>14</v>
      </c>
      <c r="I1449" s="4" t="n">
        <f aca="false">D1449*F1449</f>
        <v>349.92</v>
      </c>
      <c r="J1449" s="3" t="n">
        <f aca="false">IF(AND(LEFT(A1449,1)&lt;&gt;"C",D1449&gt;0,F1449&gt;0),1,0)</f>
        <v>1</v>
      </c>
      <c r="K1449" s="3" t="n">
        <f aca="false">IF(AND(H1449="United Kingdom",G1449&lt;&gt;"",COUNTIFS($G$2:G1449,G1449,$H$2:H1449,"United Kingdom")=1),1,0)</f>
        <v>1</v>
      </c>
    </row>
    <row r="1450" customFormat="false" ht="15" hidden="false" customHeight="false" outlineLevel="0" collapsed="false">
      <c r="A1450" s="0" t="s">
        <v>347</v>
      </c>
      <c r="B1450" s="0" t="s">
        <v>39</v>
      </c>
      <c r="C1450" s="0" t="s">
        <v>40</v>
      </c>
      <c r="D1450" s="0" t="n">
        <v>144</v>
      </c>
      <c r="E1450" s="2" t="n">
        <v>40680.8208333333</v>
      </c>
      <c r="F1450" s="0" t="n">
        <v>2.58</v>
      </c>
      <c r="G1450" s="0" t="n">
        <v>18250</v>
      </c>
      <c r="H1450" s="3" t="s">
        <v>14</v>
      </c>
      <c r="I1450" s="4" t="n">
        <f aca="false">D1450*F1450</f>
        <v>371.52</v>
      </c>
      <c r="J1450" s="3" t="n">
        <f aca="false">IF(AND(LEFT(A1450,1)&lt;&gt;"C",D1450&gt;0,F1450&gt;0),1,0)</f>
        <v>1</v>
      </c>
      <c r="K1450" s="3" t="n">
        <f aca="false">IF(AND(H1450="United Kingdom",G1450&lt;&gt;"",COUNTIFS($G$2:G1450,G1450,$H$2:H1450,"United Kingdom")=1),1,0)</f>
        <v>0</v>
      </c>
    </row>
    <row r="1451" customFormat="false" ht="15" hidden="false" customHeight="false" outlineLevel="0" collapsed="false">
      <c r="A1451" s="0" t="s">
        <v>347</v>
      </c>
      <c r="B1451" s="0" t="s">
        <v>77</v>
      </c>
      <c r="C1451" s="0" t="s">
        <v>78</v>
      </c>
      <c r="D1451" s="0" t="n">
        <v>108</v>
      </c>
      <c r="E1451" s="2" t="n">
        <v>40680.8208333333</v>
      </c>
      <c r="F1451" s="0" t="n">
        <v>3.41</v>
      </c>
      <c r="G1451" s="0" t="n">
        <v>18250</v>
      </c>
      <c r="H1451" s="3" t="s">
        <v>14</v>
      </c>
      <c r="I1451" s="4" t="n">
        <f aca="false">D1451*F1451</f>
        <v>368.28</v>
      </c>
      <c r="J1451" s="3" t="n">
        <f aca="false">IF(AND(LEFT(A1451,1)&lt;&gt;"C",D1451&gt;0,F1451&gt;0),1,0)</f>
        <v>1</v>
      </c>
      <c r="K1451" s="3" t="n">
        <f aca="false">IF(AND(H1451="United Kingdom",G1451&lt;&gt;"",COUNTIFS($G$2:G1451,G1451,$H$2:H1451,"United Kingdom")=1),1,0)</f>
        <v>0</v>
      </c>
    </row>
    <row r="1452" customFormat="false" ht="15" hidden="false" customHeight="false" outlineLevel="0" collapsed="false">
      <c r="A1452" s="0" t="s">
        <v>348</v>
      </c>
      <c r="B1452" s="0" t="s">
        <v>58</v>
      </c>
      <c r="C1452" s="0" t="s">
        <v>59</v>
      </c>
      <c r="D1452" s="0" t="n">
        <v>4</v>
      </c>
      <c r="E1452" s="2" t="n">
        <v>40681.5326388889</v>
      </c>
      <c r="F1452" s="0" t="n">
        <v>2.16</v>
      </c>
      <c r="G1452" s="0" t="n">
        <v>16612</v>
      </c>
      <c r="H1452" s="3" t="s">
        <v>14</v>
      </c>
      <c r="I1452" s="4" t="n">
        <f aca="false">D1452*F1452</f>
        <v>8.64</v>
      </c>
      <c r="J1452" s="3" t="n">
        <f aca="false">IF(AND(LEFT(A1452,1)&lt;&gt;"C",D1452&gt;0,F1452&gt;0),1,0)</f>
        <v>1</v>
      </c>
      <c r="K1452" s="3" t="n">
        <f aca="false">IF(AND(H1452="United Kingdom",G1452&lt;&gt;"",COUNTIFS($G$2:G1452,G1452,$H$2:H1452,"United Kingdom")=1),1,0)</f>
        <v>1</v>
      </c>
    </row>
    <row r="1453" customFormat="false" ht="15" hidden="false" customHeight="false" outlineLevel="0" collapsed="false">
      <c r="A1453" s="0" t="s">
        <v>348</v>
      </c>
      <c r="B1453" s="0" t="s">
        <v>20</v>
      </c>
      <c r="C1453" s="0" t="s">
        <v>21</v>
      </c>
      <c r="D1453" s="0" t="n">
        <v>6</v>
      </c>
      <c r="E1453" s="2" t="n">
        <v>40681.5326388889</v>
      </c>
      <c r="F1453" s="0" t="n">
        <v>4.24</v>
      </c>
      <c r="G1453" s="0" t="n">
        <v>16612</v>
      </c>
      <c r="H1453" s="3" t="s">
        <v>14</v>
      </c>
      <c r="I1453" s="4" t="n">
        <f aca="false">D1453*F1453</f>
        <v>25.44</v>
      </c>
      <c r="J1453" s="3" t="n">
        <f aca="false">IF(AND(LEFT(A1453,1)&lt;&gt;"C",D1453&gt;0,F1453&gt;0),1,0)</f>
        <v>1</v>
      </c>
      <c r="K1453" s="3" t="n">
        <f aca="false">IF(AND(H1453="United Kingdom",G1453&lt;&gt;"",COUNTIFS($G$2:G1453,G1453,$H$2:H1453,"United Kingdom")=1),1,0)</f>
        <v>0</v>
      </c>
    </row>
    <row r="1454" customFormat="false" ht="15" hidden="false" customHeight="false" outlineLevel="0" collapsed="false">
      <c r="A1454" s="0" t="s">
        <v>348</v>
      </c>
      <c r="B1454" s="0" t="s">
        <v>63</v>
      </c>
      <c r="C1454" s="0" t="s">
        <v>64</v>
      </c>
      <c r="D1454" s="0" t="n">
        <v>12</v>
      </c>
      <c r="E1454" s="2" t="n">
        <v>40681.5326388889</v>
      </c>
      <c r="F1454" s="0" t="n">
        <v>2.43</v>
      </c>
      <c r="G1454" s="0" t="n">
        <v>16612</v>
      </c>
      <c r="H1454" s="3" t="s">
        <v>14</v>
      </c>
      <c r="I1454" s="4" t="n">
        <f aca="false">D1454*F1454</f>
        <v>29.16</v>
      </c>
      <c r="J1454" s="3" t="n">
        <f aca="false">IF(AND(LEFT(A1454,1)&lt;&gt;"C",D1454&gt;0,F1454&gt;0),1,0)</f>
        <v>1</v>
      </c>
      <c r="K1454" s="3" t="n">
        <f aca="false">IF(AND(H1454="United Kingdom",G1454&lt;&gt;"",COUNTIFS($G$2:G1454,G1454,$H$2:H1454,"United Kingdom")=1),1,0)</f>
        <v>0</v>
      </c>
    </row>
    <row r="1455" customFormat="false" ht="15" hidden="false" customHeight="false" outlineLevel="0" collapsed="false">
      <c r="A1455" s="0" t="s">
        <v>348</v>
      </c>
      <c r="B1455" s="0" t="s">
        <v>50</v>
      </c>
      <c r="C1455" s="0" t="s">
        <v>51</v>
      </c>
      <c r="D1455" s="0" t="n">
        <v>2</v>
      </c>
      <c r="E1455" s="2" t="n">
        <v>40681.5326388889</v>
      </c>
      <c r="F1455" s="0" t="n">
        <v>5.41</v>
      </c>
      <c r="G1455" s="0" t="n">
        <v>16612</v>
      </c>
      <c r="H1455" s="3" t="s">
        <v>14</v>
      </c>
      <c r="I1455" s="4" t="n">
        <f aca="false">D1455*F1455</f>
        <v>10.82</v>
      </c>
      <c r="J1455" s="3" t="n">
        <f aca="false">IF(AND(LEFT(A1455,1)&lt;&gt;"C",D1455&gt;0,F1455&gt;0),1,0)</f>
        <v>1</v>
      </c>
      <c r="K1455" s="3" t="n">
        <f aca="false">IF(AND(H1455="United Kingdom",G1455&lt;&gt;"",COUNTIFS($G$2:G1455,G1455,$H$2:H1455,"United Kingdom")=1),1,0)</f>
        <v>0</v>
      </c>
    </row>
    <row r="1456" customFormat="false" ht="15" hidden="false" customHeight="false" outlineLevel="0" collapsed="false">
      <c r="A1456" s="0" t="s">
        <v>348</v>
      </c>
      <c r="B1456" s="0" t="s">
        <v>48</v>
      </c>
      <c r="C1456" s="0" t="s">
        <v>49</v>
      </c>
      <c r="D1456" s="0" t="n">
        <v>6</v>
      </c>
      <c r="E1456" s="2" t="n">
        <v>40681.5326388889</v>
      </c>
      <c r="F1456" s="0" t="n">
        <v>1.35</v>
      </c>
      <c r="G1456" s="0" t="n">
        <v>16612</v>
      </c>
      <c r="H1456" s="3" t="s">
        <v>14</v>
      </c>
      <c r="I1456" s="4" t="n">
        <f aca="false">D1456*F1456</f>
        <v>8.1</v>
      </c>
      <c r="J1456" s="3" t="n">
        <f aca="false">IF(AND(LEFT(A1456,1)&lt;&gt;"C",D1456&gt;0,F1456&gt;0),1,0)</f>
        <v>1</v>
      </c>
      <c r="K1456" s="3" t="n">
        <f aca="false">IF(AND(H1456="United Kingdom",G1456&lt;&gt;"",COUNTIFS($G$2:G1456,G1456,$H$2:H1456,"United Kingdom")=1),1,0)</f>
        <v>0</v>
      </c>
    </row>
    <row r="1457" customFormat="false" ht="15" hidden="false" customHeight="false" outlineLevel="0" collapsed="false">
      <c r="A1457" s="0" t="s">
        <v>348</v>
      </c>
      <c r="B1457" s="0" t="s">
        <v>54</v>
      </c>
      <c r="C1457" s="0" t="s">
        <v>55</v>
      </c>
      <c r="D1457" s="0" t="n">
        <v>4</v>
      </c>
      <c r="E1457" s="2" t="n">
        <v>40681.5326388889</v>
      </c>
      <c r="F1457" s="0" t="n">
        <v>0.99</v>
      </c>
      <c r="G1457" s="0" t="n">
        <v>16612</v>
      </c>
      <c r="H1457" s="3" t="s">
        <v>14</v>
      </c>
      <c r="I1457" s="4" t="n">
        <f aca="false">D1457*F1457</f>
        <v>3.96</v>
      </c>
      <c r="J1457" s="3" t="n">
        <f aca="false">IF(AND(LEFT(A1457,1)&lt;&gt;"C",D1457&gt;0,F1457&gt;0),1,0)</f>
        <v>1</v>
      </c>
      <c r="K1457" s="3" t="n">
        <f aca="false">IF(AND(H1457="United Kingdom",G1457&lt;&gt;"",COUNTIFS($G$2:G1457,G1457,$H$2:H1457,"United Kingdom")=1),1,0)</f>
        <v>0</v>
      </c>
    </row>
    <row r="1458" customFormat="false" ht="15" hidden="false" customHeight="false" outlineLevel="0" collapsed="false">
      <c r="A1458" s="0" t="s">
        <v>349</v>
      </c>
      <c r="B1458" s="0" t="s">
        <v>39</v>
      </c>
      <c r="C1458" s="0" t="s">
        <v>40</v>
      </c>
      <c r="D1458" s="0" t="n">
        <v>3</v>
      </c>
      <c r="E1458" s="2" t="n">
        <v>40681.5534722222</v>
      </c>
      <c r="F1458" s="0" t="n">
        <v>2.58</v>
      </c>
      <c r="G1458" s="0" t="n">
        <v>15713</v>
      </c>
      <c r="H1458" s="3" t="s">
        <v>14</v>
      </c>
      <c r="I1458" s="4" t="n">
        <f aca="false">D1458*F1458</f>
        <v>7.74</v>
      </c>
      <c r="J1458" s="3" t="n">
        <f aca="false">IF(AND(LEFT(A1458,1)&lt;&gt;"C",D1458&gt;0,F1458&gt;0),1,0)</f>
        <v>1</v>
      </c>
      <c r="K1458" s="3" t="n">
        <f aca="false">IF(AND(H1458="United Kingdom",G1458&lt;&gt;"",COUNTIFS($G$2:G1458,G1458,$H$2:H1458,"United Kingdom")=1),1,0)</f>
        <v>0</v>
      </c>
    </row>
    <row r="1459" customFormat="false" ht="15" hidden="false" customHeight="false" outlineLevel="0" collapsed="false">
      <c r="A1459" s="0" t="s">
        <v>349</v>
      </c>
      <c r="B1459" s="0" t="s">
        <v>77</v>
      </c>
      <c r="C1459" s="0" t="s">
        <v>78</v>
      </c>
      <c r="D1459" s="0" t="n">
        <v>16</v>
      </c>
      <c r="E1459" s="2" t="n">
        <v>40681.5534722222</v>
      </c>
      <c r="F1459" s="0" t="n">
        <v>3.41</v>
      </c>
      <c r="G1459" s="0" t="n">
        <v>15713</v>
      </c>
      <c r="H1459" s="3" t="s">
        <v>14</v>
      </c>
      <c r="I1459" s="4" t="n">
        <f aca="false">D1459*F1459</f>
        <v>54.56</v>
      </c>
      <c r="J1459" s="3" t="n">
        <f aca="false">IF(AND(LEFT(A1459,1)&lt;&gt;"C",D1459&gt;0,F1459&gt;0),1,0)</f>
        <v>1</v>
      </c>
      <c r="K1459" s="3" t="n">
        <f aca="false">IF(AND(H1459="United Kingdom",G1459&lt;&gt;"",COUNTIFS($G$2:G1459,G1459,$H$2:H1459,"United Kingdom")=1),1,0)</f>
        <v>0</v>
      </c>
    </row>
    <row r="1460" customFormat="false" ht="15" hidden="false" customHeight="false" outlineLevel="0" collapsed="false">
      <c r="A1460" s="0" t="s">
        <v>350</v>
      </c>
      <c r="B1460" s="0" t="s">
        <v>45</v>
      </c>
      <c r="C1460" s="0" t="s">
        <v>46</v>
      </c>
      <c r="D1460" s="0" t="n">
        <v>8</v>
      </c>
      <c r="E1460" s="2" t="n">
        <v>40681.5930555556</v>
      </c>
      <c r="F1460" s="0" t="n">
        <v>4.55</v>
      </c>
      <c r="G1460" s="0" t="n">
        <v>16465</v>
      </c>
      <c r="H1460" s="3" t="s">
        <v>14</v>
      </c>
      <c r="I1460" s="4" t="n">
        <f aca="false">D1460*F1460</f>
        <v>36.4</v>
      </c>
      <c r="J1460" s="3" t="n">
        <f aca="false">IF(AND(LEFT(A1460,1)&lt;&gt;"C",D1460&gt;0,F1460&gt;0),1,0)</f>
        <v>1</v>
      </c>
      <c r="K1460" s="3" t="n">
        <f aca="false">IF(AND(H1460="United Kingdom",G1460&lt;&gt;"",COUNTIFS($G$2:G1460,G1460,$H$2:H1460,"United Kingdom")=1),1,0)</f>
        <v>0</v>
      </c>
    </row>
    <row r="1461" customFormat="false" ht="15" hidden="false" customHeight="false" outlineLevel="0" collapsed="false">
      <c r="A1461" s="0" t="s">
        <v>350</v>
      </c>
      <c r="B1461" s="0" t="s">
        <v>29</v>
      </c>
      <c r="C1461" s="0" t="s">
        <v>30</v>
      </c>
      <c r="D1461" s="0" t="n">
        <v>2</v>
      </c>
      <c r="E1461" s="2" t="n">
        <v>40681.5930555556</v>
      </c>
      <c r="F1461" s="0" t="n">
        <v>5.79</v>
      </c>
      <c r="G1461" s="0" t="n">
        <v>16465</v>
      </c>
      <c r="H1461" s="3" t="s">
        <v>14</v>
      </c>
      <c r="I1461" s="4" t="n">
        <f aca="false">D1461*F1461</f>
        <v>11.58</v>
      </c>
      <c r="J1461" s="3" t="n">
        <f aca="false">IF(AND(LEFT(A1461,1)&lt;&gt;"C",D1461&gt;0,F1461&gt;0),1,0)</f>
        <v>1</v>
      </c>
      <c r="K1461" s="3" t="n">
        <f aca="false">IF(AND(H1461="United Kingdom",G1461&lt;&gt;"",COUNTIFS($G$2:G1461,G1461,$H$2:H1461,"United Kingdom")=1),1,0)</f>
        <v>0</v>
      </c>
    </row>
    <row r="1462" customFormat="false" ht="15" hidden="false" customHeight="false" outlineLevel="0" collapsed="false">
      <c r="A1462" s="0" t="s">
        <v>350</v>
      </c>
      <c r="B1462" s="0" t="s">
        <v>90</v>
      </c>
      <c r="C1462" s="0" t="s">
        <v>91</v>
      </c>
      <c r="D1462" s="0" t="n">
        <v>6</v>
      </c>
      <c r="E1462" s="2" t="n">
        <v>40681.5930555556</v>
      </c>
      <c r="F1462" s="0" t="n">
        <v>3.04</v>
      </c>
      <c r="G1462" s="0" t="n">
        <v>16465</v>
      </c>
      <c r="H1462" s="3" t="s">
        <v>14</v>
      </c>
      <c r="I1462" s="4" t="n">
        <f aca="false">D1462*F1462</f>
        <v>18.24</v>
      </c>
      <c r="J1462" s="3" t="n">
        <f aca="false">IF(AND(LEFT(A1462,1)&lt;&gt;"C",D1462&gt;0,F1462&gt;0),1,0)</f>
        <v>1</v>
      </c>
      <c r="K1462" s="3" t="n">
        <f aca="false">IF(AND(H1462="United Kingdom",G1462&lt;&gt;"",COUNTIFS($G$2:G1462,G1462,$H$2:H1462,"United Kingdom")=1),1,0)</f>
        <v>0</v>
      </c>
    </row>
    <row r="1463" customFormat="false" ht="15" hidden="false" customHeight="false" outlineLevel="0" collapsed="false">
      <c r="A1463" s="0" t="s">
        <v>351</v>
      </c>
      <c r="B1463" s="0" t="s">
        <v>75</v>
      </c>
      <c r="C1463" s="0" t="s">
        <v>76</v>
      </c>
      <c r="D1463" s="0" t="n">
        <v>1</v>
      </c>
      <c r="E1463" s="2" t="n">
        <v>40683.3444444445</v>
      </c>
      <c r="F1463" s="0" t="n">
        <v>1.97</v>
      </c>
      <c r="G1463" s="0" t="n">
        <v>13532</v>
      </c>
      <c r="H1463" s="3" t="s">
        <v>88</v>
      </c>
      <c r="I1463" s="4" t="n">
        <f aca="false">D1463*F1463</f>
        <v>1.97</v>
      </c>
      <c r="J1463" s="3" t="n">
        <f aca="false">IF(AND(LEFT(A1463,1)&lt;&gt;"C",D1463&gt;0,F1463&gt;0),1,0)</f>
        <v>1</v>
      </c>
      <c r="K1463" s="3" t="n">
        <f aca="false">IF(AND(H1463="United Kingdom",G1463&lt;&gt;"",COUNTIFS($G$2:G1463,G1463,$H$2:H1463,"United Kingdom")=1),1,0)</f>
        <v>0</v>
      </c>
    </row>
    <row r="1464" customFormat="false" ht="15" hidden="false" customHeight="false" outlineLevel="0" collapsed="false">
      <c r="A1464" s="0" t="s">
        <v>352</v>
      </c>
      <c r="B1464" s="0" t="s">
        <v>60</v>
      </c>
      <c r="C1464" s="0" t="s">
        <v>61</v>
      </c>
      <c r="D1464" s="0" t="n">
        <v>8</v>
      </c>
      <c r="E1464" s="2" t="n">
        <v>40683.6055555556</v>
      </c>
      <c r="F1464" s="0" t="n">
        <v>0.63</v>
      </c>
      <c r="G1464" s="0" t="n">
        <v>16243</v>
      </c>
      <c r="H1464" s="3" t="s">
        <v>14</v>
      </c>
      <c r="I1464" s="4" t="n">
        <f aca="false">D1464*F1464</f>
        <v>5.04</v>
      </c>
      <c r="J1464" s="3" t="n">
        <f aca="false">IF(AND(LEFT(A1464,1)&lt;&gt;"C",D1464&gt;0,F1464&gt;0),1,0)</f>
        <v>1</v>
      </c>
      <c r="K1464" s="3" t="n">
        <f aca="false">IF(AND(H1464="United Kingdom",G1464&lt;&gt;"",COUNTIFS($G$2:G1464,G1464,$H$2:H1464,"United Kingdom")=1),1,0)</f>
        <v>0</v>
      </c>
    </row>
    <row r="1465" customFormat="false" ht="15" hidden="false" customHeight="false" outlineLevel="0" collapsed="false">
      <c r="A1465" s="0" t="s">
        <v>352</v>
      </c>
      <c r="B1465" s="0" t="s">
        <v>113</v>
      </c>
      <c r="C1465" s="0" t="s">
        <v>114</v>
      </c>
      <c r="D1465" s="0" t="n">
        <v>16</v>
      </c>
      <c r="E1465" s="2" t="n">
        <v>40683.6055555556</v>
      </c>
      <c r="F1465" s="0" t="n">
        <v>3.57</v>
      </c>
      <c r="G1465" s="0" t="n">
        <v>16243</v>
      </c>
      <c r="H1465" s="3" t="s">
        <v>14</v>
      </c>
      <c r="I1465" s="4" t="n">
        <f aca="false">D1465*F1465</f>
        <v>57.12</v>
      </c>
      <c r="J1465" s="3" t="n">
        <f aca="false">IF(AND(LEFT(A1465,1)&lt;&gt;"C",D1465&gt;0,F1465&gt;0),1,0)</f>
        <v>1</v>
      </c>
      <c r="K1465" s="3" t="n">
        <f aca="false">IF(AND(H1465="United Kingdom",G1465&lt;&gt;"",COUNTIFS($G$2:G1465,G1465,$H$2:H1465,"United Kingdom")=1),1,0)</f>
        <v>0</v>
      </c>
    </row>
    <row r="1466" customFormat="false" ht="15" hidden="false" customHeight="false" outlineLevel="0" collapsed="false">
      <c r="A1466" s="0" t="s">
        <v>353</v>
      </c>
      <c r="B1466" s="0" t="s">
        <v>48</v>
      </c>
      <c r="C1466" s="0" t="s">
        <v>49</v>
      </c>
      <c r="D1466" s="0" t="n">
        <v>1</v>
      </c>
      <c r="E1466" s="2" t="n">
        <v>40683.6756944444</v>
      </c>
      <c r="F1466" s="0" t="n">
        <v>1.35</v>
      </c>
      <c r="G1466" s="0" t="n">
        <v>14910</v>
      </c>
      <c r="H1466" s="3" t="s">
        <v>14</v>
      </c>
      <c r="I1466" s="4" t="n">
        <f aca="false">D1466*F1466</f>
        <v>1.35</v>
      </c>
      <c r="J1466" s="3" t="n">
        <f aca="false">IF(AND(LEFT(A1466,1)&lt;&gt;"C",D1466&gt;0,F1466&gt;0),1,0)</f>
        <v>1</v>
      </c>
      <c r="K1466" s="3" t="n">
        <f aca="false">IF(AND(H1466="United Kingdom",G1466&lt;&gt;"",COUNTIFS($G$2:G1466,G1466,$H$2:H1466,"United Kingdom")=1),1,0)</f>
        <v>1</v>
      </c>
    </row>
    <row r="1467" customFormat="false" ht="15" hidden="false" customHeight="false" outlineLevel="0" collapsed="false">
      <c r="A1467" s="0" t="s">
        <v>353</v>
      </c>
      <c r="B1467" s="0" t="s">
        <v>75</v>
      </c>
      <c r="C1467" s="0" t="s">
        <v>76</v>
      </c>
      <c r="D1467" s="0" t="n">
        <v>12</v>
      </c>
      <c r="E1467" s="2" t="n">
        <v>40683.6756944444</v>
      </c>
      <c r="F1467" s="0" t="n">
        <v>1.97</v>
      </c>
      <c r="G1467" s="0" t="n">
        <v>14910</v>
      </c>
      <c r="H1467" s="3" t="s">
        <v>14</v>
      </c>
      <c r="I1467" s="4" t="n">
        <f aca="false">D1467*F1467</f>
        <v>23.64</v>
      </c>
      <c r="J1467" s="3" t="n">
        <f aca="false">IF(AND(LEFT(A1467,1)&lt;&gt;"C",D1467&gt;0,F1467&gt;0),1,0)</f>
        <v>1</v>
      </c>
      <c r="K1467" s="3" t="n">
        <f aca="false">IF(AND(H1467="United Kingdom",G1467&lt;&gt;"",COUNTIFS($G$2:G1467,G1467,$H$2:H1467,"United Kingdom")=1),1,0)</f>
        <v>0</v>
      </c>
    </row>
    <row r="1468" customFormat="false" ht="15" hidden="false" customHeight="false" outlineLevel="0" collapsed="false">
      <c r="A1468" s="0" t="s">
        <v>353</v>
      </c>
      <c r="B1468" s="0" t="s">
        <v>65</v>
      </c>
      <c r="C1468" s="0" t="s">
        <v>66</v>
      </c>
      <c r="D1468" s="0" t="n">
        <v>12</v>
      </c>
      <c r="E1468" s="2" t="n">
        <v>40683.6756944444</v>
      </c>
      <c r="F1468" s="0" t="n">
        <v>4.75</v>
      </c>
      <c r="G1468" s="0" t="n">
        <v>14910</v>
      </c>
      <c r="H1468" s="3" t="s">
        <v>14</v>
      </c>
      <c r="I1468" s="4" t="n">
        <f aca="false">D1468*F1468</f>
        <v>57</v>
      </c>
      <c r="J1468" s="3" t="n">
        <f aca="false">IF(AND(LEFT(A1468,1)&lt;&gt;"C",D1468&gt;0,F1468&gt;0),1,0)</f>
        <v>1</v>
      </c>
      <c r="K1468" s="3" t="n">
        <f aca="false">IF(AND(H1468="United Kingdom",G1468&lt;&gt;"",COUNTIFS($G$2:G1468,G1468,$H$2:H1468,"United Kingdom")=1),1,0)</f>
        <v>0</v>
      </c>
    </row>
    <row r="1469" customFormat="false" ht="15" hidden="false" customHeight="false" outlineLevel="0" collapsed="false">
      <c r="A1469" s="0" t="s">
        <v>353</v>
      </c>
      <c r="B1469" s="0" t="s">
        <v>60</v>
      </c>
      <c r="C1469" s="0" t="s">
        <v>61</v>
      </c>
      <c r="D1469" s="0" t="n">
        <v>1</v>
      </c>
      <c r="E1469" s="2" t="n">
        <v>40683.6756944444</v>
      </c>
      <c r="F1469" s="0" t="n">
        <v>0.63</v>
      </c>
      <c r="G1469" s="0" t="n">
        <v>14910</v>
      </c>
      <c r="H1469" s="3" t="s">
        <v>14</v>
      </c>
      <c r="I1469" s="4" t="n">
        <f aca="false">D1469*F1469</f>
        <v>0.63</v>
      </c>
      <c r="J1469" s="3" t="n">
        <f aca="false">IF(AND(LEFT(A1469,1)&lt;&gt;"C",D1469&gt;0,F1469&gt;0),1,0)</f>
        <v>1</v>
      </c>
      <c r="K1469" s="3" t="n">
        <f aca="false">IF(AND(H1469="United Kingdom",G1469&lt;&gt;"",COUNTIFS($G$2:G1469,G1469,$H$2:H1469,"United Kingdom")=1),1,0)</f>
        <v>0</v>
      </c>
    </row>
    <row r="1470" customFormat="false" ht="15" hidden="false" customHeight="false" outlineLevel="0" collapsed="false">
      <c r="A1470" s="0" t="s">
        <v>353</v>
      </c>
      <c r="B1470" s="0" t="s">
        <v>15</v>
      </c>
      <c r="C1470" s="0" t="s">
        <v>16</v>
      </c>
      <c r="D1470" s="0" t="n">
        <v>4</v>
      </c>
      <c r="E1470" s="2" t="n">
        <v>40683.6756944444</v>
      </c>
      <c r="F1470" s="0" t="n">
        <v>3.18</v>
      </c>
      <c r="G1470" s="0" t="n">
        <v>14910</v>
      </c>
      <c r="H1470" s="3" t="s">
        <v>14</v>
      </c>
      <c r="I1470" s="4" t="n">
        <f aca="false">D1470*F1470</f>
        <v>12.72</v>
      </c>
      <c r="J1470" s="3" t="n">
        <f aca="false">IF(AND(LEFT(A1470,1)&lt;&gt;"C",D1470&gt;0,F1470&gt;0),1,0)</f>
        <v>1</v>
      </c>
      <c r="K1470" s="3" t="n">
        <f aca="false">IF(AND(H1470="United Kingdom",G1470&lt;&gt;"",COUNTIFS($G$2:G1470,G1470,$H$2:H1470,"United Kingdom")=1),1,0)</f>
        <v>0</v>
      </c>
    </row>
    <row r="1471" customFormat="false" ht="15" hidden="false" customHeight="false" outlineLevel="0" collapsed="false">
      <c r="A1471" s="0" t="s">
        <v>353</v>
      </c>
      <c r="B1471" s="0" t="s">
        <v>52</v>
      </c>
      <c r="C1471" s="0" t="s">
        <v>53</v>
      </c>
      <c r="D1471" s="0" t="n">
        <v>8</v>
      </c>
      <c r="E1471" s="2" t="n">
        <v>40683.6756944444</v>
      </c>
      <c r="F1471" s="0" t="n">
        <v>4.16</v>
      </c>
      <c r="G1471" s="0" t="n">
        <v>14910</v>
      </c>
      <c r="H1471" s="3" t="s">
        <v>14</v>
      </c>
      <c r="I1471" s="4" t="n">
        <f aca="false">D1471*F1471</f>
        <v>33.28</v>
      </c>
      <c r="J1471" s="3" t="n">
        <f aca="false">IF(AND(LEFT(A1471,1)&lt;&gt;"C",D1471&gt;0,F1471&gt;0),1,0)</f>
        <v>1</v>
      </c>
      <c r="K1471" s="3" t="n">
        <f aca="false">IF(AND(H1471="United Kingdom",G1471&lt;&gt;"",COUNTIFS($G$2:G1471,G1471,$H$2:H1471,"United Kingdom")=1),1,0)</f>
        <v>0</v>
      </c>
    </row>
    <row r="1472" customFormat="false" ht="15" hidden="false" customHeight="false" outlineLevel="0" collapsed="false">
      <c r="A1472" s="0" t="s">
        <v>353</v>
      </c>
      <c r="B1472" s="0" t="s">
        <v>45</v>
      </c>
      <c r="C1472" s="0" t="s">
        <v>46</v>
      </c>
      <c r="D1472" s="0" t="n">
        <v>6</v>
      </c>
      <c r="E1472" s="2" t="n">
        <v>40683.6756944444</v>
      </c>
      <c r="F1472" s="0" t="n">
        <v>4.55</v>
      </c>
      <c r="G1472" s="0" t="n">
        <v>14910</v>
      </c>
      <c r="H1472" s="3" t="s">
        <v>14</v>
      </c>
      <c r="I1472" s="4" t="n">
        <f aca="false">D1472*F1472</f>
        <v>27.3</v>
      </c>
      <c r="J1472" s="3" t="n">
        <f aca="false">IF(AND(LEFT(A1472,1)&lt;&gt;"C",D1472&gt;0,F1472&gt;0),1,0)</f>
        <v>1</v>
      </c>
      <c r="K1472" s="3" t="n">
        <f aca="false">IF(AND(H1472="United Kingdom",G1472&lt;&gt;"",COUNTIFS($G$2:G1472,G1472,$H$2:H1472,"United Kingdom")=1),1,0)</f>
        <v>0</v>
      </c>
    </row>
    <row r="1473" customFormat="false" ht="15" hidden="false" customHeight="false" outlineLevel="0" collapsed="false">
      <c r="A1473" s="0" t="s">
        <v>354</v>
      </c>
      <c r="B1473" s="0" t="s">
        <v>77</v>
      </c>
      <c r="C1473" s="0" t="s">
        <v>78</v>
      </c>
      <c r="D1473" s="0" t="n">
        <v>8</v>
      </c>
      <c r="E1473" s="2" t="n">
        <v>40684.5333333333</v>
      </c>
      <c r="F1473" s="0" t="n">
        <v>3.41</v>
      </c>
      <c r="G1473" s="0" t="n">
        <v>14012</v>
      </c>
      <c r="H1473" s="3" t="s">
        <v>97</v>
      </c>
      <c r="I1473" s="4" t="n">
        <f aca="false">D1473*F1473</f>
        <v>27.28</v>
      </c>
      <c r="J1473" s="3" t="n">
        <f aca="false">IF(AND(LEFT(A1473,1)&lt;&gt;"C",D1473&gt;0,F1473&gt;0),1,0)</f>
        <v>1</v>
      </c>
      <c r="K1473" s="3" t="n">
        <f aca="false">IF(AND(H1473="United Kingdom",G1473&lt;&gt;"",COUNTIFS($G$2:G1473,G1473,$H$2:H1473,"United Kingdom")=1),1,0)</f>
        <v>0</v>
      </c>
    </row>
    <row r="1474" customFormat="false" ht="15" hidden="false" customHeight="false" outlineLevel="0" collapsed="false">
      <c r="A1474" s="0" t="s">
        <v>354</v>
      </c>
      <c r="B1474" s="0" t="s">
        <v>39</v>
      </c>
      <c r="C1474" s="0" t="s">
        <v>40</v>
      </c>
      <c r="D1474" s="0" t="n">
        <v>12</v>
      </c>
      <c r="E1474" s="2" t="n">
        <v>40684.5333333333</v>
      </c>
      <c r="F1474" s="0" t="n">
        <v>2.58</v>
      </c>
      <c r="G1474" s="0" t="n">
        <v>14012</v>
      </c>
      <c r="H1474" s="3" t="s">
        <v>97</v>
      </c>
      <c r="I1474" s="4" t="n">
        <f aca="false">D1474*F1474</f>
        <v>30.96</v>
      </c>
      <c r="J1474" s="3" t="n">
        <f aca="false">IF(AND(LEFT(A1474,1)&lt;&gt;"C",D1474&gt;0,F1474&gt;0),1,0)</f>
        <v>1</v>
      </c>
      <c r="K1474" s="3" t="n">
        <f aca="false">IF(AND(H1474="United Kingdom",G1474&lt;&gt;"",COUNTIFS($G$2:G1474,G1474,$H$2:H1474,"United Kingdom")=1),1,0)</f>
        <v>0</v>
      </c>
    </row>
    <row r="1475" customFormat="false" ht="15" hidden="false" customHeight="false" outlineLevel="0" collapsed="false">
      <c r="A1475" s="0" t="s">
        <v>354</v>
      </c>
      <c r="B1475" s="0" t="s">
        <v>22</v>
      </c>
      <c r="C1475" s="0" t="s">
        <v>23</v>
      </c>
      <c r="D1475" s="0" t="n">
        <v>24</v>
      </c>
      <c r="E1475" s="2" t="n">
        <v>40684.5333333333</v>
      </c>
      <c r="F1475" s="0" t="n">
        <v>3.18</v>
      </c>
      <c r="G1475" s="0" t="n">
        <v>14012</v>
      </c>
      <c r="H1475" s="3" t="s">
        <v>97</v>
      </c>
      <c r="I1475" s="4" t="n">
        <f aca="false">D1475*F1475</f>
        <v>76.32</v>
      </c>
      <c r="J1475" s="3" t="n">
        <f aca="false">IF(AND(LEFT(A1475,1)&lt;&gt;"C",D1475&gt;0,F1475&gt;0),1,0)</f>
        <v>1</v>
      </c>
      <c r="K1475" s="3" t="n">
        <f aca="false">IF(AND(H1475="United Kingdom",G1475&lt;&gt;"",COUNTIFS($G$2:G1475,G1475,$H$2:H1475,"United Kingdom")=1),1,0)</f>
        <v>0</v>
      </c>
    </row>
    <row r="1476" customFormat="false" ht="15" hidden="false" customHeight="false" outlineLevel="0" collapsed="false">
      <c r="A1476" s="0" t="s">
        <v>355</v>
      </c>
      <c r="B1476" s="0" t="s">
        <v>65</v>
      </c>
      <c r="C1476" s="0" t="s">
        <v>66</v>
      </c>
      <c r="D1476" s="0" t="n">
        <v>3</v>
      </c>
      <c r="E1476" s="2" t="n">
        <v>40684.6027777778</v>
      </c>
      <c r="F1476" s="0" t="n">
        <v>4.75</v>
      </c>
      <c r="G1476" s="0" t="n">
        <v>14490</v>
      </c>
      <c r="H1476" s="3" t="s">
        <v>14</v>
      </c>
      <c r="I1476" s="4" t="n">
        <f aca="false">D1476*F1476</f>
        <v>14.25</v>
      </c>
      <c r="J1476" s="3" t="n">
        <f aca="false">IF(AND(LEFT(A1476,1)&lt;&gt;"C",D1476&gt;0,F1476&gt;0),1,0)</f>
        <v>1</v>
      </c>
      <c r="K1476" s="3" t="n">
        <f aca="false">IF(AND(H1476="United Kingdom",G1476&lt;&gt;"",COUNTIFS($G$2:G1476,G1476,$H$2:H1476,"United Kingdom")=1),1,0)</f>
        <v>0</v>
      </c>
    </row>
    <row r="1477" customFormat="false" ht="15" hidden="false" customHeight="false" outlineLevel="0" collapsed="false">
      <c r="A1477" s="0" t="s">
        <v>355</v>
      </c>
      <c r="B1477" s="0" t="s">
        <v>63</v>
      </c>
      <c r="C1477" s="0" t="s">
        <v>64</v>
      </c>
      <c r="D1477" s="0" t="n">
        <v>4</v>
      </c>
      <c r="E1477" s="2" t="n">
        <v>40684.6027777778</v>
      </c>
      <c r="F1477" s="0" t="n">
        <v>2.43</v>
      </c>
      <c r="G1477" s="0" t="n">
        <v>14490</v>
      </c>
      <c r="H1477" s="3" t="s">
        <v>14</v>
      </c>
      <c r="I1477" s="4" t="n">
        <f aca="false">D1477*F1477</f>
        <v>9.72</v>
      </c>
      <c r="J1477" s="3" t="n">
        <f aca="false">IF(AND(LEFT(A1477,1)&lt;&gt;"C",D1477&gt;0,F1477&gt;0),1,0)</f>
        <v>1</v>
      </c>
      <c r="K1477" s="3" t="n">
        <f aca="false">IF(AND(H1477="United Kingdom",G1477&lt;&gt;"",COUNTIFS($G$2:G1477,G1477,$H$2:H1477,"United Kingdom")=1),1,0)</f>
        <v>0</v>
      </c>
    </row>
    <row r="1478" customFormat="false" ht="15" hidden="false" customHeight="false" outlineLevel="0" collapsed="false">
      <c r="A1478" s="0" t="s">
        <v>355</v>
      </c>
      <c r="B1478" s="0" t="s">
        <v>113</v>
      </c>
      <c r="C1478" s="0" t="s">
        <v>114</v>
      </c>
      <c r="D1478" s="0" t="n">
        <v>4</v>
      </c>
      <c r="E1478" s="2" t="n">
        <v>40684.6027777778</v>
      </c>
      <c r="F1478" s="0" t="n">
        <v>3.57</v>
      </c>
      <c r="G1478" s="0" t="n">
        <v>14490</v>
      </c>
      <c r="H1478" s="3" t="s">
        <v>14</v>
      </c>
      <c r="I1478" s="4" t="n">
        <f aca="false">D1478*F1478</f>
        <v>14.28</v>
      </c>
      <c r="J1478" s="3" t="n">
        <f aca="false">IF(AND(LEFT(A1478,1)&lt;&gt;"C",D1478&gt;0,F1478&gt;0),1,0)</f>
        <v>1</v>
      </c>
      <c r="K1478" s="3" t="n">
        <f aca="false">IF(AND(H1478="United Kingdom",G1478&lt;&gt;"",COUNTIFS($G$2:G1478,G1478,$H$2:H1478,"United Kingdom")=1),1,0)</f>
        <v>0</v>
      </c>
    </row>
    <row r="1479" customFormat="false" ht="15" hidden="false" customHeight="false" outlineLevel="0" collapsed="false">
      <c r="A1479" s="0" t="s">
        <v>355</v>
      </c>
      <c r="B1479" s="0" t="s">
        <v>48</v>
      </c>
      <c r="C1479" s="0" t="s">
        <v>49</v>
      </c>
      <c r="D1479" s="0" t="n">
        <v>3</v>
      </c>
      <c r="E1479" s="2" t="n">
        <v>40684.6027777778</v>
      </c>
      <c r="F1479" s="0" t="n">
        <v>1.35</v>
      </c>
      <c r="G1479" s="0" t="n">
        <v>14490</v>
      </c>
      <c r="H1479" s="3" t="s">
        <v>14</v>
      </c>
      <c r="I1479" s="4" t="n">
        <f aca="false">D1479*F1479</f>
        <v>4.05</v>
      </c>
      <c r="J1479" s="3" t="n">
        <f aca="false">IF(AND(LEFT(A1479,1)&lt;&gt;"C",D1479&gt;0,F1479&gt;0),1,0)</f>
        <v>1</v>
      </c>
      <c r="K1479" s="3" t="n">
        <f aca="false">IF(AND(H1479="United Kingdom",G1479&lt;&gt;"",COUNTIFS($G$2:G1479,G1479,$H$2:H1479,"United Kingdom")=1),1,0)</f>
        <v>0</v>
      </c>
    </row>
    <row r="1480" customFormat="false" ht="15" hidden="false" customHeight="false" outlineLevel="0" collapsed="false">
      <c r="A1480" s="0" t="s">
        <v>355</v>
      </c>
      <c r="B1480" s="0" t="s">
        <v>54</v>
      </c>
      <c r="C1480" s="0" t="s">
        <v>55</v>
      </c>
      <c r="D1480" s="0" t="n">
        <v>2</v>
      </c>
      <c r="E1480" s="2" t="n">
        <v>40684.6027777778</v>
      </c>
      <c r="F1480" s="0" t="n">
        <v>0.99</v>
      </c>
      <c r="G1480" s="0" t="n">
        <v>14490</v>
      </c>
      <c r="H1480" s="3" t="s">
        <v>14</v>
      </c>
      <c r="I1480" s="4" t="n">
        <f aca="false">D1480*F1480</f>
        <v>1.98</v>
      </c>
      <c r="J1480" s="3" t="n">
        <f aca="false">IF(AND(LEFT(A1480,1)&lt;&gt;"C",D1480&gt;0,F1480&gt;0),1,0)</f>
        <v>1</v>
      </c>
      <c r="K1480" s="3" t="n">
        <f aca="false">IF(AND(H1480="United Kingdom",G1480&lt;&gt;"",COUNTIFS($G$2:G1480,G1480,$H$2:H1480,"United Kingdom")=1),1,0)</f>
        <v>0</v>
      </c>
    </row>
    <row r="1481" customFormat="false" ht="15" hidden="false" customHeight="false" outlineLevel="0" collapsed="false">
      <c r="A1481" s="0" t="s">
        <v>355</v>
      </c>
      <c r="B1481" s="0" t="s">
        <v>75</v>
      </c>
      <c r="C1481" s="0" t="s">
        <v>76</v>
      </c>
      <c r="D1481" s="0" t="n">
        <v>1</v>
      </c>
      <c r="E1481" s="2" t="n">
        <v>40684.6027777778</v>
      </c>
      <c r="F1481" s="0" t="n">
        <v>1.97</v>
      </c>
      <c r="G1481" s="0" t="n">
        <v>14490</v>
      </c>
      <c r="H1481" s="3" t="s">
        <v>14</v>
      </c>
      <c r="I1481" s="4" t="n">
        <f aca="false">D1481*F1481</f>
        <v>1.97</v>
      </c>
      <c r="J1481" s="3" t="n">
        <f aca="false">IF(AND(LEFT(A1481,1)&lt;&gt;"C",D1481&gt;0,F1481&gt;0),1,0)</f>
        <v>1</v>
      </c>
      <c r="K1481" s="3" t="n">
        <f aca="false">IF(AND(H1481="United Kingdom",G1481&lt;&gt;"",COUNTIFS($G$2:G1481,G1481,$H$2:H1481,"United Kingdom")=1),1,0)</f>
        <v>0</v>
      </c>
    </row>
    <row r="1482" customFormat="false" ht="15" hidden="false" customHeight="false" outlineLevel="0" collapsed="false">
      <c r="A1482" s="0" t="s">
        <v>355</v>
      </c>
      <c r="B1482" s="0" t="s">
        <v>50</v>
      </c>
      <c r="C1482" s="0" t="s">
        <v>51</v>
      </c>
      <c r="D1482" s="0" t="n">
        <v>4</v>
      </c>
      <c r="E1482" s="2" t="n">
        <v>40684.6027777778</v>
      </c>
      <c r="F1482" s="0" t="n">
        <v>5.41</v>
      </c>
      <c r="G1482" s="0" t="n">
        <v>14490</v>
      </c>
      <c r="H1482" s="3" t="s">
        <v>14</v>
      </c>
      <c r="I1482" s="4" t="n">
        <f aca="false">D1482*F1482</f>
        <v>21.64</v>
      </c>
      <c r="J1482" s="3" t="n">
        <f aca="false">IF(AND(LEFT(A1482,1)&lt;&gt;"C",D1482&gt;0,F1482&gt;0),1,0)</f>
        <v>1</v>
      </c>
      <c r="K1482" s="3" t="n">
        <f aca="false">IF(AND(H1482="United Kingdom",G1482&lt;&gt;"",COUNTIFS($G$2:G1482,G1482,$H$2:H1482,"United Kingdom")=1),1,0)</f>
        <v>0</v>
      </c>
    </row>
    <row r="1483" customFormat="false" ht="15" hidden="false" customHeight="false" outlineLevel="0" collapsed="false">
      <c r="A1483" s="0" t="s">
        <v>355</v>
      </c>
      <c r="B1483" s="0" t="s">
        <v>58</v>
      </c>
      <c r="C1483" s="0" t="s">
        <v>59</v>
      </c>
      <c r="D1483" s="0" t="n">
        <v>1</v>
      </c>
      <c r="E1483" s="2" t="n">
        <v>40684.6027777778</v>
      </c>
      <c r="F1483" s="0" t="n">
        <v>2.16</v>
      </c>
      <c r="G1483" s="0" t="n">
        <v>14490</v>
      </c>
      <c r="H1483" s="3" t="s">
        <v>14</v>
      </c>
      <c r="I1483" s="4" t="n">
        <f aca="false">D1483*F1483</f>
        <v>2.16</v>
      </c>
      <c r="J1483" s="3" t="n">
        <f aca="false">IF(AND(LEFT(A1483,1)&lt;&gt;"C",D1483&gt;0,F1483&gt;0),1,0)</f>
        <v>1</v>
      </c>
      <c r="K1483" s="3" t="n">
        <f aca="false">IF(AND(H1483="United Kingdom",G1483&lt;&gt;"",COUNTIFS($G$2:G1483,G1483,$H$2:H1483,"United Kingdom")=1),1,0)</f>
        <v>0</v>
      </c>
    </row>
    <row r="1484" customFormat="false" ht="15" hidden="false" customHeight="false" outlineLevel="0" collapsed="false">
      <c r="A1484" s="0" t="s">
        <v>355</v>
      </c>
      <c r="B1484" s="0" t="s">
        <v>37</v>
      </c>
      <c r="C1484" s="0" t="s">
        <v>38</v>
      </c>
      <c r="D1484" s="0" t="n">
        <v>4</v>
      </c>
      <c r="E1484" s="2" t="n">
        <v>40684.6027777778</v>
      </c>
      <c r="F1484" s="0" t="n">
        <v>1.82</v>
      </c>
      <c r="G1484" s="0" t="n">
        <v>14490</v>
      </c>
      <c r="H1484" s="3" t="s">
        <v>14</v>
      </c>
      <c r="I1484" s="4" t="n">
        <f aca="false">D1484*F1484</f>
        <v>7.28</v>
      </c>
      <c r="J1484" s="3" t="n">
        <f aca="false">IF(AND(LEFT(A1484,1)&lt;&gt;"C",D1484&gt;0,F1484&gt;0),1,0)</f>
        <v>1</v>
      </c>
      <c r="K1484" s="3" t="n">
        <f aca="false">IF(AND(H1484="United Kingdom",G1484&lt;&gt;"",COUNTIFS($G$2:G1484,G1484,$H$2:H1484,"United Kingdom")=1),1,0)</f>
        <v>0</v>
      </c>
    </row>
    <row r="1485" customFormat="false" ht="15" hidden="false" customHeight="false" outlineLevel="0" collapsed="false">
      <c r="A1485" s="0" t="s">
        <v>355</v>
      </c>
      <c r="B1485" s="0" t="s">
        <v>90</v>
      </c>
      <c r="C1485" s="0" t="s">
        <v>91</v>
      </c>
      <c r="D1485" s="0" t="n">
        <v>24</v>
      </c>
      <c r="E1485" s="2" t="n">
        <v>40684.6027777778</v>
      </c>
      <c r="F1485" s="0" t="n">
        <v>3.04</v>
      </c>
      <c r="G1485" s="0" t="n">
        <v>14490</v>
      </c>
      <c r="H1485" s="3" t="s">
        <v>14</v>
      </c>
      <c r="I1485" s="4" t="n">
        <f aca="false">D1485*F1485</f>
        <v>72.96</v>
      </c>
      <c r="J1485" s="3" t="n">
        <f aca="false">IF(AND(LEFT(A1485,1)&lt;&gt;"C",D1485&gt;0,F1485&gt;0),1,0)</f>
        <v>1</v>
      </c>
      <c r="K1485" s="3" t="n">
        <f aca="false">IF(AND(H1485="United Kingdom",G1485&lt;&gt;"",COUNTIFS($G$2:G1485,G1485,$H$2:H1485,"United Kingdom")=1),1,0)</f>
        <v>0</v>
      </c>
    </row>
    <row r="1486" customFormat="false" ht="15" hidden="false" customHeight="false" outlineLevel="0" collapsed="false">
      <c r="A1486" s="0" t="s">
        <v>355</v>
      </c>
      <c r="B1486" s="0" t="s">
        <v>27</v>
      </c>
      <c r="C1486" s="0" t="s">
        <v>28</v>
      </c>
      <c r="D1486" s="0" t="n">
        <v>3</v>
      </c>
      <c r="E1486" s="2" t="n">
        <v>40684.6027777778</v>
      </c>
      <c r="F1486" s="0" t="n">
        <v>4.55</v>
      </c>
      <c r="G1486" s="0" t="n">
        <v>14490</v>
      </c>
      <c r="H1486" s="3" t="s">
        <v>14</v>
      </c>
      <c r="I1486" s="4" t="n">
        <f aca="false">D1486*F1486</f>
        <v>13.65</v>
      </c>
      <c r="J1486" s="3" t="n">
        <f aca="false">IF(AND(LEFT(A1486,1)&lt;&gt;"C",D1486&gt;0,F1486&gt;0),1,0)</f>
        <v>1</v>
      </c>
      <c r="K1486" s="3" t="n">
        <f aca="false">IF(AND(H1486="United Kingdom",G1486&lt;&gt;"",COUNTIFS($G$2:G1486,G1486,$H$2:H1486,"United Kingdom")=1),1,0)</f>
        <v>0</v>
      </c>
    </row>
    <row r="1487" customFormat="false" ht="15" hidden="false" customHeight="false" outlineLevel="0" collapsed="false">
      <c r="A1487" s="0" t="s">
        <v>355</v>
      </c>
      <c r="B1487" s="0" t="s">
        <v>41</v>
      </c>
      <c r="C1487" s="0" t="s">
        <v>42</v>
      </c>
      <c r="D1487" s="0" t="n">
        <v>4</v>
      </c>
      <c r="E1487" s="2" t="n">
        <v>40684.6027777778</v>
      </c>
      <c r="F1487" s="0" t="n">
        <v>3.28</v>
      </c>
      <c r="G1487" s="0" t="n">
        <v>14490</v>
      </c>
      <c r="H1487" s="3" t="s">
        <v>14</v>
      </c>
      <c r="I1487" s="4" t="n">
        <f aca="false">D1487*F1487</f>
        <v>13.12</v>
      </c>
      <c r="J1487" s="3" t="n">
        <f aca="false">IF(AND(LEFT(A1487,1)&lt;&gt;"C",D1487&gt;0,F1487&gt;0),1,0)</f>
        <v>1</v>
      </c>
      <c r="K1487" s="3" t="n">
        <f aca="false">IF(AND(H1487="United Kingdom",G1487&lt;&gt;"",COUNTIFS($G$2:G1487,G1487,$H$2:H1487,"United Kingdom")=1),1,0)</f>
        <v>0</v>
      </c>
    </row>
    <row r="1488" customFormat="false" ht="15" hidden="false" customHeight="false" outlineLevel="0" collapsed="false">
      <c r="A1488" s="0" t="s">
        <v>355</v>
      </c>
      <c r="B1488" s="0" t="s">
        <v>72</v>
      </c>
      <c r="C1488" s="0" t="s">
        <v>73</v>
      </c>
      <c r="D1488" s="0" t="n">
        <v>4</v>
      </c>
      <c r="E1488" s="2" t="n">
        <v>40684.6027777778</v>
      </c>
      <c r="F1488" s="0" t="n">
        <v>2.69</v>
      </c>
      <c r="G1488" s="0" t="n">
        <v>14490</v>
      </c>
      <c r="H1488" s="3" t="s">
        <v>14</v>
      </c>
      <c r="I1488" s="4" t="n">
        <f aca="false">D1488*F1488</f>
        <v>10.76</v>
      </c>
      <c r="J1488" s="3" t="n">
        <f aca="false">IF(AND(LEFT(A1488,1)&lt;&gt;"C",D1488&gt;0,F1488&gt;0),1,0)</f>
        <v>1</v>
      </c>
      <c r="K1488" s="3" t="n">
        <f aca="false">IF(AND(H1488="United Kingdom",G1488&lt;&gt;"",COUNTIFS($G$2:G1488,G1488,$H$2:H1488,"United Kingdom")=1),1,0)</f>
        <v>0</v>
      </c>
    </row>
    <row r="1489" customFormat="false" ht="15" hidden="false" customHeight="false" outlineLevel="0" collapsed="false">
      <c r="A1489" s="0" t="s">
        <v>355</v>
      </c>
      <c r="B1489" s="0" t="s">
        <v>68</v>
      </c>
      <c r="C1489" s="0" t="s">
        <v>69</v>
      </c>
      <c r="D1489" s="0" t="n">
        <v>1</v>
      </c>
      <c r="E1489" s="2" t="n">
        <v>40684.6027777778</v>
      </c>
      <c r="F1489" s="0" t="n">
        <v>1.26</v>
      </c>
      <c r="G1489" s="0" t="n">
        <v>14490</v>
      </c>
      <c r="H1489" s="3" t="s">
        <v>14</v>
      </c>
      <c r="I1489" s="4" t="n">
        <f aca="false">D1489*F1489</f>
        <v>1.26</v>
      </c>
      <c r="J1489" s="3" t="n">
        <f aca="false">IF(AND(LEFT(A1489,1)&lt;&gt;"C",D1489&gt;0,F1489&gt;0),1,0)</f>
        <v>1</v>
      </c>
      <c r="K1489" s="3" t="n">
        <f aca="false">IF(AND(H1489="United Kingdom",G1489&lt;&gt;"",COUNTIFS($G$2:G1489,G1489,$H$2:H1489,"United Kingdom")=1),1,0)</f>
        <v>0</v>
      </c>
    </row>
    <row r="1490" customFormat="false" ht="15" hidden="false" customHeight="false" outlineLevel="0" collapsed="false">
      <c r="A1490" s="0" t="s">
        <v>355</v>
      </c>
      <c r="B1490" s="0" t="s">
        <v>45</v>
      </c>
      <c r="C1490" s="0" t="s">
        <v>46</v>
      </c>
      <c r="D1490" s="0" t="n">
        <v>1</v>
      </c>
      <c r="E1490" s="2" t="n">
        <v>40684.6027777778</v>
      </c>
      <c r="F1490" s="0" t="n">
        <v>4.55</v>
      </c>
      <c r="G1490" s="0" t="n">
        <v>14490</v>
      </c>
      <c r="H1490" s="3" t="s">
        <v>14</v>
      </c>
      <c r="I1490" s="4" t="n">
        <f aca="false">D1490*F1490</f>
        <v>4.55</v>
      </c>
      <c r="J1490" s="3" t="n">
        <f aca="false">IF(AND(LEFT(A1490,1)&lt;&gt;"C",D1490&gt;0,F1490&gt;0),1,0)</f>
        <v>1</v>
      </c>
      <c r="K1490" s="3" t="n">
        <f aca="false">IF(AND(H1490="United Kingdom",G1490&lt;&gt;"",COUNTIFS($G$2:G1490,G1490,$H$2:H1490,"United Kingdom")=1),1,0)</f>
        <v>0</v>
      </c>
    </row>
    <row r="1491" customFormat="false" ht="15" hidden="false" customHeight="false" outlineLevel="0" collapsed="false">
      <c r="A1491" s="0" t="s">
        <v>356</v>
      </c>
      <c r="B1491" s="0" t="s">
        <v>72</v>
      </c>
      <c r="C1491" s="0" t="s">
        <v>73</v>
      </c>
      <c r="D1491" s="0" t="n">
        <v>12</v>
      </c>
      <c r="E1491" s="2" t="n">
        <v>40685.6833333333</v>
      </c>
      <c r="F1491" s="0" t="n">
        <v>2.69</v>
      </c>
      <c r="G1491" s="0" t="n">
        <v>17856</v>
      </c>
      <c r="H1491" s="3" t="s">
        <v>101</v>
      </c>
      <c r="I1491" s="4" t="n">
        <f aca="false">D1491*F1491</f>
        <v>32.28</v>
      </c>
      <c r="J1491" s="3" t="n">
        <f aca="false">IF(AND(LEFT(A1491,1)&lt;&gt;"C",D1491&gt;0,F1491&gt;0),1,0)</f>
        <v>1</v>
      </c>
      <c r="K1491" s="3" t="n">
        <f aca="false">IF(AND(H1491="United Kingdom",G1491&lt;&gt;"",COUNTIFS($G$2:G1491,G1491,$H$2:H1491,"United Kingdom")=1),1,0)</f>
        <v>0</v>
      </c>
    </row>
    <row r="1492" customFormat="false" ht="15" hidden="false" customHeight="false" outlineLevel="0" collapsed="false">
      <c r="A1492" s="0" t="s">
        <v>356</v>
      </c>
      <c r="B1492" s="0" t="s">
        <v>45</v>
      </c>
      <c r="C1492" s="0" t="s">
        <v>46</v>
      </c>
      <c r="D1492" s="0" t="n">
        <v>8</v>
      </c>
      <c r="E1492" s="2" t="n">
        <v>40685.6833333333</v>
      </c>
      <c r="F1492" s="0" t="n">
        <v>4.55</v>
      </c>
      <c r="G1492" s="0" t="n">
        <v>17856</v>
      </c>
      <c r="H1492" s="3" t="s">
        <v>101</v>
      </c>
      <c r="I1492" s="4" t="n">
        <f aca="false">D1492*F1492</f>
        <v>36.4</v>
      </c>
      <c r="J1492" s="3" t="n">
        <f aca="false">IF(AND(LEFT(A1492,1)&lt;&gt;"C",D1492&gt;0,F1492&gt;0),1,0)</f>
        <v>1</v>
      </c>
      <c r="K1492" s="3" t="n">
        <f aca="false">IF(AND(H1492="United Kingdom",G1492&lt;&gt;"",COUNTIFS($G$2:G1492,G1492,$H$2:H1492,"United Kingdom")=1),1,0)</f>
        <v>0</v>
      </c>
    </row>
    <row r="1493" customFormat="false" ht="15" hidden="false" customHeight="false" outlineLevel="0" collapsed="false">
      <c r="A1493" s="0" t="s">
        <v>357</v>
      </c>
      <c r="B1493" s="0" t="s">
        <v>15</v>
      </c>
      <c r="C1493" s="0" t="s">
        <v>16</v>
      </c>
      <c r="D1493" s="0" t="n">
        <v>4</v>
      </c>
      <c r="E1493" s="2" t="n">
        <v>40685.7708333333</v>
      </c>
      <c r="F1493" s="0" t="n">
        <v>3.18</v>
      </c>
      <c r="G1493" s="0" t="n">
        <v>14910</v>
      </c>
      <c r="H1493" s="3" t="s">
        <v>14</v>
      </c>
      <c r="I1493" s="4" t="n">
        <f aca="false">D1493*F1493</f>
        <v>12.72</v>
      </c>
      <c r="J1493" s="3" t="n">
        <f aca="false">IF(AND(LEFT(A1493,1)&lt;&gt;"C",D1493&gt;0,F1493&gt;0),1,0)</f>
        <v>1</v>
      </c>
      <c r="K1493" s="3" t="n">
        <f aca="false">IF(AND(H1493="United Kingdom",G1493&lt;&gt;"",COUNTIFS($G$2:G1493,G1493,$H$2:H1493,"United Kingdom")=1),1,0)</f>
        <v>0</v>
      </c>
    </row>
    <row r="1494" customFormat="false" ht="15" hidden="false" customHeight="false" outlineLevel="0" collapsed="false">
      <c r="A1494" s="0" t="s">
        <v>357</v>
      </c>
      <c r="B1494" s="0" t="s">
        <v>20</v>
      </c>
      <c r="C1494" s="0" t="s">
        <v>21</v>
      </c>
      <c r="D1494" s="0" t="n">
        <v>4</v>
      </c>
      <c r="E1494" s="2" t="n">
        <v>40685.7708333333</v>
      </c>
      <c r="F1494" s="0" t="n">
        <v>4.24</v>
      </c>
      <c r="G1494" s="0" t="n">
        <v>14910</v>
      </c>
      <c r="H1494" s="3" t="s">
        <v>14</v>
      </c>
      <c r="I1494" s="4" t="n">
        <f aca="false">D1494*F1494</f>
        <v>16.96</v>
      </c>
      <c r="J1494" s="3" t="n">
        <f aca="false">IF(AND(LEFT(A1494,1)&lt;&gt;"C",D1494&gt;0,F1494&gt;0),1,0)</f>
        <v>1</v>
      </c>
      <c r="K1494" s="3" t="n">
        <f aca="false">IF(AND(H1494="United Kingdom",G1494&lt;&gt;"",COUNTIFS($G$2:G1494,G1494,$H$2:H1494,"United Kingdom")=1),1,0)</f>
        <v>0</v>
      </c>
    </row>
    <row r="1495" customFormat="false" ht="15" hidden="false" customHeight="false" outlineLevel="0" collapsed="false">
      <c r="A1495" s="0" t="s">
        <v>357</v>
      </c>
      <c r="B1495" s="0" t="s">
        <v>39</v>
      </c>
      <c r="C1495" s="0" t="s">
        <v>40</v>
      </c>
      <c r="D1495" s="0" t="n">
        <v>4</v>
      </c>
      <c r="E1495" s="2" t="n">
        <v>40685.7708333333</v>
      </c>
      <c r="F1495" s="0" t="n">
        <v>2.58</v>
      </c>
      <c r="G1495" s="0" t="n">
        <v>14910</v>
      </c>
      <c r="H1495" s="3" t="s">
        <v>14</v>
      </c>
      <c r="I1495" s="4" t="n">
        <f aca="false">D1495*F1495</f>
        <v>10.32</v>
      </c>
      <c r="J1495" s="3" t="n">
        <f aca="false">IF(AND(LEFT(A1495,1)&lt;&gt;"C",D1495&gt;0,F1495&gt;0),1,0)</f>
        <v>1</v>
      </c>
      <c r="K1495" s="3" t="n">
        <f aca="false">IF(AND(H1495="United Kingdom",G1495&lt;&gt;"",COUNTIFS($G$2:G1495,G1495,$H$2:H1495,"United Kingdom")=1),1,0)</f>
        <v>0</v>
      </c>
    </row>
    <row r="1496" customFormat="false" ht="15" hidden="false" customHeight="false" outlineLevel="0" collapsed="false">
      <c r="A1496" s="0" t="s">
        <v>357</v>
      </c>
      <c r="B1496" s="0" t="s">
        <v>77</v>
      </c>
      <c r="C1496" s="0" t="s">
        <v>78</v>
      </c>
      <c r="D1496" s="0" t="n">
        <v>8</v>
      </c>
      <c r="E1496" s="2" t="n">
        <v>40685.7708333333</v>
      </c>
      <c r="F1496" s="0" t="n">
        <v>3.41</v>
      </c>
      <c r="G1496" s="0" t="n">
        <v>14910</v>
      </c>
      <c r="H1496" s="3" t="s">
        <v>14</v>
      </c>
      <c r="I1496" s="4" t="n">
        <f aca="false">D1496*F1496</f>
        <v>27.28</v>
      </c>
      <c r="J1496" s="3" t="n">
        <f aca="false">IF(AND(LEFT(A1496,1)&lt;&gt;"C",D1496&gt;0,F1496&gt;0),1,0)</f>
        <v>1</v>
      </c>
      <c r="K1496" s="3" t="n">
        <f aca="false">IF(AND(H1496="United Kingdom",G1496&lt;&gt;"",COUNTIFS($G$2:G1496,G1496,$H$2:H1496,"United Kingdom")=1),1,0)</f>
        <v>0</v>
      </c>
    </row>
    <row r="1497" customFormat="false" ht="15" hidden="false" customHeight="false" outlineLevel="0" collapsed="false">
      <c r="A1497" s="0" t="s">
        <v>357</v>
      </c>
      <c r="B1497" s="0" t="s">
        <v>65</v>
      </c>
      <c r="C1497" s="0" t="s">
        <v>66</v>
      </c>
      <c r="D1497" s="0" t="n">
        <v>12</v>
      </c>
      <c r="E1497" s="2" t="n">
        <v>40685.7708333333</v>
      </c>
      <c r="F1497" s="0" t="n">
        <v>4.75</v>
      </c>
      <c r="G1497" s="0" t="n">
        <v>14910</v>
      </c>
      <c r="H1497" s="3" t="s">
        <v>14</v>
      </c>
      <c r="I1497" s="4" t="n">
        <f aca="false">D1497*F1497</f>
        <v>57</v>
      </c>
      <c r="J1497" s="3" t="n">
        <f aca="false">IF(AND(LEFT(A1497,1)&lt;&gt;"C",D1497&gt;0,F1497&gt;0),1,0)</f>
        <v>1</v>
      </c>
      <c r="K1497" s="3" t="n">
        <f aca="false">IF(AND(H1497="United Kingdom",G1497&lt;&gt;"",COUNTIFS($G$2:G1497,G1497,$H$2:H1497,"United Kingdom")=1),1,0)</f>
        <v>0</v>
      </c>
    </row>
    <row r="1498" customFormat="false" ht="15" hidden="false" customHeight="false" outlineLevel="0" collapsed="false">
      <c r="A1498" s="0" t="s">
        <v>357</v>
      </c>
      <c r="B1498" s="0" t="s">
        <v>34</v>
      </c>
      <c r="C1498" s="0" t="s">
        <v>35</v>
      </c>
      <c r="D1498" s="0" t="n">
        <v>1</v>
      </c>
      <c r="E1498" s="2" t="n">
        <v>40685.7708333333</v>
      </c>
      <c r="F1498" s="0" t="n">
        <v>2.38</v>
      </c>
      <c r="G1498" s="0" t="n">
        <v>14910</v>
      </c>
      <c r="H1498" s="3" t="s">
        <v>14</v>
      </c>
      <c r="I1498" s="4" t="n">
        <f aca="false">D1498*F1498</f>
        <v>2.38</v>
      </c>
      <c r="J1498" s="3" t="n">
        <f aca="false">IF(AND(LEFT(A1498,1)&lt;&gt;"C",D1498&gt;0,F1498&gt;0),1,0)</f>
        <v>1</v>
      </c>
      <c r="K1498" s="3" t="n">
        <f aca="false">IF(AND(H1498="United Kingdom",G1498&lt;&gt;"",COUNTIFS($G$2:G1498,G1498,$H$2:H1498,"United Kingdom")=1),1,0)</f>
        <v>0</v>
      </c>
    </row>
    <row r="1499" customFormat="false" ht="15" hidden="false" customHeight="false" outlineLevel="0" collapsed="false">
      <c r="A1499" s="0" t="s">
        <v>357</v>
      </c>
      <c r="B1499" s="0" t="s">
        <v>43</v>
      </c>
      <c r="C1499" s="0" t="s">
        <v>44</v>
      </c>
      <c r="D1499" s="0" t="n">
        <v>6</v>
      </c>
      <c r="E1499" s="2" t="n">
        <v>40685.7708333333</v>
      </c>
      <c r="F1499" s="0" t="n">
        <v>1.35</v>
      </c>
      <c r="G1499" s="0" t="n">
        <v>14910</v>
      </c>
      <c r="H1499" s="3" t="s">
        <v>14</v>
      </c>
      <c r="I1499" s="4" t="n">
        <f aca="false">D1499*F1499</f>
        <v>8.1</v>
      </c>
      <c r="J1499" s="3" t="n">
        <f aca="false">IF(AND(LEFT(A1499,1)&lt;&gt;"C",D1499&gt;0,F1499&gt;0),1,0)</f>
        <v>1</v>
      </c>
      <c r="K1499" s="3" t="n">
        <f aca="false">IF(AND(H1499="United Kingdom",G1499&lt;&gt;"",COUNTIFS($G$2:G1499,G1499,$H$2:H1499,"United Kingdom")=1),1,0)</f>
        <v>0</v>
      </c>
    </row>
    <row r="1500" customFormat="false" ht="15" hidden="false" customHeight="false" outlineLevel="0" collapsed="false">
      <c r="A1500" s="0" t="s">
        <v>358</v>
      </c>
      <c r="B1500" s="0" t="s">
        <v>29</v>
      </c>
      <c r="C1500" s="0" t="s">
        <v>30</v>
      </c>
      <c r="D1500" s="0" t="n">
        <v>8</v>
      </c>
      <c r="E1500" s="2" t="n">
        <v>40685.8138888889</v>
      </c>
      <c r="F1500" s="0" t="n">
        <v>5.79</v>
      </c>
      <c r="G1500" s="0" t="n">
        <v>14163</v>
      </c>
      <c r="H1500" s="3" t="s">
        <v>14</v>
      </c>
      <c r="I1500" s="4" t="n">
        <f aca="false">D1500*F1500</f>
        <v>46.32</v>
      </c>
      <c r="J1500" s="3" t="n">
        <f aca="false">IF(AND(LEFT(A1500,1)&lt;&gt;"C",D1500&gt;0,F1500&gt;0),1,0)</f>
        <v>1</v>
      </c>
      <c r="K1500" s="3" t="n">
        <f aca="false">IF(AND(H1500="United Kingdom",G1500&lt;&gt;"",COUNTIFS($G$2:G1500,G1500,$H$2:H1500,"United Kingdom")=1),1,0)</f>
        <v>1</v>
      </c>
    </row>
    <row r="1501" customFormat="false" ht="15" hidden="false" customHeight="false" outlineLevel="0" collapsed="false">
      <c r="A1501" s="0" t="s">
        <v>358</v>
      </c>
      <c r="B1501" s="0" t="s">
        <v>58</v>
      </c>
      <c r="C1501" s="0" t="s">
        <v>59</v>
      </c>
      <c r="D1501" s="0" t="n">
        <v>1</v>
      </c>
      <c r="E1501" s="2" t="n">
        <v>40685.8138888889</v>
      </c>
      <c r="F1501" s="0" t="n">
        <v>2.16</v>
      </c>
      <c r="G1501" s="0" t="n">
        <v>14163</v>
      </c>
      <c r="H1501" s="3" t="s">
        <v>14</v>
      </c>
      <c r="I1501" s="4" t="n">
        <f aca="false">D1501*F1501</f>
        <v>2.16</v>
      </c>
      <c r="J1501" s="3" t="n">
        <f aca="false">IF(AND(LEFT(A1501,1)&lt;&gt;"C",D1501&gt;0,F1501&gt;0),1,0)</f>
        <v>1</v>
      </c>
      <c r="K1501" s="3" t="n">
        <f aca="false">IF(AND(H1501="United Kingdom",G1501&lt;&gt;"",COUNTIFS($G$2:G1501,G1501,$H$2:H1501,"United Kingdom")=1),1,0)</f>
        <v>0</v>
      </c>
    </row>
    <row r="1502" customFormat="false" ht="15" hidden="false" customHeight="false" outlineLevel="0" collapsed="false">
      <c r="A1502" s="0" t="s">
        <v>358</v>
      </c>
      <c r="B1502" s="0" t="s">
        <v>113</v>
      </c>
      <c r="C1502" s="0" t="s">
        <v>114</v>
      </c>
      <c r="D1502" s="0" t="n">
        <v>6</v>
      </c>
      <c r="E1502" s="2" t="n">
        <v>40685.8138888889</v>
      </c>
      <c r="F1502" s="0" t="n">
        <v>3.57</v>
      </c>
      <c r="G1502" s="0" t="n">
        <v>14163</v>
      </c>
      <c r="H1502" s="3" t="s">
        <v>14</v>
      </c>
      <c r="I1502" s="4" t="n">
        <f aca="false">D1502*F1502</f>
        <v>21.42</v>
      </c>
      <c r="J1502" s="3" t="n">
        <f aca="false">IF(AND(LEFT(A1502,1)&lt;&gt;"C",D1502&gt;0,F1502&gt;0),1,0)</f>
        <v>1</v>
      </c>
      <c r="K1502" s="3" t="n">
        <f aca="false">IF(AND(H1502="United Kingdom",G1502&lt;&gt;"",COUNTIFS($G$2:G1502,G1502,$H$2:H1502,"United Kingdom")=1),1,0)</f>
        <v>0</v>
      </c>
    </row>
    <row r="1503" customFormat="false" ht="15" hidden="false" customHeight="false" outlineLevel="0" collapsed="false">
      <c r="A1503" s="0" t="s">
        <v>358</v>
      </c>
      <c r="B1503" s="0" t="s">
        <v>80</v>
      </c>
      <c r="C1503" s="0" t="s">
        <v>81</v>
      </c>
      <c r="D1503" s="0" t="n">
        <v>2</v>
      </c>
      <c r="E1503" s="2" t="n">
        <v>40685.8138888889</v>
      </c>
      <c r="F1503" s="0" t="n">
        <v>1.53</v>
      </c>
      <c r="G1503" s="0" t="n">
        <v>14163</v>
      </c>
      <c r="H1503" s="3" t="s">
        <v>14</v>
      </c>
      <c r="I1503" s="4" t="n">
        <f aca="false">D1503*F1503</f>
        <v>3.06</v>
      </c>
      <c r="J1503" s="3" t="n">
        <f aca="false">IF(AND(LEFT(A1503,1)&lt;&gt;"C",D1503&gt;0,F1503&gt;0),1,0)</f>
        <v>1</v>
      </c>
      <c r="K1503" s="3" t="n">
        <f aca="false">IF(AND(H1503="United Kingdom",G1503&lt;&gt;"",COUNTIFS($G$2:G1503,G1503,$H$2:H1503,"United Kingdom")=1),1,0)</f>
        <v>0</v>
      </c>
    </row>
    <row r="1504" customFormat="false" ht="15" hidden="false" customHeight="false" outlineLevel="0" collapsed="false">
      <c r="A1504" s="0" t="s">
        <v>359</v>
      </c>
      <c r="B1504" s="0" t="s">
        <v>29</v>
      </c>
      <c r="C1504" s="0" t="s">
        <v>30</v>
      </c>
      <c r="D1504" s="0" t="n">
        <v>4</v>
      </c>
      <c r="E1504" s="2" t="n">
        <v>40686.5145833333</v>
      </c>
      <c r="F1504" s="0" t="n">
        <v>5.79</v>
      </c>
      <c r="G1504" s="0" t="n">
        <v>14746</v>
      </c>
      <c r="H1504" s="3" t="s">
        <v>14</v>
      </c>
      <c r="I1504" s="4" t="n">
        <f aca="false">D1504*F1504</f>
        <v>23.16</v>
      </c>
      <c r="J1504" s="3" t="n">
        <f aca="false">IF(AND(LEFT(A1504,1)&lt;&gt;"C",D1504&gt;0,F1504&gt;0),1,0)</f>
        <v>1</v>
      </c>
      <c r="K1504" s="3" t="n">
        <f aca="false">IF(AND(H1504="United Kingdom",G1504&lt;&gt;"",COUNTIFS($G$2:G1504,G1504,$H$2:H1504,"United Kingdom")=1),1,0)</f>
        <v>0</v>
      </c>
    </row>
    <row r="1505" customFormat="false" ht="15" hidden="false" customHeight="false" outlineLevel="0" collapsed="false">
      <c r="A1505" s="0" t="s">
        <v>359</v>
      </c>
      <c r="B1505" s="0" t="s">
        <v>15</v>
      </c>
      <c r="C1505" s="0" t="s">
        <v>16</v>
      </c>
      <c r="D1505" s="0" t="n">
        <v>4</v>
      </c>
      <c r="E1505" s="2" t="n">
        <v>40686.5145833333</v>
      </c>
      <c r="F1505" s="0" t="n">
        <v>3.18</v>
      </c>
      <c r="G1505" s="0" t="n">
        <v>14746</v>
      </c>
      <c r="H1505" s="3" t="s">
        <v>14</v>
      </c>
      <c r="I1505" s="4" t="n">
        <f aca="false">D1505*F1505</f>
        <v>12.72</v>
      </c>
      <c r="J1505" s="3" t="n">
        <f aca="false">IF(AND(LEFT(A1505,1)&lt;&gt;"C",D1505&gt;0,F1505&gt;0),1,0)</f>
        <v>1</v>
      </c>
      <c r="K1505" s="3" t="n">
        <f aca="false">IF(AND(H1505="United Kingdom",G1505&lt;&gt;"",COUNTIFS($G$2:G1505,G1505,$H$2:H1505,"United Kingdom")=1),1,0)</f>
        <v>0</v>
      </c>
    </row>
    <row r="1506" customFormat="false" ht="15" hidden="false" customHeight="false" outlineLevel="0" collapsed="false">
      <c r="A1506" s="0" t="s">
        <v>359</v>
      </c>
      <c r="B1506" s="0" t="s">
        <v>12</v>
      </c>
      <c r="C1506" s="0" t="s">
        <v>13</v>
      </c>
      <c r="D1506" s="0" t="n">
        <v>8</v>
      </c>
      <c r="E1506" s="2" t="n">
        <v>40686.5145833333</v>
      </c>
      <c r="F1506" s="0" t="n">
        <v>3.33</v>
      </c>
      <c r="G1506" s="0" t="n">
        <v>14746</v>
      </c>
      <c r="H1506" s="3" t="s">
        <v>14</v>
      </c>
      <c r="I1506" s="4" t="n">
        <f aca="false">D1506*F1506</f>
        <v>26.64</v>
      </c>
      <c r="J1506" s="3" t="n">
        <f aca="false">IF(AND(LEFT(A1506,1)&lt;&gt;"C",D1506&gt;0,F1506&gt;0),1,0)</f>
        <v>1</v>
      </c>
      <c r="K1506" s="3" t="n">
        <f aca="false">IF(AND(H1506="United Kingdom",G1506&lt;&gt;"",COUNTIFS($G$2:G1506,G1506,$H$2:H1506,"United Kingdom")=1),1,0)</f>
        <v>0</v>
      </c>
    </row>
    <row r="1507" customFormat="false" ht="15" hidden="false" customHeight="false" outlineLevel="0" collapsed="false">
      <c r="A1507" s="0" t="s">
        <v>360</v>
      </c>
      <c r="B1507" s="0" t="s">
        <v>25</v>
      </c>
      <c r="C1507" s="0" t="s">
        <v>26</v>
      </c>
      <c r="D1507" s="0" t="n">
        <v>2</v>
      </c>
      <c r="E1507" s="2" t="n">
        <v>40686.6381944444</v>
      </c>
      <c r="F1507" s="0" t="n">
        <v>2.21</v>
      </c>
      <c r="G1507" s="0" t="n">
        <v>14318</v>
      </c>
      <c r="H1507" s="3" t="s">
        <v>14</v>
      </c>
      <c r="I1507" s="4" t="n">
        <f aca="false">D1507*F1507</f>
        <v>4.42</v>
      </c>
      <c r="J1507" s="3" t="n">
        <f aca="false">IF(AND(LEFT(A1507,1)&lt;&gt;"C",D1507&gt;0,F1507&gt;0),1,0)</f>
        <v>1</v>
      </c>
      <c r="K1507" s="3" t="n">
        <f aca="false">IF(AND(H1507="United Kingdom",G1507&lt;&gt;"",COUNTIFS($G$2:G1507,G1507,$H$2:H1507,"United Kingdom")=1),1,0)</f>
        <v>1</v>
      </c>
    </row>
    <row r="1508" customFormat="false" ht="15" hidden="false" customHeight="false" outlineLevel="0" collapsed="false">
      <c r="A1508" s="0" t="s">
        <v>361</v>
      </c>
      <c r="B1508" s="0" t="s">
        <v>17</v>
      </c>
      <c r="C1508" s="0" t="s">
        <v>18</v>
      </c>
      <c r="D1508" s="0" t="n">
        <v>6</v>
      </c>
      <c r="E1508" s="2" t="n">
        <v>40688.4215277778</v>
      </c>
      <c r="F1508" s="0" t="n">
        <v>1.92</v>
      </c>
      <c r="H1508" s="3" t="s">
        <v>14</v>
      </c>
      <c r="I1508" s="4" t="n">
        <f aca="false">D1508*F1508</f>
        <v>11.52</v>
      </c>
      <c r="J1508" s="3" t="n">
        <f aca="false">IF(AND(LEFT(A1508,1)&lt;&gt;"C",D1508&gt;0,F1508&gt;0),1,0)</f>
        <v>1</v>
      </c>
      <c r="K1508" s="3" t="n">
        <f aca="false">IF(AND(H1508="United Kingdom",G1508&lt;&gt;"",COUNTIFS($G$2:G1508,G1508,$H$2:H1508,"United Kingdom")=1),1,0)</f>
        <v>0</v>
      </c>
    </row>
    <row r="1509" customFormat="false" ht="15" hidden="false" customHeight="false" outlineLevel="0" collapsed="false">
      <c r="A1509" s="0" t="s">
        <v>361</v>
      </c>
      <c r="B1509" s="0" t="s">
        <v>58</v>
      </c>
      <c r="C1509" s="0" t="s">
        <v>59</v>
      </c>
      <c r="D1509" s="0" t="n">
        <v>16</v>
      </c>
      <c r="E1509" s="2" t="n">
        <v>40688.4215277778</v>
      </c>
      <c r="F1509" s="0" t="n">
        <v>2.16</v>
      </c>
      <c r="H1509" s="3" t="s">
        <v>14</v>
      </c>
      <c r="I1509" s="4" t="n">
        <f aca="false">D1509*F1509</f>
        <v>34.56</v>
      </c>
      <c r="J1509" s="3" t="n">
        <f aca="false">IF(AND(LEFT(A1509,1)&lt;&gt;"C",D1509&gt;0,F1509&gt;0),1,0)</f>
        <v>1</v>
      </c>
      <c r="K1509" s="3" t="n">
        <f aca="false">IF(AND(H1509="United Kingdom",G1509&lt;&gt;"",COUNTIFS($G$2:G1509,G1509,$H$2:H1509,"United Kingdom")=1),1,0)</f>
        <v>0</v>
      </c>
    </row>
    <row r="1510" customFormat="false" ht="15" hidden="false" customHeight="false" outlineLevel="0" collapsed="false">
      <c r="A1510" s="0" t="s">
        <v>361</v>
      </c>
      <c r="B1510" s="0" t="s">
        <v>75</v>
      </c>
      <c r="C1510" s="0" t="s">
        <v>76</v>
      </c>
      <c r="D1510" s="0" t="n">
        <v>12</v>
      </c>
      <c r="E1510" s="2" t="n">
        <v>40688.4215277778</v>
      </c>
      <c r="F1510" s="0" t="n">
        <v>1.97</v>
      </c>
      <c r="H1510" s="3" t="s">
        <v>14</v>
      </c>
      <c r="I1510" s="4" t="n">
        <f aca="false">D1510*F1510</f>
        <v>23.64</v>
      </c>
      <c r="J1510" s="3" t="n">
        <f aca="false">IF(AND(LEFT(A1510,1)&lt;&gt;"C",D1510&gt;0,F1510&gt;0),1,0)</f>
        <v>1</v>
      </c>
      <c r="K1510" s="3" t="n">
        <f aca="false">IF(AND(H1510="United Kingdom",G1510&lt;&gt;"",COUNTIFS($G$2:G1510,G1510,$H$2:H1510,"United Kingdom")=1),1,0)</f>
        <v>0</v>
      </c>
    </row>
    <row r="1511" customFormat="false" ht="15" hidden="false" customHeight="false" outlineLevel="0" collapsed="false">
      <c r="A1511" s="0" t="s">
        <v>361</v>
      </c>
      <c r="B1511" s="0" t="s">
        <v>43</v>
      </c>
      <c r="C1511" s="0" t="s">
        <v>44</v>
      </c>
      <c r="D1511" s="0" t="n">
        <v>4</v>
      </c>
      <c r="E1511" s="2" t="n">
        <v>40688.4215277778</v>
      </c>
      <c r="F1511" s="0" t="n">
        <v>1.35</v>
      </c>
      <c r="H1511" s="3" t="s">
        <v>14</v>
      </c>
      <c r="I1511" s="4" t="n">
        <f aca="false">D1511*F1511</f>
        <v>5.4</v>
      </c>
      <c r="J1511" s="3" t="n">
        <f aca="false">IF(AND(LEFT(A1511,1)&lt;&gt;"C",D1511&gt;0,F1511&gt;0),1,0)</f>
        <v>1</v>
      </c>
      <c r="K1511" s="3" t="n">
        <f aca="false">IF(AND(H1511="United Kingdom",G1511&lt;&gt;"",COUNTIFS($G$2:G1511,G1511,$H$2:H1511,"United Kingdom")=1),1,0)</f>
        <v>0</v>
      </c>
    </row>
    <row r="1512" customFormat="false" ht="15" hidden="false" customHeight="false" outlineLevel="0" collapsed="false">
      <c r="A1512" s="0" t="s">
        <v>362</v>
      </c>
      <c r="B1512" s="0" t="s">
        <v>63</v>
      </c>
      <c r="C1512" s="0" t="s">
        <v>64</v>
      </c>
      <c r="D1512" s="0" t="n">
        <v>2</v>
      </c>
      <c r="E1512" s="2" t="n">
        <v>40688.5548611111</v>
      </c>
      <c r="F1512" s="0" t="n">
        <v>2.43</v>
      </c>
      <c r="G1512" s="0" t="n">
        <v>14494</v>
      </c>
      <c r="H1512" s="3" t="s">
        <v>14</v>
      </c>
      <c r="I1512" s="4" t="n">
        <f aca="false">D1512*F1512</f>
        <v>4.86</v>
      </c>
      <c r="J1512" s="3" t="n">
        <f aca="false">IF(AND(LEFT(A1512,1)&lt;&gt;"C",D1512&gt;0,F1512&gt;0),1,0)</f>
        <v>1</v>
      </c>
      <c r="K1512" s="3" t="n">
        <f aca="false">IF(AND(H1512="United Kingdom",G1512&lt;&gt;"",COUNTIFS($G$2:G1512,G1512,$H$2:H1512,"United Kingdom")=1),1,0)</f>
        <v>1</v>
      </c>
    </row>
    <row r="1513" customFormat="false" ht="15" hidden="false" customHeight="false" outlineLevel="0" collapsed="false">
      <c r="A1513" s="0" t="s">
        <v>362</v>
      </c>
      <c r="B1513" s="0" t="s">
        <v>15</v>
      </c>
      <c r="C1513" s="0" t="s">
        <v>16</v>
      </c>
      <c r="D1513" s="0" t="n">
        <v>4</v>
      </c>
      <c r="E1513" s="2" t="n">
        <v>40688.5548611111</v>
      </c>
      <c r="F1513" s="0" t="n">
        <v>3.18</v>
      </c>
      <c r="G1513" s="0" t="n">
        <v>14494</v>
      </c>
      <c r="H1513" s="3" t="s">
        <v>14</v>
      </c>
      <c r="I1513" s="4" t="n">
        <f aca="false">D1513*F1513</f>
        <v>12.72</v>
      </c>
      <c r="J1513" s="3" t="n">
        <f aca="false">IF(AND(LEFT(A1513,1)&lt;&gt;"C",D1513&gt;0,F1513&gt;0),1,0)</f>
        <v>1</v>
      </c>
      <c r="K1513" s="3" t="n">
        <f aca="false">IF(AND(H1513="United Kingdom",G1513&lt;&gt;"",COUNTIFS($G$2:G1513,G1513,$H$2:H1513,"United Kingdom")=1),1,0)</f>
        <v>0</v>
      </c>
    </row>
    <row r="1514" customFormat="false" ht="15" hidden="false" customHeight="false" outlineLevel="0" collapsed="false">
      <c r="A1514" s="0" t="s">
        <v>363</v>
      </c>
      <c r="B1514" s="0" t="s">
        <v>43</v>
      </c>
      <c r="C1514" s="0" t="s">
        <v>44</v>
      </c>
      <c r="D1514" s="0" t="n">
        <v>15</v>
      </c>
      <c r="E1514" s="2" t="n">
        <v>40688.8006944444</v>
      </c>
      <c r="F1514" s="0" t="n">
        <v>1.35</v>
      </c>
      <c r="G1514" s="0" t="n">
        <v>12747</v>
      </c>
      <c r="H1514" s="3" t="s">
        <v>120</v>
      </c>
      <c r="I1514" s="4" t="n">
        <f aca="false">D1514*F1514</f>
        <v>20.25</v>
      </c>
      <c r="J1514" s="3" t="n">
        <f aca="false">IF(AND(LEFT(A1514,1)&lt;&gt;"C",D1514&gt;0,F1514&gt;0),1,0)</f>
        <v>1</v>
      </c>
      <c r="K1514" s="3" t="n">
        <f aca="false">IF(AND(H1514="United Kingdom",G1514&lt;&gt;"",COUNTIFS($G$2:G1514,G1514,$H$2:H1514,"United Kingdom")=1),1,0)</f>
        <v>0</v>
      </c>
    </row>
    <row r="1515" customFormat="false" ht="15" hidden="false" customHeight="false" outlineLevel="0" collapsed="false">
      <c r="A1515" s="0" t="s">
        <v>363</v>
      </c>
      <c r="B1515" s="0" t="s">
        <v>77</v>
      </c>
      <c r="C1515" s="0" t="s">
        <v>78</v>
      </c>
      <c r="D1515" s="0" t="n">
        <v>1</v>
      </c>
      <c r="E1515" s="2" t="n">
        <v>40688.8006944444</v>
      </c>
      <c r="F1515" s="0" t="n">
        <v>3.41</v>
      </c>
      <c r="G1515" s="0" t="n">
        <v>12747</v>
      </c>
      <c r="H1515" s="3" t="s">
        <v>120</v>
      </c>
      <c r="I1515" s="4" t="n">
        <f aca="false">D1515*F1515</f>
        <v>3.41</v>
      </c>
      <c r="J1515" s="3" t="n">
        <f aca="false">IF(AND(LEFT(A1515,1)&lt;&gt;"C",D1515&gt;0,F1515&gt;0),1,0)</f>
        <v>1</v>
      </c>
      <c r="K1515" s="3" t="n">
        <f aca="false">IF(AND(H1515="United Kingdom",G1515&lt;&gt;"",COUNTIFS($G$2:G1515,G1515,$H$2:H1515,"United Kingdom")=1),1,0)</f>
        <v>0</v>
      </c>
    </row>
    <row r="1516" customFormat="false" ht="15" hidden="false" customHeight="false" outlineLevel="0" collapsed="false">
      <c r="A1516" s="0" t="s">
        <v>363</v>
      </c>
      <c r="B1516" s="0" t="s">
        <v>72</v>
      </c>
      <c r="C1516" s="0" t="s">
        <v>73</v>
      </c>
      <c r="D1516" s="0" t="n">
        <v>10</v>
      </c>
      <c r="E1516" s="2" t="n">
        <v>40688.8006944444</v>
      </c>
      <c r="F1516" s="0" t="n">
        <v>2.69</v>
      </c>
      <c r="G1516" s="0" t="n">
        <v>12747</v>
      </c>
      <c r="H1516" s="3" t="s">
        <v>120</v>
      </c>
      <c r="I1516" s="4" t="n">
        <f aca="false">D1516*F1516</f>
        <v>26.9</v>
      </c>
      <c r="J1516" s="3" t="n">
        <f aca="false">IF(AND(LEFT(A1516,1)&lt;&gt;"C",D1516&gt;0,F1516&gt;0),1,0)</f>
        <v>1</v>
      </c>
      <c r="K1516" s="3" t="n">
        <f aca="false">IF(AND(H1516="United Kingdom",G1516&lt;&gt;"",COUNTIFS($G$2:G1516,G1516,$H$2:H1516,"United Kingdom")=1),1,0)</f>
        <v>0</v>
      </c>
    </row>
    <row r="1517" customFormat="false" ht="15" hidden="false" customHeight="false" outlineLevel="0" collapsed="false">
      <c r="A1517" s="0" t="s">
        <v>363</v>
      </c>
      <c r="B1517" s="0" t="s">
        <v>32</v>
      </c>
      <c r="C1517" s="0" t="s">
        <v>33</v>
      </c>
      <c r="D1517" s="0" t="n">
        <v>15</v>
      </c>
      <c r="E1517" s="2" t="n">
        <v>40688.8006944444</v>
      </c>
      <c r="F1517" s="0" t="n">
        <v>1.19</v>
      </c>
      <c r="G1517" s="0" t="n">
        <v>12747</v>
      </c>
      <c r="H1517" s="3" t="s">
        <v>120</v>
      </c>
      <c r="I1517" s="4" t="n">
        <f aca="false">D1517*F1517</f>
        <v>17.85</v>
      </c>
      <c r="J1517" s="3" t="n">
        <f aca="false">IF(AND(LEFT(A1517,1)&lt;&gt;"C",D1517&gt;0,F1517&gt;0),1,0)</f>
        <v>1</v>
      </c>
      <c r="K1517" s="3" t="n">
        <f aca="false">IF(AND(H1517="United Kingdom",G1517&lt;&gt;"",COUNTIFS($G$2:G1517,G1517,$H$2:H1517,"United Kingdom")=1),1,0)</f>
        <v>0</v>
      </c>
    </row>
    <row r="1518" customFormat="false" ht="15" hidden="false" customHeight="false" outlineLevel="0" collapsed="false">
      <c r="A1518" s="0" t="s">
        <v>363</v>
      </c>
      <c r="B1518" s="0" t="s">
        <v>52</v>
      </c>
      <c r="C1518" s="0" t="s">
        <v>53</v>
      </c>
      <c r="D1518" s="0" t="n">
        <v>3</v>
      </c>
      <c r="E1518" s="2" t="n">
        <v>40688.8006944444</v>
      </c>
      <c r="F1518" s="0" t="n">
        <v>4.16</v>
      </c>
      <c r="G1518" s="0" t="n">
        <v>12747</v>
      </c>
      <c r="H1518" s="3" t="s">
        <v>120</v>
      </c>
      <c r="I1518" s="4" t="n">
        <f aca="false">D1518*F1518</f>
        <v>12.48</v>
      </c>
      <c r="J1518" s="3" t="n">
        <f aca="false">IF(AND(LEFT(A1518,1)&lt;&gt;"C",D1518&gt;0,F1518&gt;0),1,0)</f>
        <v>1</v>
      </c>
      <c r="K1518" s="3" t="n">
        <f aca="false">IF(AND(H1518="United Kingdom",G1518&lt;&gt;"",COUNTIFS($G$2:G1518,G1518,$H$2:H1518,"United Kingdom")=1),1,0)</f>
        <v>0</v>
      </c>
    </row>
    <row r="1519" customFormat="false" ht="15" hidden="false" customHeight="false" outlineLevel="0" collapsed="false">
      <c r="A1519" s="0" t="s">
        <v>363</v>
      </c>
      <c r="B1519" s="0" t="s">
        <v>90</v>
      </c>
      <c r="C1519" s="0" t="s">
        <v>91</v>
      </c>
      <c r="D1519" s="0" t="n">
        <v>3</v>
      </c>
      <c r="E1519" s="2" t="n">
        <v>40688.8006944444</v>
      </c>
      <c r="F1519" s="0" t="n">
        <v>3.04</v>
      </c>
      <c r="G1519" s="0" t="n">
        <v>12747</v>
      </c>
      <c r="H1519" s="3" t="s">
        <v>120</v>
      </c>
      <c r="I1519" s="4" t="n">
        <f aca="false">D1519*F1519</f>
        <v>9.12</v>
      </c>
      <c r="J1519" s="3" t="n">
        <f aca="false">IF(AND(LEFT(A1519,1)&lt;&gt;"C",D1519&gt;0,F1519&gt;0),1,0)</f>
        <v>1</v>
      </c>
      <c r="K1519" s="3" t="n">
        <f aca="false">IF(AND(H1519="United Kingdom",G1519&lt;&gt;"",COUNTIFS($G$2:G1519,G1519,$H$2:H1519,"United Kingdom")=1),1,0)</f>
        <v>0</v>
      </c>
    </row>
    <row r="1520" customFormat="false" ht="15" hidden="false" customHeight="false" outlineLevel="0" collapsed="false">
      <c r="A1520" s="0" t="s">
        <v>363</v>
      </c>
      <c r="B1520" s="0" t="s">
        <v>41</v>
      </c>
      <c r="C1520" s="0" t="s">
        <v>42</v>
      </c>
      <c r="D1520" s="0" t="n">
        <v>2</v>
      </c>
      <c r="E1520" s="2" t="n">
        <v>40688.8006944444</v>
      </c>
      <c r="F1520" s="0" t="n">
        <v>3.28</v>
      </c>
      <c r="G1520" s="0" t="n">
        <v>12747</v>
      </c>
      <c r="H1520" s="3" t="s">
        <v>120</v>
      </c>
      <c r="I1520" s="4" t="n">
        <f aca="false">D1520*F1520</f>
        <v>6.56</v>
      </c>
      <c r="J1520" s="3" t="n">
        <f aca="false">IF(AND(LEFT(A1520,1)&lt;&gt;"C",D1520&gt;0,F1520&gt;0),1,0)</f>
        <v>1</v>
      </c>
      <c r="K1520" s="3" t="n">
        <f aca="false">IF(AND(H1520="United Kingdom",G1520&lt;&gt;"",COUNTIFS($G$2:G1520,G1520,$H$2:H1520,"United Kingdom")=1),1,0)</f>
        <v>0</v>
      </c>
    </row>
    <row r="1521" customFormat="false" ht="15" hidden="false" customHeight="false" outlineLevel="0" collapsed="false">
      <c r="A1521" s="0" t="s">
        <v>363</v>
      </c>
      <c r="B1521" s="0" t="s">
        <v>12</v>
      </c>
      <c r="C1521" s="0" t="s">
        <v>13</v>
      </c>
      <c r="D1521" s="0" t="n">
        <v>10</v>
      </c>
      <c r="E1521" s="2" t="n">
        <v>40688.8006944444</v>
      </c>
      <c r="F1521" s="0" t="n">
        <v>3.33</v>
      </c>
      <c r="G1521" s="0" t="n">
        <v>12747</v>
      </c>
      <c r="H1521" s="3" t="s">
        <v>120</v>
      </c>
      <c r="I1521" s="4" t="n">
        <f aca="false">D1521*F1521</f>
        <v>33.3</v>
      </c>
      <c r="J1521" s="3" t="n">
        <f aca="false">IF(AND(LEFT(A1521,1)&lt;&gt;"C",D1521&gt;0,F1521&gt;0),1,0)</f>
        <v>1</v>
      </c>
      <c r="K1521" s="3" t="n">
        <f aca="false">IF(AND(H1521="United Kingdom",G1521&lt;&gt;"",COUNTIFS($G$2:G1521,G1521,$H$2:H1521,"United Kingdom")=1),1,0)</f>
        <v>0</v>
      </c>
    </row>
    <row r="1522" customFormat="false" ht="15" hidden="false" customHeight="false" outlineLevel="0" collapsed="false">
      <c r="A1522" s="0" t="s">
        <v>364</v>
      </c>
      <c r="B1522" s="0" t="s">
        <v>65</v>
      </c>
      <c r="C1522" s="0" t="s">
        <v>66</v>
      </c>
      <c r="D1522" s="0" t="n">
        <v>8</v>
      </c>
      <c r="E1522" s="2" t="n">
        <v>40689.7569444445</v>
      </c>
      <c r="F1522" s="0" t="n">
        <v>4.75</v>
      </c>
      <c r="G1522" s="0" t="n">
        <v>16465</v>
      </c>
      <c r="H1522" s="3" t="s">
        <v>14</v>
      </c>
      <c r="I1522" s="4" t="n">
        <f aca="false">D1522*F1522</f>
        <v>38</v>
      </c>
      <c r="J1522" s="3" t="n">
        <f aca="false">IF(AND(LEFT(A1522,1)&lt;&gt;"C",D1522&gt;0,F1522&gt;0),1,0)</f>
        <v>1</v>
      </c>
      <c r="K1522" s="3" t="n">
        <f aca="false">IF(AND(H1522="United Kingdom",G1522&lt;&gt;"",COUNTIFS($G$2:G1522,G1522,$H$2:H1522,"United Kingdom")=1),1,0)</f>
        <v>0</v>
      </c>
    </row>
    <row r="1523" customFormat="false" ht="15" hidden="false" customHeight="false" outlineLevel="0" collapsed="false">
      <c r="A1523" s="0" t="s">
        <v>364</v>
      </c>
      <c r="B1523" s="0" t="s">
        <v>48</v>
      </c>
      <c r="C1523" s="0" t="s">
        <v>49</v>
      </c>
      <c r="D1523" s="0" t="n">
        <v>4</v>
      </c>
      <c r="E1523" s="2" t="n">
        <v>40689.7569444445</v>
      </c>
      <c r="F1523" s="0" t="n">
        <v>1.35</v>
      </c>
      <c r="G1523" s="0" t="n">
        <v>16465</v>
      </c>
      <c r="H1523" s="3" t="s">
        <v>14</v>
      </c>
      <c r="I1523" s="4" t="n">
        <f aca="false">D1523*F1523</f>
        <v>5.4</v>
      </c>
      <c r="J1523" s="3" t="n">
        <f aca="false">IF(AND(LEFT(A1523,1)&lt;&gt;"C",D1523&gt;0,F1523&gt;0),1,0)</f>
        <v>1</v>
      </c>
      <c r="K1523" s="3" t="n">
        <f aca="false">IF(AND(H1523="United Kingdom",G1523&lt;&gt;"",COUNTIFS($G$2:G1523,G1523,$H$2:H1523,"United Kingdom")=1),1,0)</f>
        <v>0</v>
      </c>
    </row>
    <row r="1524" customFormat="false" ht="15" hidden="false" customHeight="false" outlineLevel="0" collapsed="false">
      <c r="A1524" s="0" t="s">
        <v>364</v>
      </c>
      <c r="B1524" s="0" t="s">
        <v>68</v>
      </c>
      <c r="C1524" s="0" t="s">
        <v>69</v>
      </c>
      <c r="D1524" s="0" t="n">
        <v>1</v>
      </c>
      <c r="E1524" s="2" t="n">
        <v>40689.7569444445</v>
      </c>
      <c r="F1524" s="0" t="n">
        <v>1.26</v>
      </c>
      <c r="G1524" s="0" t="n">
        <v>16465</v>
      </c>
      <c r="H1524" s="3" t="s">
        <v>14</v>
      </c>
      <c r="I1524" s="4" t="n">
        <f aca="false">D1524*F1524</f>
        <v>1.26</v>
      </c>
      <c r="J1524" s="3" t="n">
        <f aca="false">IF(AND(LEFT(A1524,1)&lt;&gt;"C",D1524&gt;0,F1524&gt;0),1,0)</f>
        <v>1</v>
      </c>
      <c r="K1524" s="3" t="n">
        <f aca="false">IF(AND(H1524="United Kingdom",G1524&lt;&gt;"",COUNTIFS($G$2:G1524,G1524,$H$2:H1524,"United Kingdom")=1),1,0)</f>
        <v>0</v>
      </c>
    </row>
    <row r="1525" customFormat="false" ht="15" hidden="false" customHeight="false" outlineLevel="0" collapsed="false">
      <c r="A1525" s="0" t="s">
        <v>364</v>
      </c>
      <c r="B1525" s="0" t="s">
        <v>54</v>
      </c>
      <c r="C1525" s="0" t="s">
        <v>55</v>
      </c>
      <c r="D1525" s="0" t="n">
        <v>2</v>
      </c>
      <c r="E1525" s="2" t="n">
        <v>40689.7569444445</v>
      </c>
      <c r="F1525" s="0" t="n">
        <v>0.99</v>
      </c>
      <c r="G1525" s="0" t="n">
        <v>16465</v>
      </c>
      <c r="H1525" s="3" t="s">
        <v>14</v>
      </c>
      <c r="I1525" s="4" t="n">
        <f aca="false">D1525*F1525</f>
        <v>1.98</v>
      </c>
      <c r="J1525" s="3" t="n">
        <f aca="false">IF(AND(LEFT(A1525,1)&lt;&gt;"C",D1525&gt;0,F1525&gt;0),1,0)</f>
        <v>1</v>
      </c>
      <c r="K1525" s="3" t="n">
        <f aca="false">IF(AND(H1525="United Kingdom",G1525&lt;&gt;"",COUNTIFS($G$2:G1525,G1525,$H$2:H1525,"United Kingdom")=1),1,0)</f>
        <v>0</v>
      </c>
    </row>
    <row r="1526" customFormat="false" ht="15" hidden="false" customHeight="false" outlineLevel="0" collapsed="false">
      <c r="A1526" s="0" t="s">
        <v>364</v>
      </c>
      <c r="B1526" s="0" t="s">
        <v>29</v>
      </c>
      <c r="C1526" s="0" t="s">
        <v>30</v>
      </c>
      <c r="D1526" s="0" t="n">
        <v>4</v>
      </c>
      <c r="E1526" s="2" t="n">
        <v>40689.7569444445</v>
      </c>
      <c r="F1526" s="0" t="n">
        <v>5.79</v>
      </c>
      <c r="G1526" s="0" t="n">
        <v>16465</v>
      </c>
      <c r="H1526" s="3" t="s">
        <v>14</v>
      </c>
      <c r="I1526" s="4" t="n">
        <f aca="false">D1526*F1526</f>
        <v>23.16</v>
      </c>
      <c r="J1526" s="3" t="n">
        <f aca="false">IF(AND(LEFT(A1526,1)&lt;&gt;"C",D1526&gt;0,F1526&gt;0),1,0)</f>
        <v>1</v>
      </c>
      <c r="K1526" s="3" t="n">
        <f aca="false">IF(AND(H1526="United Kingdom",G1526&lt;&gt;"",COUNTIFS($G$2:G1526,G1526,$H$2:H1526,"United Kingdom")=1),1,0)</f>
        <v>0</v>
      </c>
    </row>
    <row r="1527" customFormat="false" ht="15" hidden="false" customHeight="false" outlineLevel="0" collapsed="false">
      <c r="A1527" s="0" t="s">
        <v>364</v>
      </c>
      <c r="B1527" s="0" t="s">
        <v>17</v>
      </c>
      <c r="C1527" s="0" t="s">
        <v>18</v>
      </c>
      <c r="D1527" s="0" t="n">
        <v>12</v>
      </c>
      <c r="E1527" s="2" t="n">
        <v>40689.7569444445</v>
      </c>
      <c r="F1527" s="0" t="n">
        <v>1.92</v>
      </c>
      <c r="G1527" s="0" t="n">
        <v>16465</v>
      </c>
      <c r="H1527" s="3" t="s">
        <v>14</v>
      </c>
      <c r="I1527" s="4" t="n">
        <f aca="false">D1527*F1527</f>
        <v>23.04</v>
      </c>
      <c r="J1527" s="3" t="n">
        <f aca="false">IF(AND(LEFT(A1527,1)&lt;&gt;"C",D1527&gt;0,F1527&gt;0),1,0)</f>
        <v>1</v>
      </c>
      <c r="K1527" s="3" t="n">
        <f aca="false">IF(AND(H1527="United Kingdom",G1527&lt;&gt;"",COUNTIFS($G$2:G1527,G1527,$H$2:H1527,"United Kingdom")=1),1,0)</f>
        <v>0</v>
      </c>
    </row>
    <row r="1528" customFormat="false" ht="15" hidden="false" customHeight="false" outlineLevel="0" collapsed="false">
      <c r="A1528" s="0" t="s">
        <v>364</v>
      </c>
      <c r="B1528" s="0" t="s">
        <v>52</v>
      </c>
      <c r="C1528" s="0" t="s">
        <v>53</v>
      </c>
      <c r="D1528" s="0" t="n">
        <v>6</v>
      </c>
      <c r="E1528" s="2" t="n">
        <v>40689.7569444445</v>
      </c>
      <c r="F1528" s="0" t="n">
        <v>4.16</v>
      </c>
      <c r="G1528" s="0" t="n">
        <v>16465</v>
      </c>
      <c r="H1528" s="3" t="s">
        <v>14</v>
      </c>
      <c r="I1528" s="4" t="n">
        <f aca="false">D1528*F1528</f>
        <v>24.96</v>
      </c>
      <c r="J1528" s="3" t="n">
        <f aca="false">IF(AND(LEFT(A1528,1)&lt;&gt;"C",D1528&gt;0,F1528&gt;0),1,0)</f>
        <v>1</v>
      </c>
      <c r="K1528" s="3" t="n">
        <f aca="false">IF(AND(H1528="United Kingdom",G1528&lt;&gt;"",COUNTIFS($G$2:G1528,G1528,$H$2:H1528,"United Kingdom")=1),1,0)</f>
        <v>0</v>
      </c>
    </row>
    <row r="1529" customFormat="false" ht="15" hidden="false" customHeight="false" outlineLevel="0" collapsed="false">
      <c r="A1529" s="0" t="s">
        <v>364</v>
      </c>
      <c r="B1529" s="0" t="s">
        <v>20</v>
      </c>
      <c r="C1529" s="0" t="s">
        <v>21</v>
      </c>
      <c r="D1529" s="0" t="n">
        <v>4</v>
      </c>
      <c r="E1529" s="2" t="n">
        <v>40689.7569444445</v>
      </c>
      <c r="F1529" s="0" t="n">
        <v>4.24</v>
      </c>
      <c r="G1529" s="0" t="n">
        <v>16465</v>
      </c>
      <c r="H1529" s="3" t="s">
        <v>14</v>
      </c>
      <c r="I1529" s="4" t="n">
        <f aca="false">D1529*F1529</f>
        <v>16.96</v>
      </c>
      <c r="J1529" s="3" t="n">
        <f aca="false">IF(AND(LEFT(A1529,1)&lt;&gt;"C",D1529&gt;0,F1529&gt;0),1,0)</f>
        <v>1</v>
      </c>
      <c r="K1529" s="3" t="n">
        <f aca="false">IF(AND(H1529="United Kingdom",G1529&lt;&gt;"",COUNTIFS($G$2:G1529,G1529,$H$2:H1529,"United Kingdom")=1),1,0)</f>
        <v>0</v>
      </c>
    </row>
    <row r="1530" customFormat="false" ht="15" hidden="false" customHeight="false" outlineLevel="0" collapsed="false">
      <c r="A1530" s="0" t="s">
        <v>364</v>
      </c>
      <c r="B1530" s="0" t="s">
        <v>72</v>
      </c>
      <c r="C1530" s="0" t="s">
        <v>73</v>
      </c>
      <c r="D1530" s="0" t="n">
        <v>2</v>
      </c>
      <c r="E1530" s="2" t="n">
        <v>40689.7569444445</v>
      </c>
      <c r="F1530" s="0" t="n">
        <v>2.69</v>
      </c>
      <c r="G1530" s="0" t="n">
        <v>16465</v>
      </c>
      <c r="H1530" s="3" t="s">
        <v>14</v>
      </c>
      <c r="I1530" s="4" t="n">
        <f aca="false">D1530*F1530</f>
        <v>5.38</v>
      </c>
      <c r="J1530" s="3" t="n">
        <f aca="false">IF(AND(LEFT(A1530,1)&lt;&gt;"C",D1530&gt;0,F1530&gt;0),1,0)</f>
        <v>1</v>
      </c>
      <c r="K1530" s="3" t="n">
        <f aca="false">IF(AND(H1530="United Kingdom",G1530&lt;&gt;"",COUNTIFS($G$2:G1530,G1530,$H$2:H1530,"United Kingdom")=1),1,0)</f>
        <v>0</v>
      </c>
    </row>
    <row r="1531" customFormat="false" ht="15" hidden="false" customHeight="false" outlineLevel="0" collapsed="false">
      <c r="A1531" s="0" t="s">
        <v>364</v>
      </c>
      <c r="B1531" s="0" t="s">
        <v>90</v>
      </c>
      <c r="C1531" s="0" t="s">
        <v>91</v>
      </c>
      <c r="D1531" s="0" t="n">
        <v>6</v>
      </c>
      <c r="E1531" s="2" t="n">
        <v>40689.7569444445</v>
      </c>
      <c r="F1531" s="0" t="n">
        <v>3.04</v>
      </c>
      <c r="G1531" s="0" t="n">
        <v>16465</v>
      </c>
      <c r="H1531" s="3" t="s">
        <v>14</v>
      </c>
      <c r="I1531" s="4" t="n">
        <f aca="false">D1531*F1531</f>
        <v>18.24</v>
      </c>
      <c r="J1531" s="3" t="n">
        <f aca="false">IF(AND(LEFT(A1531,1)&lt;&gt;"C",D1531&gt;0,F1531&gt;0),1,0)</f>
        <v>1</v>
      </c>
      <c r="K1531" s="3" t="n">
        <f aca="false">IF(AND(H1531="United Kingdom",G1531&lt;&gt;"",COUNTIFS($G$2:G1531,G1531,$H$2:H1531,"United Kingdom")=1),1,0)</f>
        <v>0</v>
      </c>
    </row>
    <row r="1532" customFormat="false" ht="15" hidden="false" customHeight="false" outlineLevel="0" collapsed="false">
      <c r="A1532" s="0" t="s">
        <v>364</v>
      </c>
      <c r="B1532" s="0" t="s">
        <v>34</v>
      </c>
      <c r="C1532" s="0" t="s">
        <v>35</v>
      </c>
      <c r="D1532" s="0" t="n">
        <v>4</v>
      </c>
      <c r="E1532" s="2" t="n">
        <v>40689.7569444445</v>
      </c>
      <c r="F1532" s="0" t="n">
        <v>2.38</v>
      </c>
      <c r="G1532" s="0" t="n">
        <v>16465</v>
      </c>
      <c r="H1532" s="3" t="s">
        <v>14</v>
      </c>
      <c r="I1532" s="4" t="n">
        <f aca="false">D1532*F1532</f>
        <v>9.52</v>
      </c>
      <c r="J1532" s="3" t="n">
        <f aca="false">IF(AND(LEFT(A1532,1)&lt;&gt;"C",D1532&gt;0,F1532&gt;0),1,0)</f>
        <v>1</v>
      </c>
      <c r="K1532" s="3" t="n">
        <f aca="false">IF(AND(H1532="United Kingdom",G1532&lt;&gt;"",COUNTIFS($G$2:G1532,G1532,$H$2:H1532,"United Kingdom")=1),1,0)</f>
        <v>0</v>
      </c>
    </row>
    <row r="1533" customFormat="false" ht="15" hidden="false" customHeight="false" outlineLevel="0" collapsed="false">
      <c r="A1533" s="0" t="s">
        <v>364</v>
      </c>
      <c r="B1533" s="0" t="s">
        <v>50</v>
      </c>
      <c r="C1533" s="0" t="s">
        <v>51</v>
      </c>
      <c r="D1533" s="0" t="n">
        <v>2</v>
      </c>
      <c r="E1533" s="2" t="n">
        <v>40689.7569444445</v>
      </c>
      <c r="F1533" s="0" t="n">
        <v>5.41</v>
      </c>
      <c r="G1533" s="0" t="n">
        <v>16465</v>
      </c>
      <c r="H1533" s="3" t="s">
        <v>14</v>
      </c>
      <c r="I1533" s="4" t="n">
        <f aca="false">D1533*F1533</f>
        <v>10.82</v>
      </c>
      <c r="J1533" s="3" t="n">
        <f aca="false">IF(AND(LEFT(A1533,1)&lt;&gt;"C",D1533&gt;0,F1533&gt;0),1,0)</f>
        <v>1</v>
      </c>
      <c r="K1533" s="3" t="n">
        <f aca="false">IF(AND(H1533="United Kingdom",G1533&lt;&gt;"",COUNTIFS($G$2:G1533,G1533,$H$2:H1533,"United Kingdom")=1),1,0)</f>
        <v>0</v>
      </c>
    </row>
    <row r="1534" customFormat="false" ht="15" hidden="false" customHeight="false" outlineLevel="0" collapsed="false">
      <c r="A1534" s="0" t="s">
        <v>364</v>
      </c>
      <c r="B1534" s="0" t="s">
        <v>41</v>
      </c>
      <c r="C1534" s="0" t="s">
        <v>42</v>
      </c>
      <c r="D1534" s="0" t="n">
        <v>16</v>
      </c>
      <c r="E1534" s="2" t="n">
        <v>40689.7569444445</v>
      </c>
      <c r="F1534" s="0" t="n">
        <v>3.28</v>
      </c>
      <c r="G1534" s="0" t="n">
        <v>16465</v>
      </c>
      <c r="H1534" s="3" t="s">
        <v>14</v>
      </c>
      <c r="I1534" s="4" t="n">
        <f aca="false">D1534*F1534</f>
        <v>52.48</v>
      </c>
      <c r="J1534" s="3" t="n">
        <f aca="false">IF(AND(LEFT(A1534,1)&lt;&gt;"C",D1534&gt;0,F1534&gt;0),1,0)</f>
        <v>1</v>
      </c>
      <c r="K1534" s="3" t="n">
        <f aca="false">IF(AND(H1534="United Kingdom",G1534&lt;&gt;"",COUNTIFS($G$2:G1534,G1534,$H$2:H1534,"United Kingdom")=1),1,0)</f>
        <v>0</v>
      </c>
    </row>
    <row r="1535" customFormat="false" ht="15" hidden="false" customHeight="false" outlineLevel="0" collapsed="false">
      <c r="A1535" s="0" t="s">
        <v>364</v>
      </c>
      <c r="B1535" s="0" t="s">
        <v>37</v>
      </c>
      <c r="C1535" s="0" t="s">
        <v>38</v>
      </c>
      <c r="D1535" s="0" t="n">
        <v>6</v>
      </c>
      <c r="E1535" s="2" t="n">
        <v>40689.7569444445</v>
      </c>
      <c r="F1535" s="0" t="n">
        <v>1.82</v>
      </c>
      <c r="G1535" s="0" t="n">
        <v>16465</v>
      </c>
      <c r="H1535" s="3" t="s">
        <v>14</v>
      </c>
      <c r="I1535" s="4" t="n">
        <f aca="false">D1535*F1535</f>
        <v>10.92</v>
      </c>
      <c r="J1535" s="3" t="n">
        <f aca="false">IF(AND(LEFT(A1535,1)&lt;&gt;"C",D1535&gt;0,F1535&gt;0),1,0)</f>
        <v>1</v>
      </c>
      <c r="K1535" s="3" t="n">
        <f aca="false">IF(AND(H1535="United Kingdom",G1535&lt;&gt;"",COUNTIFS($G$2:G1535,G1535,$H$2:H1535,"United Kingdom")=1),1,0)</f>
        <v>0</v>
      </c>
    </row>
    <row r="1536" customFormat="false" ht="15" hidden="false" customHeight="false" outlineLevel="0" collapsed="false">
      <c r="A1536" s="0" t="s">
        <v>364</v>
      </c>
      <c r="B1536" s="0" t="s">
        <v>22</v>
      </c>
      <c r="C1536" s="0" t="s">
        <v>23</v>
      </c>
      <c r="D1536" s="0" t="n">
        <v>8</v>
      </c>
      <c r="E1536" s="2" t="n">
        <v>40689.7569444445</v>
      </c>
      <c r="F1536" s="0" t="n">
        <v>3.18</v>
      </c>
      <c r="G1536" s="0" t="n">
        <v>16465</v>
      </c>
      <c r="H1536" s="3" t="s">
        <v>14</v>
      </c>
      <c r="I1536" s="4" t="n">
        <f aca="false">D1536*F1536</f>
        <v>25.44</v>
      </c>
      <c r="J1536" s="3" t="n">
        <f aca="false">IF(AND(LEFT(A1536,1)&lt;&gt;"C",D1536&gt;0,F1536&gt;0),1,0)</f>
        <v>1</v>
      </c>
      <c r="K1536" s="3" t="n">
        <f aca="false">IF(AND(H1536="United Kingdom",G1536&lt;&gt;"",COUNTIFS($G$2:G1536,G1536,$H$2:H1536,"United Kingdom")=1),1,0)</f>
        <v>0</v>
      </c>
    </row>
    <row r="1537" customFormat="false" ht="15" hidden="false" customHeight="false" outlineLevel="0" collapsed="false">
      <c r="A1537" s="0" t="s">
        <v>364</v>
      </c>
      <c r="B1537" s="0" t="s">
        <v>60</v>
      </c>
      <c r="C1537" s="0" t="s">
        <v>61</v>
      </c>
      <c r="D1537" s="0" t="n">
        <v>6</v>
      </c>
      <c r="E1537" s="2" t="n">
        <v>40689.7569444445</v>
      </c>
      <c r="F1537" s="0" t="n">
        <v>0.63</v>
      </c>
      <c r="G1537" s="0" t="n">
        <v>16465</v>
      </c>
      <c r="H1537" s="3" t="s">
        <v>14</v>
      </c>
      <c r="I1537" s="4" t="n">
        <f aca="false">D1537*F1537</f>
        <v>3.78</v>
      </c>
      <c r="J1537" s="3" t="n">
        <f aca="false">IF(AND(LEFT(A1537,1)&lt;&gt;"C",D1537&gt;0,F1537&gt;0),1,0)</f>
        <v>1</v>
      </c>
      <c r="K1537" s="3" t="n">
        <f aca="false">IF(AND(H1537="United Kingdom",G1537&lt;&gt;"",COUNTIFS($G$2:G1537,G1537,$H$2:H1537,"United Kingdom")=1),1,0)</f>
        <v>0</v>
      </c>
    </row>
    <row r="1538" customFormat="false" ht="15" hidden="false" customHeight="false" outlineLevel="0" collapsed="false">
      <c r="A1538" s="0" t="s">
        <v>364</v>
      </c>
      <c r="B1538" s="0" t="s">
        <v>113</v>
      </c>
      <c r="C1538" s="0" t="s">
        <v>114</v>
      </c>
      <c r="D1538" s="0" t="n">
        <v>1</v>
      </c>
      <c r="E1538" s="2" t="n">
        <v>40689.7569444445</v>
      </c>
      <c r="F1538" s="0" t="n">
        <v>3.57</v>
      </c>
      <c r="G1538" s="0" t="n">
        <v>16465</v>
      </c>
      <c r="H1538" s="3" t="s">
        <v>14</v>
      </c>
      <c r="I1538" s="4" t="n">
        <f aca="false">D1538*F1538</f>
        <v>3.57</v>
      </c>
      <c r="J1538" s="3" t="n">
        <f aca="false">IF(AND(LEFT(A1538,1)&lt;&gt;"C",D1538&gt;0,F1538&gt;0),1,0)</f>
        <v>1</v>
      </c>
      <c r="K1538" s="3" t="n">
        <f aca="false">IF(AND(H1538="United Kingdom",G1538&lt;&gt;"",COUNTIFS($G$2:G1538,G1538,$H$2:H1538,"United Kingdom")=1),1,0)</f>
        <v>0</v>
      </c>
    </row>
    <row r="1539" customFormat="false" ht="15" hidden="false" customHeight="false" outlineLevel="0" collapsed="false">
      <c r="A1539" s="0" t="s">
        <v>364</v>
      </c>
      <c r="B1539" s="0" t="s">
        <v>77</v>
      </c>
      <c r="C1539" s="0" t="s">
        <v>78</v>
      </c>
      <c r="D1539" s="0" t="n">
        <v>3</v>
      </c>
      <c r="E1539" s="2" t="n">
        <v>40689.7569444445</v>
      </c>
      <c r="F1539" s="0" t="n">
        <v>3.41</v>
      </c>
      <c r="G1539" s="0" t="n">
        <v>16465</v>
      </c>
      <c r="H1539" s="3" t="s">
        <v>14</v>
      </c>
      <c r="I1539" s="4" t="n">
        <f aca="false">D1539*F1539</f>
        <v>10.23</v>
      </c>
      <c r="J1539" s="3" t="n">
        <f aca="false">IF(AND(LEFT(A1539,1)&lt;&gt;"C",D1539&gt;0,F1539&gt;0),1,0)</f>
        <v>1</v>
      </c>
      <c r="K1539" s="3" t="n">
        <f aca="false">IF(AND(H1539="United Kingdom",G1539&lt;&gt;"",COUNTIFS($G$2:G1539,G1539,$H$2:H1539,"United Kingdom")=1),1,0)</f>
        <v>0</v>
      </c>
    </row>
    <row r="1540" customFormat="false" ht="15" hidden="false" customHeight="false" outlineLevel="0" collapsed="false">
      <c r="A1540" s="0" t="s">
        <v>364</v>
      </c>
      <c r="B1540" s="0" t="s">
        <v>43</v>
      </c>
      <c r="C1540" s="0" t="s">
        <v>44</v>
      </c>
      <c r="D1540" s="0" t="n">
        <v>16</v>
      </c>
      <c r="E1540" s="2" t="n">
        <v>40689.7569444445</v>
      </c>
      <c r="F1540" s="0" t="n">
        <v>1.35</v>
      </c>
      <c r="G1540" s="0" t="n">
        <v>16465</v>
      </c>
      <c r="H1540" s="3" t="s">
        <v>14</v>
      </c>
      <c r="I1540" s="4" t="n">
        <f aca="false">D1540*F1540</f>
        <v>21.6</v>
      </c>
      <c r="J1540" s="3" t="n">
        <f aca="false">IF(AND(LEFT(A1540,1)&lt;&gt;"C",D1540&gt;0,F1540&gt;0),1,0)</f>
        <v>1</v>
      </c>
      <c r="K1540" s="3" t="n">
        <f aca="false">IF(AND(H1540="United Kingdom",G1540&lt;&gt;"",COUNTIFS($G$2:G1540,G1540,$H$2:H1540,"United Kingdom")=1),1,0)</f>
        <v>0</v>
      </c>
    </row>
    <row r="1541" customFormat="false" ht="15" hidden="false" customHeight="false" outlineLevel="0" collapsed="false">
      <c r="A1541" s="0" t="s">
        <v>364</v>
      </c>
      <c r="B1541" s="0" t="s">
        <v>32</v>
      </c>
      <c r="C1541" s="0" t="s">
        <v>33</v>
      </c>
      <c r="D1541" s="0" t="n">
        <v>4</v>
      </c>
      <c r="E1541" s="2" t="n">
        <v>40689.7569444445</v>
      </c>
      <c r="F1541" s="0" t="n">
        <v>1.19</v>
      </c>
      <c r="G1541" s="0" t="n">
        <v>16465</v>
      </c>
      <c r="H1541" s="3" t="s">
        <v>14</v>
      </c>
      <c r="I1541" s="4" t="n">
        <f aca="false">D1541*F1541</f>
        <v>4.76</v>
      </c>
      <c r="J1541" s="3" t="n">
        <f aca="false">IF(AND(LEFT(A1541,1)&lt;&gt;"C",D1541&gt;0,F1541&gt;0),1,0)</f>
        <v>1</v>
      </c>
      <c r="K1541" s="3" t="n">
        <f aca="false">IF(AND(H1541="United Kingdom",G1541&lt;&gt;"",COUNTIFS($G$2:G1541,G1541,$H$2:H1541,"United Kingdom")=1),1,0)</f>
        <v>0</v>
      </c>
    </row>
    <row r="1542" customFormat="false" ht="15" hidden="false" customHeight="false" outlineLevel="0" collapsed="false">
      <c r="A1542" s="0" t="s">
        <v>364</v>
      </c>
      <c r="B1542" s="0" t="s">
        <v>12</v>
      </c>
      <c r="C1542" s="0" t="s">
        <v>13</v>
      </c>
      <c r="D1542" s="0" t="n">
        <v>3</v>
      </c>
      <c r="E1542" s="2" t="n">
        <v>40689.7569444445</v>
      </c>
      <c r="F1542" s="0" t="n">
        <v>3.33</v>
      </c>
      <c r="G1542" s="0" t="n">
        <v>16465</v>
      </c>
      <c r="H1542" s="3" t="s">
        <v>14</v>
      </c>
      <c r="I1542" s="4" t="n">
        <f aca="false">D1542*F1542</f>
        <v>9.99</v>
      </c>
      <c r="J1542" s="3" t="n">
        <f aca="false">IF(AND(LEFT(A1542,1)&lt;&gt;"C",D1542&gt;0,F1542&gt;0),1,0)</f>
        <v>1</v>
      </c>
      <c r="K1542" s="3" t="n">
        <f aca="false">IF(AND(H1542="United Kingdom",G1542&lt;&gt;"",COUNTIFS($G$2:G1542,G1542,$H$2:H1542,"United Kingdom")=1),1,0)</f>
        <v>0</v>
      </c>
    </row>
    <row r="1543" customFormat="false" ht="15" hidden="false" customHeight="false" outlineLevel="0" collapsed="false">
      <c r="A1543" s="0" t="s">
        <v>365</v>
      </c>
      <c r="B1543" s="0" t="s">
        <v>39</v>
      </c>
      <c r="C1543" s="0" t="s">
        <v>40</v>
      </c>
      <c r="D1543" s="0" t="n">
        <v>24</v>
      </c>
      <c r="E1543" s="2" t="n">
        <v>40691.4972222222</v>
      </c>
      <c r="F1543" s="0" t="n">
        <v>2.58</v>
      </c>
      <c r="G1543" s="0" t="n">
        <v>13445</v>
      </c>
      <c r="H1543" s="3" t="s">
        <v>14</v>
      </c>
      <c r="I1543" s="4" t="n">
        <f aca="false">D1543*F1543</f>
        <v>61.92</v>
      </c>
      <c r="J1543" s="3" t="n">
        <f aca="false">IF(AND(LEFT(A1543,1)&lt;&gt;"C",D1543&gt;0,F1543&gt;0),1,0)</f>
        <v>1</v>
      </c>
      <c r="K1543" s="3" t="n">
        <f aca="false">IF(AND(H1543="United Kingdom",G1543&lt;&gt;"",COUNTIFS($G$2:G1543,G1543,$H$2:H1543,"United Kingdom")=1),1,0)</f>
        <v>1</v>
      </c>
    </row>
    <row r="1544" customFormat="false" ht="15" hidden="false" customHeight="false" outlineLevel="0" collapsed="false">
      <c r="A1544" s="0" t="s">
        <v>365</v>
      </c>
      <c r="B1544" s="0" t="s">
        <v>90</v>
      </c>
      <c r="C1544" s="0" t="s">
        <v>91</v>
      </c>
      <c r="D1544" s="0" t="n">
        <v>216</v>
      </c>
      <c r="E1544" s="2" t="n">
        <v>40691.4972222222</v>
      </c>
      <c r="F1544" s="0" t="n">
        <v>3.04</v>
      </c>
      <c r="G1544" s="0" t="n">
        <v>13445</v>
      </c>
      <c r="H1544" s="3" t="s">
        <v>14</v>
      </c>
      <c r="I1544" s="4" t="n">
        <f aca="false">D1544*F1544</f>
        <v>656.64</v>
      </c>
      <c r="J1544" s="3" t="n">
        <f aca="false">IF(AND(LEFT(A1544,1)&lt;&gt;"C",D1544&gt;0,F1544&gt;0),1,0)</f>
        <v>1</v>
      </c>
      <c r="K1544" s="3" t="n">
        <f aca="false">IF(AND(H1544="United Kingdom",G1544&lt;&gt;"",COUNTIFS($G$2:G1544,G1544,$H$2:H1544,"United Kingdom")=1),1,0)</f>
        <v>0</v>
      </c>
    </row>
    <row r="1545" customFormat="false" ht="15" hidden="false" customHeight="false" outlineLevel="0" collapsed="false">
      <c r="A1545" s="0" t="s">
        <v>365</v>
      </c>
      <c r="B1545" s="0" t="s">
        <v>22</v>
      </c>
      <c r="C1545" s="0" t="s">
        <v>23</v>
      </c>
      <c r="D1545" s="0" t="n">
        <v>72</v>
      </c>
      <c r="E1545" s="2" t="n">
        <v>40691.4972222222</v>
      </c>
      <c r="F1545" s="0" t="n">
        <v>3.18</v>
      </c>
      <c r="G1545" s="0" t="n">
        <v>13445</v>
      </c>
      <c r="H1545" s="3" t="s">
        <v>14</v>
      </c>
      <c r="I1545" s="4" t="n">
        <f aca="false">D1545*F1545</f>
        <v>228.96</v>
      </c>
      <c r="J1545" s="3" t="n">
        <f aca="false">IF(AND(LEFT(A1545,1)&lt;&gt;"C",D1545&gt;0,F1545&gt;0),1,0)</f>
        <v>1</v>
      </c>
      <c r="K1545" s="3" t="n">
        <f aca="false">IF(AND(H1545="United Kingdom",G1545&lt;&gt;"",COUNTIFS($G$2:G1545,G1545,$H$2:H1545,"United Kingdom")=1),1,0)</f>
        <v>0</v>
      </c>
    </row>
    <row r="1546" customFormat="false" ht="15" hidden="false" customHeight="false" outlineLevel="0" collapsed="false">
      <c r="A1546" s="0" t="s">
        <v>366</v>
      </c>
      <c r="B1546" s="0" t="s">
        <v>58</v>
      </c>
      <c r="C1546" s="0" t="s">
        <v>59</v>
      </c>
      <c r="D1546" s="0" t="n">
        <v>4</v>
      </c>
      <c r="E1546" s="2" t="n">
        <v>40691.7597222222</v>
      </c>
      <c r="F1546" s="0" t="n">
        <v>2.16</v>
      </c>
      <c r="H1546" s="3" t="s">
        <v>14</v>
      </c>
      <c r="I1546" s="4" t="n">
        <f aca="false">D1546*F1546</f>
        <v>8.64</v>
      </c>
      <c r="J1546" s="3" t="n">
        <f aca="false">IF(AND(LEFT(A1546,1)&lt;&gt;"C",D1546&gt;0,F1546&gt;0),1,0)</f>
        <v>1</v>
      </c>
      <c r="K1546" s="3" t="n">
        <f aca="false">IF(AND(H1546="United Kingdom",G1546&lt;&gt;"",COUNTIFS($G$2:G1546,G1546,$H$2:H1546,"United Kingdom")=1),1,0)</f>
        <v>0</v>
      </c>
    </row>
    <row r="1547" customFormat="false" ht="15" hidden="false" customHeight="false" outlineLevel="0" collapsed="false">
      <c r="A1547" s="0" t="s">
        <v>366</v>
      </c>
      <c r="B1547" s="0" t="s">
        <v>27</v>
      </c>
      <c r="C1547" s="0" t="s">
        <v>28</v>
      </c>
      <c r="D1547" s="0" t="n">
        <v>6</v>
      </c>
      <c r="E1547" s="2" t="n">
        <v>40691.7597222222</v>
      </c>
      <c r="F1547" s="0" t="n">
        <v>4.55</v>
      </c>
      <c r="H1547" s="3" t="s">
        <v>14</v>
      </c>
      <c r="I1547" s="4" t="n">
        <f aca="false">D1547*F1547</f>
        <v>27.3</v>
      </c>
      <c r="J1547" s="3" t="n">
        <f aca="false">IF(AND(LEFT(A1547,1)&lt;&gt;"C",D1547&gt;0,F1547&gt;0),1,0)</f>
        <v>1</v>
      </c>
      <c r="K1547" s="3" t="n">
        <f aca="false">IF(AND(H1547="United Kingdom",G1547&lt;&gt;"",COUNTIFS($G$2:G1547,G1547,$H$2:H1547,"United Kingdom")=1),1,0)</f>
        <v>0</v>
      </c>
    </row>
    <row r="1548" customFormat="false" ht="15" hidden="false" customHeight="false" outlineLevel="0" collapsed="false">
      <c r="A1548" s="0" t="s">
        <v>366</v>
      </c>
      <c r="B1548" s="0" t="s">
        <v>12</v>
      </c>
      <c r="C1548" s="0" t="s">
        <v>13</v>
      </c>
      <c r="D1548" s="0" t="n">
        <v>8</v>
      </c>
      <c r="E1548" s="2" t="n">
        <v>40691.7597222222</v>
      </c>
      <c r="F1548" s="0" t="n">
        <v>3.33</v>
      </c>
      <c r="H1548" s="3" t="s">
        <v>14</v>
      </c>
      <c r="I1548" s="4" t="n">
        <f aca="false">D1548*F1548</f>
        <v>26.64</v>
      </c>
      <c r="J1548" s="3" t="n">
        <f aca="false">IF(AND(LEFT(A1548,1)&lt;&gt;"C",D1548&gt;0,F1548&gt;0),1,0)</f>
        <v>1</v>
      </c>
      <c r="K1548" s="3" t="n">
        <f aca="false">IF(AND(H1548="United Kingdom",G1548&lt;&gt;"",COUNTIFS($G$2:G1548,G1548,$H$2:H1548,"United Kingdom")=1),1,0)</f>
        <v>0</v>
      </c>
    </row>
    <row r="1549" customFormat="false" ht="15" hidden="false" customHeight="false" outlineLevel="0" collapsed="false">
      <c r="A1549" s="0" t="s">
        <v>366</v>
      </c>
      <c r="B1549" s="0" t="s">
        <v>17</v>
      </c>
      <c r="C1549" s="0" t="s">
        <v>18</v>
      </c>
      <c r="D1549" s="0" t="n">
        <v>4</v>
      </c>
      <c r="E1549" s="2" t="n">
        <v>40691.7597222222</v>
      </c>
      <c r="F1549" s="0" t="n">
        <v>1.92</v>
      </c>
      <c r="H1549" s="3" t="s">
        <v>14</v>
      </c>
      <c r="I1549" s="4" t="n">
        <f aca="false">D1549*F1549</f>
        <v>7.68</v>
      </c>
      <c r="J1549" s="3" t="n">
        <f aca="false">IF(AND(LEFT(A1549,1)&lt;&gt;"C",D1549&gt;0,F1549&gt;0),1,0)</f>
        <v>1</v>
      </c>
      <c r="K1549" s="3" t="n">
        <f aca="false">IF(AND(H1549="United Kingdom",G1549&lt;&gt;"",COUNTIFS($G$2:G1549,G1549,$H$2:H1549,"United Kingdom")=1),1,0)</f>
        <v>0</v>
      </c>
    </row>
    <row r="1550" customFormat="false" ht="15" hidden="false" customHeight="false" outlineLevel="0" collapsed="false">
      <c r="A1550" s="0" t="s">
        <v>366</v>
      </c>
      <c r="B1550" s="0" t="s">
        <v>50</v>
      </c>
      <c r="C1550" s="0" t="s">
        <v>51</v>
      </c>
      <c r="D1550" s="0" t="n">
        <v>4</v>
      </c>
      <c r="E1550" s="2" t="n">
        <v>40691.7597222222</v>
      </c>
      <c r="F1550" s="0" t="n">
        <v>5.41</v>
      </c>
      <c r="H1550" s="3" t="s">
        <v>14</v>
      </c>
      <c r="I1550" s="4" t="n">
        <f aca="false">D1550*F1550</f>
        <v>21.64</v>
      </c>
      <c r="J1550" s="3" t="n">
        <f aca="false">IF(AND(LEFT(A1550,1)&lt;&gt;"C",D1550&gt;0,F1550&gt;0),1,0)</f>
        <v>1</v>
      </c>
      <c r="K1550" s="3" t="n">
        <f aca="false">IF(AND(H1550="United Kingdom",G1550&lt;&gt;"",COUNTIFS($G$2:G1550,G1550,$H$2:H1550,"United Kingdom")=1),1,0)</f>
        <v>0</v>
      </c>
    </row>
    <row r="1551" customFormat="false" ht="15" hidden="false" customHeight="false" outlineLevel="0" collapsed="false">
      <c r="A1551" s="0" t="s">
        <v>366</v>
      </c>
      <c r="B1551" s="0" t="s">
        <v>45</v>
      </c>
      <c r="C1551" s="0" t="s">
        <v>46</v>
      </c>
      <c r="D1551" s="0" t="n">
        <v>2</v>
      </c>
      <c r="E1551" s="2" t="n">
        <v>40691.7597222222</v>
      </c>
      <c r="F1551" s="0" t="n">
        <v>4.55</v>
      </c>
      <c r="H1551" s="3" t="s">
        <v>14</v>
      </c>
      <c r="I1551" s="4" t="n">
        <f aca="false">D1551*F1551</f>
        <v>9.1</v>
      </c>
      <c r="J1551" s="3" t="n">
        <f aca="false">IF(AND(LEFT(A1551,1)&lt;&gt;"C",D1551&gt;0,F1551&gt;0),1,0)</f>
        <v>1</v>
      </c>
      <c r="K1551" s="3" t="n">
        <f aca="false">IF(AND(H1551="United Kingdom",G1551&lt;&gt;"",COUNTIFS($G$2:G1551,G1551,$H$2:H1551,"United Kingdom")=1),1,0)</f>
        <v>0</v>
      </c>
    </row>
    <row r="1552" customFormat="false" ht="15" hidden="false" customHeight="false" outlineLevel="0" collapsed="false">
      <c r="A1552" s="0" t="s">
        <v>366</v>
      </c>
      <c r="B1552" s="0" t="s">
        <v>32</v>
      </c>
      <c r="C1552" s="0" t="s">
        <v>33</v>
      </c>
      <c r="D1552" s="0" t="n">
        <v>8</v>
      </c>
      <c r="E1552" s="2" t="n">
        <v>40691.7597222222</v>
      </c>
      <c r="F1552" s="0" t="n">
        <v>1.19</v>
      </c>
      <c r="H1552" s="3" t="s">
        <v>14</v>
      </c>
      <c r="I1552" s="4" t="n">
        <f aca="false">D1552*F1552</f>
        <v>9.52</v>
      </c>
      <c r="J1552" s="3" t="n">
        <f aca="false">IF(AND(LEFT(A1552,1)&lt;&gt;"C",D1552&gt;0,F1552&gt;0),1,0)</f>
        <v>1</v>
      </c>
      <c r="K1552" s="3" t="n">
        <f aca="false">IF(AND(H1552="United Kingdom",G1552&lt;&gt;"",COUNTIFS($G$2:G1552,G1552,$H$2:H1552,"United Kingdom")=1),1,0)</f>
        <v>0</v>
      </c>
    </row>
    <row r="1553" customFormat="false" ht="15" hidden="false" customHeight="false" outlineLevel="0" collapsed="false">
      <c r="A1553" s="0" t="s">
        <v>366</v>
      </c>
      <c r="B1553" s="0" t="s">
        <v>41</v>
      </c>
      <c r="C1553" s="0" t="s">
        <v>42</v>
      </c>
      <c r="D1553" s="0" t="n">
        <v>12</v>
      </c>
      <c r="E1553" s="2" t="n">
        <v>40691.7597222222</v>
      </c>
      <c r="F1553" s="0" t="n">
        <v>3.28</v>
      </c>
      <c r="H1553" s="3" t="s">
        <v>14</v>
      </c>
      <c r="I1553" s="4" t="n">
        <f aca="false">D1553*F1553</f>
        <v>39.36</v>
      </c>
      <c r="J1553" s="3" t="n">
        <f aca="false">IF(AND(LEFT(A1553,1)&lt;&gt;"C",D1553&gt;0,F1553&gt;0),1,0)</f>
        <v>1</v>
      </c>
      <c r="K1553" s="3" t="n">
        <f aca="false">IF(AND(H1553="United Kingdom",G1553&lt;&gt;"",COUNTIFS($G$2:G1553,G1553,$H$2:H1553,"United Kingdom")=1),1,0)</f>
        <v>0</v>
      </c>
    </row>
    <row r="1554" customFormat="false" ht="15" hidden="false" customHeight="false" outlineLevel="0" collapsed="false">
      <c r="A1554" s="0" t="s">
        <v>366</v>
      </c>
      <c r="B1554" s="0" t="s">
        <v>75</v>
      </c>
      <c r="C1554" s="0" t="s">
        <v>76</v>
      </c>
      <c r="D1554" s="0" t="n">
        <v>6</v>
      </c>
      <c r="E1554" s="2" t="n">
        <v>40691.7597222222</v>
      </c>
      <c r="F1554" s="0" t="n">
        <v>1.97</v>
      </c>
      <c r="H1554" s="3" t="s">
        <v>14</v>
      </c>
      <c r="I1554" s="4" t="n">
        <f aca="false">D1554*F1554</f>
        <v>11.82</v>
      </c>
      <c r="J1554" s="3" t="n">
        <f aca="false">IF(AND(LEFT(A1554,1)&lt;&gt;"C",D1554&gt;0,F1554&gt;0),1,0)</f>
        <v>1</v>
      </c>
      <c r="K1554" s="3" t="n">
        <f aca="false">IF(AND(H1554="United Kingdom",G1554&lt;&gt;"",COUNTIFS($G$2:G1554,G1554,$H$2:H1554,"United Kingdom")=1),1,0)</f>
        <v>0</v>
      </c>
    </row>
    <row r="1555" customFormat="false" ht="15" hidden="false" customHeight="false" outlineLevel="0" collapsed="false">
      <c r="A1555" s="0" t="s">
        <v>367</v>
      </c>
      <c r="B1555" s="0" t="s">
        <v>68</v>
      </c>
      <c r="C1555" s="0" t="s">
        <v>69</v>
      </c>
      <c r="D1555" s="0" t="n">
        <v>16</v>
      </c>
      <c r="E1555" s="2" t="n">
        <v>40692.49375</v>
      </c>
      <c r="F1555" s="0" t="n">
        <v>1.26</v>
      </c>
      <c r="G1555" s="0" t="n">
        <v>16066</v>
      </c>
      <c r="H1555" s="3" t="s">
        <v>14</v>
      </c>
      <c r="I1555" s="4" t="n">
        <f aca="false">D1555*F1555</f>
        <v>20.16</v>
      </c>
      <c r="J1555" s="3" t="n">
        <f aca="false">IF(AND(LEFT(A1555,1)&lt;&gt;"C",D1555&gt;0,F1555&gt;0),1,0)</f>
        <v>1</v>
      </c>
      <c r="K1555" s="3" t="n">
        <f aca="false">IF(AND(H1555="United Kingdom",G1555&lt;&gt;"",COUNTIFS($G$2:G1555,G1555,$H$2:H1555,"United Kingdom")=1),1,0)</f>
        <v>0</v>
      </c>
    </row>
    <row r="1556" customFormat="false" ht="15" hidden="false" customHeight="false" outlineLevel="0" collapsed="false">
      <c r="A1556" s="0" t="s">
        <v>367</v>
      </c>
      <c r="B1556" s="0" t="s">
        <v>63</v>
      </c>
      <c r="C1556" s="0" t="s">
        <v>64</v>
      </c>
      <c r="D1556" s="0" t="n">
        <v>1</v>
      </c>
      <c r="E1556" s="2" t="n">
        <v>40692.49375</v>
      </c>
      <c r="F1556" s="0" t="n">
        <v>2.43</v>
      </c>
      <c r="G1556" s="0" t="n">
        <v>16066</v>
      </c>
      <c r="H1556" s="3" t="s">
        <v>14</v>
      </c>
      <c r="I1556" s="4" t="n">
        <f aca="false">D1556*F1556</f>
        <v>2.43</v>
      </c>
      <c r="J1556" s="3" t="n">
        <f aca="false">IF(AND(LEFT(A1556,1)&lt;&gt;"C",D1556&gt;0,F1556&gt;0),1,0)</f>
        <v>1</v>
      </c>
      <c r="K1556" s="3" t="n">
        <f aca="false">IF(AND(H1556="United Kingdom",G1556&lt;&gt;"",COUNTIFS($G$2:G1556,G1556,$H$2:H1556,"United Kingdom")=1),1,0)</f>
        <v>0</v>
      </c>
    </row>
    <row r="1557" customFormat="false" ht="15" hidden="false" customHeight="false" outlineLevel="0" collapsed="false">
      <c r="A1557" s="0" t="s">
        <v>367</v>
      </c>
      <c r="B1557" s="0" t="s">
        <v>29</v>
      </c>
      <c r="C1557" s="0" t="s">
        <v>30</v>
      </c>
      <c r="D1557" s="0" t="n">
        <v>4</v>
      </c>
      <c r="E1557" s="2" t="n">
        <v>40692.49375</v>
      </c>
      <c r="F1557" s="0" t="n">
        <v>5.79</v>
      </c>
      <c r="G1557" s="0" t="n">
        <v>16066</v>
      </c>
      <c r="H1557" s="3" t="s">
        <v>14</v>
      </c>
      <c r="I1557" s="4" t="n">
        <f aca="false">D1557*F1557</f>
        <v>23.16</v>
      </c>
      <c r="J1557" s="3" t="n">
        <f aca="false">IF(AND(LEFT(A1557,1)&lt;&gt;"C",D1557&gt;0,F1557&gt;0),1,0)</f>
        <v>1</v>
      </c>
      <c r="K1557" s="3" t="n">
        <f aca="false">IF(AND(H1557="United Kingdom",G1557&lt;&gt;"",COUNTIFS($G$2:G1557,G1557,$H$2:H1557,"United Kingdom")=1),1,0)</f>
        <v>0</v>
      </c>
    </row>
    <row r="1558" customFormat="false" ht="15" hidden="false" customHeight="false" outlineLevel="0" collapsed="false">
      <c r="A1558" s="0" t="s">
        <v>367</v>
      </c>
      <c r="B1558" s="0" t="s">
        <v>22</v>
      </c>
      <c r="C1558" s="0" t="s">
        <v>23</v>
      </c>
      <c r="D1558" s="0" t="n">
        <v>8</v>
      </c>
      <c r="E1558" s="2" t="n">
        <v>40692.49375</v>
      </c>
      <c r="F1558" s="0" t="n">
        <v>3.18</v>
      </c>
      <c r="G1558" s="0" t="n">
        <v>16066</v>
      </c>
      <c r="H1558" s="3" t="s">
        <v>14</v>
      </c>
      <c r="I1558" s="4" t="n">
        <f aca="false">D1558*F1558</f>
        <v>25.44</v>
      </c>
      <c r="J1558" s="3" t="n">
        <f aca="false">IF(AND(LEFT(A1558,1)&lt;&gt;"C",D1558&gt;0,F1558&gt;0),1,0)</f>
        <v>1</v>
      </c>
      <c r="K1558" s="3" t="n">
        <f aca="false">IF(AND(H1558="United Kingdom",G1558&lt;&gt;"",COUNTIFS($G$2:G1558,G1558,$H$2:H1558,"United Kingdom")=1),1,0)</f>
        <v>0</v>
      </c>
    </row>
    <row r="1559" customFormat="false" ht="15" hidden="false" customHeight="false" outlineLevel="0" collapsed="false">
      <c r="A1559" s="0" t="s">
        <v>367</v>
      </c>
      <c r="B1559" s="0" t="s">
        <v>43</v>
      </c>
      <c r="C1559" s="0" t="s">
        <v>44</v>
      </c>
      <c r="D1559" s="0" t="n">
        <v>12</v>
      </c>
      <c r="E1559" s="2" t="n">
        <v>40692.49375</v>
      </c>
      <c r="F1559" s="0" t="n">
        <v>1.35</v>
      </c>
      <c r="G1559" s="0" t="n">
        <v>16066</v>
      </c>
      <c r="H1559" s="3" t="s">
        <v>14</v>
      </c>
      <c r="I1559" s="4" t="n">
        <f aca="false">D1559*F1559</f>
        <v>16.2</v>
      </c>
      <c r="J1559" s="3" t="n">
        <f aca="false">IF(AND(LEFT(A1559,1)&lt;&gt;"C",D1559&gt;0,F1559&gt;0),1,0)</f>
        <v>1</v>
      </c>
      <c r="K1559" s="3" t="n">
        <f aca="false">IF(AND(H1559="United Kingdom",G1559&lt;&gt;"",COUNTIFS($G$2:G1559,G1559,$H$2:H1559,"United Kingdom")=1),1,0)</f>
        <v>0</v>
      </c>
    </row>
    <row r="1560" customFormat="false" ht="15" hidden="false" customHeight="false" outlineLevel="0" collapsed="false">
      <c r="A1560" s="0" t="s">
        <v>367</v>
      </c>
      <c r="B1560" s="0" t="s">
        <v>75</v>
      </c>
      <c r="C1560" s="0" t="s">
        <v>76</v>
      </c>
      <c r="D1560" s="0" t="n">
        <v>6</v>
      </c>
      <c r="E1560" s="2" t="n">
        <v>40692.49375</v>
      </c>
      <c r="F1560" s="0" t="n">
        <v>1.97</v>
      </c>
      <c r="G1560" s="0" t="n">
        <v>16066</v>
      </c>
      <c r="H1560" s="3" t="s">
        <v>14</v>
      </c>
      <c r="I1560" s="4" t="n">
        <f aca="false">D1560*F1560</f>
        <v>11.82</v>
      </c>
      <c r="J1560" s="3" t="n">
        <f aca="false">IF(AND(LEFT(A1560,1)&lt;&gt;"C",D1560&gt;0,F1560&gt;0),1,0)</f>
        <v>1</v>
      </c>
      <c r="K1560" s="3" t="n">
        <f aca="false">IF(AND(H1560="United Kingdom",G1560&lt;&gt;"",COUNTIFS($G$2:G1560,G1560,$H$2:H1560,"United Kingdom")=1),1,0)</f>
        <v>0</v>
      </c>
    </row>
    <row r="1561" customFormat="false" ht="15" hidden="false" customHeight="false" outlineLevel="0" collapsed="false">
      <c r="A1561" s="0" t="s">
        <v>367</v>
      </c>
      <c r="B1561" s="0" t="s">
        <v>54</v>
      </c>
      <c r="C1561" s="0" t="s">
        <v>55</v>
      </c>
      <c r="D1561" s="0" t="n">
        <v>3</v>
      </c>
      <c r="E1561" s="2" t="n">
        <v>40692.49375</v>
      </c>
      <c r="F1561" s="0" t="n">
        <v>0.99</v>
      </c>
      <c r="G1561" s="0" t="n">
        <v>16066</v>
      </c>
      <c r="H1561" s="3" t="s">
        <v>14</v>
      </c>
      <c r="I1561" s="4" t="n">
        <f aca="false">D1561*F1561</f>
        <v>2.97</v>
      </c>
      <c r="J1561" s="3" t="n">
        <f aca="false">IF(AND(LEFT(A1561,1)&lt;&gt;"C",D1561&gt;0,F1561&gt;0),1,0)</f>
        <v>1</v>
      </c>
      <c r="K1561" s="3" t="n">
        <f aca="false">IF(AND(H1561="United Kingdom",G1561&lt;&gt;"",COUNTIFS($G$2:G1561,G1561,$H$2:H1561,"United Kingdom")=1),1,0)</f>
        <v>0</v>
      </c>
    </row>
    <row r="1562" customFormat="false" ht="15" hidden="false" customHeight="false" outlineLevel="0" collapsed="false">
      <c r="A1562" s="0" t="s">
        <v>367</v>
      </c>
      <c r="B1562" s="0" t="s">
        <v>52</v>
      </c>
      <c r="C1562" s="0" t="s">
        <v>53</v>
      </c>
      <c r="D1562" s="0" t="n">
        <v>3</v>
      </c>
      <c r="E1562" s="2" t="n">
        <v>40692.49375</v>
      </c>
      <c r="F1562" s="0" t="n">
        <v>4.16</v>
      </c>
      <c r="G1562" s="0" t="n">
        <v>16066</v>
      </c>
      <c r="H1562" s="3" t="s">
        <v>14</v>
      </c>
      <c r="I1562" s="4" t="n">
        <f aca="false">D1562*F1562</f>
        <v>12.48</v>
      </c>
      <c r="J1562" s="3" t="n">
        <f aca="false">IF(AND(LEFT(A1562,1)&lt;&gt;"C",D1562&gt;0,F1562&gt;0),1,0)</f>
        <v>1</v>
      </c>
      <c r="K1562" s="3" t="n">
        <f aca="false">IF(AND(H1562="United Kingdom",G1562&lt;&gt;"",COUNTIFS($G$2:G1562,G1562,$H$2:H1562,"United Kingdom")=1),1,0)</f>
        <v>0</v>
      </c>
    </row>
    <row r="1563" customFormat="false" ht="15" hidden="false" customHeight="false" outlineLevel="0" collapsed="false">
      <c r="A1563" s="0" t="s">
        <v>367</v>
      </c>
      <c r="B1563" s="0" t="s">
        <v>45</v>
      </c>
      <c r="C1563" s="0" t="s">
        <v>46</v>
      </c>
      <c r="D1563" s="0" t="n">
        <v>6</v>
      </c>
      <c r="E1563" s="2" t="n">
        <v>40692.49375</v>
      </c>
      <c r="F1563" s="0" t="n">
        <v>4.55</v>
      </c>
      <c r="G1563" s="0" t="n">
        <v>16066</v>
      </c>
      <c r="H1563" s="3" t="s">
        <v>14</v>
      </c>
      <c r="I1563" s="4" t="n">
        <f aca="false">D1563*F1563</f>
        <v>27.3</v>
      </c>
      <c r="J1563" s="3" t="n">
        <f aca="false">IF(AND(LEFT(A1563,1)&lt;&gt;"C",D1563&gt;0,F1563&gt;0),1,0)</f>
        <v>1</v>
      </c>
      <c r="K1563" s="3" t="n">
        <f aca="false">IF(AND(H1563="United Kingdom",G1563&lt;&gt;"",COUNTIFS($G$2:G1563,G1563,$H$2:H1563,"United Kingdom")=1),1,0)</f>
        <v>0</v>
      </c>
    </row>
    <row r="1564" customFormat="false" ht="15" hidden="false" customHeight="false" outlineLevel="0" collapsed="false">
      <c r="A1564" s="0" t="s">
        <v>368</v>
      </c>
      <c r="B1564" s="0" t="s">
        <v>27</v>
      </c>
      <c r="C1564" s="0" t="s">
        <v>28</v>
      </c>
      <c r="D1564" s="0" t="n">
        <v>8</v>
      </c>
      <c r="E1564" s="2" t="n">
        <v>40692.5777777778</v>
      </c>
      <c r="F1564" s="0" t="n">
        <v>4.55</v>
      </c>
      <c r="G1564" s="0" t="n">
        <v>13161</v>
      </c>
      <c r="H1564" s="3" t="s">
        <v>14</v>
      </c>
      <c r="I1564" s="4" t="n">
        <f aca="false">D1564*F1564</f>
        <v>36.4</v>
      </c>
      <c r="J1564" s="3" t="n">
        <f aca="false">IF(AND(LEFT(A1564,1)&lt;&gt;"C",D1564&gt;0,F1564&gt;0),1,0)</f>
        <v>1</v>
      </c>
      <c r="K1564" s="3" t="n">
        <f aca="false">IF(AND(H1564="United Kingdom",G1564&lt;&gt;"",COUNTIFS($G$2:G1564,G1564,$H$2:H1564,"United Kingdom")=1),1,0)</f>
        <v>0</v>
      </c>
    </row>
    <row r="1565" customFormat="false" ht="15" hidden="false" customHeight="false" outlineLevel="0" collapsed="false">
      <c r="A1565" s="0" t="s">
        <v>368</v>
      </c>
      <c r="B1565" s="0" t="s">
        <v>48</v>
      </c>
      <c r="C1565" s="0" t="s">
        <v>49</v>
      </c>
      <c r="D1565" s="0" t="n">
        <v>8</v>
      </c>
      <c r="E1565" s="2" t="n">
        <v>40692.5777777778</v>
      </c>
      <c r="F1565" s="0" t="n">
        <v>1.35</v>
      </c>
      <c r="G1565" s="0" t="n">
        <v>13161</v>
      </c>
      <c r="H1565" s="3" t="s">
        <v>14</v>
      </c>
      <c r="I1565" s="4" t="n">
        <f aca="false">D1565*F1565</f>
        <v>10.8</v>
      </c>
      <c r="J1565" s="3" t="n">
        <f aca="false">IF(AND(LEFT(A1565,1)&lt;&gt;"C",D1565&gt;0,F1565&gt;0),1,0)</f>
        <v>1</v>
      </c>
      <c r="K1565" s="3" t="n">
        <f aca="false">IF(AND(H1565="United Kingdom",G1565&lt;&gt;"",COUNTIFS($G$2:G1565,G1565,$H$2:H1565,"United Kingdom")=1),1,0)</f>
        <v>0</v>
      </c>
    </row>
    <row r="1566" customFormat="false" ht="15" hidden="false" customHeight="false" outlineLevel="0" collapsed="false">
      <c r="A1566" s="0" t="s">
        <v>368</v>
      </c>
      <c r="B1566" s="0" t="s">
        <v>22</v>
      </c>
      <c r="C1566" s="0" t="s">
        <v>23</v>
      </c>
      <c r="D1566" s="0" t="n">
        <v>2</v>
      </c>
      <c r="E1566" s="2" t="n">
        <v>40692.5777777778</v>
      </c>
      <c r="F1566" s="0" t="n">
        <v>3.18</v>
      </c>
      <c r="G1566" s="0" t="n">
        <v>13161</v>
      </c>
      <c r="H1566" s="3" t="s">
        <v>14</v>
      </c>
      <c r="I1566" s="4" t="n">
        <f aca="false">D1566*F1566</f>
        <v>6.36</v>
      </c>
      <c r="J1566" s="3" t="n">
        <f aca="false">IF(AND(LEFT(A1566,1)&lt;&gt;"C",D1566&gt;0,F1566&gt;0),1,0)</f>
        <v>1</v>
      </c>
      <c r="K1566" s="3" t="n">
        <f aca="false">IF(AND(H1566="United Kingdom",G1566&lt;&gt;"",COUNTIFS($G$2:G1566,G1566,$H$2:H1566,"United Kingdom")=1),1,0)</f>
        <v>0</v>
      </c>
    </row>
    <row r="1567" customFormat="false" ht="15" hidden="false" customHeight="false" outlineLevel="0" collapsed="false">
      <c r="A1567" s="0" t="s">
        <v>368</v>
      </c>
      <c r="B1567" s="0" t="s">
        <v>15</v>
      </c>
      <c r="C1567" s="0" t="s">
        <v>16</v>
      </c>
      <c r="D1567" s="0" t="n">
        <v>2</v>
      </c>
      <c r="E1567" s="2" t="n">
        <v>40692.5777777778</v>
      </c>
      <c r="F1567" s="0" t="n">
        <v>3.18</v>
      </c>
      <c r="G1567" s="0" t="n">
        <v>13161</v>
      </c>
      <c r="H1567" s="3" t="s">
        <v>14</v>
      </c>
      <c r="I1567" s="4" t="n">
        <f aca="false">D1567*F1567</f>
        <v>6.36</v>
      </c>
      <c r="J1567" s="3" t="n">
        <f aca="false">IF(AND(LEFT(A1567,1)&lt;&gt;"C",D1567&gt;0,F1567&gt;0),1,0)</f>
        <v>1</v>
      </c>
      <c r="K1567" s="3" t="n">
        <f aca="false">IF(AND(H1567="United Kingdom",G1567&lt;&gt;"",COUNTIFS($G$2:G1567,G1567,$H$2:H1567,"United Kingdom")=1),1,0)</f>
        <v>0</v>
      </c>
    </row>
    <row r="1568" customFormat="false" ht="15" hidden="false" customHeight="false" outlineLevel="0" collapsed="false">
      <c r="A1568" s="0" t="s">
        <v>368</v>
      </c>
      <c r="B1568" s="0" t="s">
        <v>12</v>
      </c>
      <c r="C1568" s="0" t="s">
        <v>13</v>
      </c>
      <c r="D1568" s="0" t="n">
        <v>3</v>
      </c>
      <c r="E1568" s="2" t="n">
        <v>40692.5777777778</v>
      </c>
      <c r="F1568" s="0" t="n">
        <v>3.33</v>
      </c>
      <c r="G1568" s="0" t="n">
        <v>13161</v>
      </c>
      <c r="H1568" s="3" t="s">
        <v>14</v>
      </c>
      <c r="I1568" s="4" t="n">
        <f aca="false">D1568*F1568</f>
        <v>9.99</v>
      </c>
      <c r="J1568" s="3" t="n">
        <f aca="false">IF(AND(LEFT(A1568,1)&lt;&gt;"C",D1568&gt;0,F1568&gt;0),1,0)</f>
        <v>1</v>
      </c>
      <c r="K1568" s="3" t="n">
        <f aca="false">IF(AND(H1568="United Kingdom",G1568&lt;&gt;"",COUNTIFS($G$2:G1568,G1568,$H$2:H1568,"United Kingdom")=1),1,0)</f>
        <v>0</v>
      </c>
    </row>
    <row r="1569" customFormat="false" ht="15" hidden="false" customHeight="false" outlineLevel="0" collapsed="false">
      <c r="A1569" s="0" t="s">
        <v>368</v>
      </c>
      <c r="B1569" s="0" t="s">
        <v>77</v>
      </c>
      <c r="C1569" s="0" t="s">
        <v>78</v>
      </c>
      <c r="D1569" s="0" t="n">
        <v>4</v>
      </c>
      <c r="E1569" s="2" t="n">
        <v>40692.5777777778</v>
      </c>
      <c r="F1569" s="0" t="n">
        <v>3.41</v>
      </c>
      <c r="G1569" s="0" t="n">
        <v>13161</v>
      </c>
      <c r="H1569" s="3" t="s">
        <v>14</v>
      </c>
      <c r="I1569" s="4" t="n">
        <f aca="false">D1569*F1569</f>
        <v>13.64</v>
      </c>
      <c r="J1569" s="3" t="n">
        <f aca="false">IF(AND(LEFT(A1569,1)&lt;&gt;"C",D1569&gt;0,F1569&gt;0),1,0)</f>
        <v>1</v>
      </c>
      <c r="K1569" s="3" t="n">
        <f aca="false">IF(AND(H1569="United Kingdom",G1569&lt;&gt;"",COUNTIFS($G$2:G1569,G1569,$H$2:H1569,"United Kingdom")=1),1,0)</f>
        <v>0</v>
      </c>
    </row>
    <row r="1570" customFormat="false" ht="15" hidden="false" customHeight="false" outlineLevel="0" collapsed="false">
      <c r="A1570" s="0" t="s">
        <v>369</v>
      </c>
      <c r="B1570" s="0" t="s">
        <v>58</v>
      </c>
      <c r="C1570" s="0" t="s">
        <v>59</v>
      </c>
      <c r="D1570" s="0" t="n">
        <v>2</v>
      </c>
      <c r="E1570" s="2" t="n">
        <v>40692.6055555556</v>
      </c>
      <c r="F1570" s="0" t="n">
        <v>2.16</v>
      </c>
      <c r="G1570" s="0" t="n">
        <v>17690</v>
      </c>
      <c r="H1570" s="3" t="s">
        <v>14</v>
      </c>
      <c r="I1570" s="4" t="n">
        <f aca="false">D1570*F1570</f>
        <v>4.32</v>
      </c>
      <c r="J1570" s="3" t="n">
        <f aca="false">IF(AND(LEFT(A1570,1)&lt;&gt;"C",D1570&gt;0,F1570&gt;0),1,0)</f>
        <v>1</v>
      </c>
      <c r="K1570" s="3" t="n">
        <f aca="false">IF(AND(H1570="United Kingdom",G1570&lt;&gt;"",COUNTIFS($G$2:G1570,G1570,$H$2:H1570,"United Kingdom")=1),1,0)</f>
        <v>0</v>
      </c>
    </row>
    <row r="1571" customFormat="false" ht="15" hidden="false" customHeight="false" outlineLevel="0" collapsed="false">
      <c r="A1571" s="0" t="s">
        <v>370</v>
      </c>
      <c r="B1571" s="0" t="s">
        <v>77</v>
      </c>
      <c r="C1571" s="0" t="s">
        <v>78</v>
      </c>
      <c r="D1571" s="0" t="n">
        <v>2</v>
      </c>
      <c r="E1571" s="2" t="n">
        <v>40692.6854166667</v>
      </c>
      <c r="F1571" s="0" t="n">
        <v>3.41</v>
      </c>
      <c r="G1571" s="0" t="n">
        <v>17203</v>
      </c>
      <c r="H1571" s="3" t="s">
        <v>14</v>
      </c>
      <c r="I1571" s="4" t="n">
        <f aca="false">D1571*F1571</f>
        <v>6.82</v>
      </c>
      <c r="J1571" s="3" t="n">
        <f aca="false">IF(AND(LEFT(A1571,1)&lt;&gt;"C",D1571&gt;0,F1571&gt;0),1,0)</f>
        <v>1</v>
      </c>
      <c r="K1571" s="3" t="n">
        <f aca="false">IF(AND(H1571="United Kingdom",G1571&lt;&gt;"",COUNTIFS($G$2:G1571,G1571,$H$2:H1571,"United Kingdom")=1),1,0)</f>
        <v>0</v>
      </c>
    </row>
    <row r="1572" customFormat="false" ht="15" hidden="false" customHeight="false" outlineLevel="0" collapsed="false">
      <c r="A1572" s="0" t="s">
        <v>370</v>
      </c>
      <c r="B1572" s="0" t="s">
        <v>32</v>
      </c>
      <c r="C1572" s="0" t="s">
        <v>33</v>
      </c>
      <c r="D1572" s="0" t="n">
        <v>6</v>
      </c>
      <c r="E1572" s="2" t="n">
        <v>40692.6854166667</v>
      </c>
      <c r="F1572" s="0" t="n">
        <v>1.19</v>
      </c>
      <c r="G1572" s="0" t="n">
        <v>17203</v>
      </c>
      <c r="H1572" s="3" t="s">
        <v>14</v>
      </c>
      <c r="I1572" s="4" t="n">
        <f aca="false">D1572*F1572</f>
        <v>7.14</v>
      </c>
      <c r="J1572" s="3" t="n">
        <f aca="false">IF(AND(LEFT(A1572,1)&lt;&gt;"C",D1572&gt;0,F1572&gt;0),1,0)</f>
        <v>1</v>
      </c>
      <c r="K1572" s="3" t="n">
        <f aca="false">IF(AND(H1572="United Kingdom",G1572&lt;&gt;"",COUNTIFS($G$2:G1572,G1572,$H$2:H1572,"United Kingdom")=1),1,0)</f>
        <v>0</v>
      </c>
    </row>
    <row r="1573" customFormat="false" ht="15" hidden="false" customHeight="false" outlineLevel="0" collapsed="false">
      <c r="A1573" s="0" t="s">
        <v>370</v>
      </c>
      <c r="B1573" s="0" t="s">
        <v>68</v>
      </c>
      <c r="C1573" s="0" t="s">
        <v>69</v>
      </c>
      <c r="D1573" s="0" t="n">
        <v>2</v>
      </c>
      <c r="E1573" s="2" t="n">
        <v>40692.6854166667</v>
      </c>
      <c r="F1573" s="0" t="n">
        <v>1.26</v>
      </c>
      <c r="G1573" s="0" t="n">
        <v>17203</v>
      </c>
      <c r="H1573" s="3" t="s">
        <v>14</v>
      </c>
      <c r="I1573" s="4" t="n">
        <f aca="false">D1573*F1573</f>
        <v>2.52</v>
      </c>
      <c r="J1573" s="3" t="n">
        <f aca="false">IF(AND(LEFT(A1573,1)&lt;&gt;"C",D1573&gt;0,F1573&gt;0),1,0)</f>
        <v>1</v>
      </c>
      <c r="K1573" s="3" t="n">
        <f aca="false">IF(AND(H1573="United Kingdom",G1573&lt;&gt;"",COUNTIFS($G$2:G1573,G1573,$H$2:H1573,"United Kingdom")=1),1,0)</f>
        <v>0</v>
      </c>
    </row>
    <row r="1574" customFormat="false" ht="15" hidden="false" customHeight="false" outlineLevel="0" collapsed="false">
      <c r="A1574" s="0" t="s">
        <v>370</v>
      </c>
      <c r="B1574" s="0" t="s">
        <v>20</v>
      </c>
      <c r="C1574" s="0" t="s">
        <v>21</v>
      </c>
      <c r="D1574" s="0" t="n">
        <v>2</v>
      </c>
      <c r="E1574" s="2" t="n">
        <v>40692.6854166667</v>
      </c>
      <c r="F1574" s="0" t="n">
        <v>4.24</v>
      </c>
      <c r="G1574" s="0" t="n">
        <v>17203</v>
      </c>
      <c r="H1574" s="3" t="s">
        <v>14</v>
      </c>
      <c r="I1574" s="4" t="n">
        <f aca="false">D1574*F1574</f>
        <v>8.48</v>
      </c>
      <c r="J1574" s="3" t="n">
        <f aca="false">IF(AND(LEFT(A1574,1)&lt;&gt;"C",D1574&gt;0,F1574&gt;0),1,0)</f>
        <v>1</v>
      </c>
      <c r="K1574" s="3" t="n">
        <f aca="false">IF(AND(H1574="United Kingdom",G1574&lt;&gt;"",COUNTIFS($G$2:G1574,G1574,$H$2:H1574,"United Kingdom")=1),1,0)</f>
        <v>0</v>
      </c>
    </row>
    <row r="1575" customFormat="false" ht="15" hidden="false" customHeight="false" outlineLevel="0" collapsed="false">
      <c r="A1575" s="0" t="s">
        <v>371</v>
      </c>
      <c r="B1575" s="0" t="s">
        <v>90</v>
      </c>
      <c r="C1575" s="0" t="s">
        <v>91</v>
      </c>
      <c r="D1575" s="0" t="n">
        <v>2</v>
      </c>
      <c r="E1575" s="2" t="n">
        <v>40692.7611111111</v>
      </c>
      <c r="F1575" s="0" t="n">
        <v>3.04</v>
      </c>
      <c r="G1575" s="0" t="n">
        <v>16009</v>
      </c>
      <c r="H1575" s="3" t="s">
        <v>14</v>
      </c>
      <c r="I1575" s="4" t="n">
        <f aca="false">D1575*F1575</f>
        <v>6.08</v>
      </c>
      <c r="J1575" s="3" t="n">
        <f aca="false">IF(AND(LEFT(A1575,1)&lt;&gt;"C",D1575&gt;0,F1575&gt;0),1,0)</f>
        <v>1</v>
      </c>
      <c r="K1575" s="3" t="n">
        <f aca="false">IF(AND(H1575="United Kingdom",G1575&lt;&gt;"",COUNTIFS($G$2:G1575,G1575,$H$2:H1575,"United Kingdom")=1),1,0)</f>
        <v>0</v>
      </c>
    </row>
    <row r="1576" customFormat="false" ht="15" hidden="false" customHeight="false" outlineLevel="0" collapsed="false">
      <c r="A1576" s="0" t="s">
        <v>372</v>
      </c>
      <c r="B1576" s="0" t="s">
        <v>32</v>
      </c>
      <c r="C1576" s="0" t="s">
        <v>33</v>
      </c>
      <c r="D1576" s="0" t="n">
        <v>24</v>
      </c>
      <c r="E1576" s="2" t="n">
        <v>40693.5541666667</v>
      </c>
      <c r="F1576" s="0" t="n">
        <v>1.19</v>
      </c>
      <c r="G1576" s="0" t="n">
        <v>15657</v>
      </c>
      <c r="H1576" s="3" t="s">
        <v>14</v>
      </c>
      <c r="I1576" s="4" t="n">
        <f aca="false">D1576*F1576</f>
        <v>28.56</v>
      </c>
      <c r="J1576" s="3" t="n">
        <f aca="false">IF(AND(LEFT(A1576,1)&lt;&gt;"C",D1576&gt;0,F1576&gt;0),1,0)</f>
        <v>1</v>
      </c>
      <c r="K1576" s="3" t="n">
        <f aca="false">IF(AND(H1576="United Kingdom",G1576&lt;&gt;"",COUNTIFS($G$2:G1576,G1576,$H$2:H1576,"United Kingdom")=1),1,0)</f>
        <v>1</v>
      </c>
    </row>
    <row r="1577" customFormat="false" ht="15" hidden="false" customHeight="false" outlineLevel="0" collapsed="false">
      <c r="A1577" s="0" t="s">
        <v>372</v>
      </c>
      <c r="B1577" s="0" t="s">
        <v>68</v>
      </c>
      <c r="C1577" s="0" t="s">
        <v>69</v>
      </c>
      <c r="D1577" s="0" t="n">
        <v>2</v>
      </c>
      <c r="E1577" s="2" t="n">
        <v>40693.5541666667</v>
      </c>
      <c r="F1577" s="0" t="n">
        <v>1.26</v>
      </c>
      <c r="G1577" s="0" t="n">
        <v>15657</v>
      </c>
      <c r="H1577" s="3" t="s">
        <v>14</v>
      </c>
      <c r="I1577" s="4" t="n">
        <f aca="false">D1577*F1577</f>
        <v>2.52</v>
      </c>
      <c r="J1577" s="3" t="n">
        <f aca="false">IF(AND(LEFT(A1577,1)&lt;&gt;"C",D1577&gt;0,F1577&gt;0),1,0)</f>
        <v>1</v>
      </c>
      <c r="K1577" s="3" t="n">
        <f aca="false">IF(AND(H1577="United Kingdom",G1577&lt;&gt;"",COUNTIFS($G$2:G1577,G1577,$H$2:H1577,"United Kingdom")=1),1,0)</f>
        <v>0</v>
      </c>
    </row>
    <row r="1578" customFormat="false" ht="15" hidden="false" customHeight="false" outlineLevel="0" collapsed="false">
      <c r="A1578" s="0" t="s">
        <v>372</v>
      </c>
      <c r="B1578" s="0" t="s">
        <v>25</v>
      </c>
      <c r="C1578" s="0" t="s">
        <v>26</v>
      </c>
      <c r="D1578" s="0" t="n">
        <v>4</v>
      </c>
      <c r="E1578" s="2" t="n">
        <v>40693.5541666667</v>
      </c>
      <c r="F1578" s="0" t="n">
        <v>2.21</v>
      </c>
      <c r="G1578" s="0" t="n">
        <v>15657</v>
      </c>
      <c r="H1578" s="3" t="s">
        <v>14</v>
      </c>
      <c r="I1578" s="4" t="n">
        <f aca="false">D1578*F1578</f>
        <v>8.84</v>
      </c>
      <c r="J1578" s="3" t="n">
        <f aca="false">IF(AND(LEFT(A1578,1)&lt;&gt;"C",D1578&gt;0,F1578&gt;0),1,0)</f>
        <v>1</v>
      </c>
      <c r="K1578" s="3" t="n">
        <f aca="false">IF(AND(H1578="United Kingdom",G1578&lt;&gt;"",COUNTIFS($G$2:G1578,G1578,$H$2:H1578,"United Kingdom")=1),1,0)</f>
        <v>0</v>
      </c>
    </row>
    <row r="1579" customFormat="false" ht="15" hidden="false" customHeight="false" outlineLevel="0" collapsed="false">
      <c r="A1579" s="0" t="s">
        <v>372</v>
      </c>
      <c r="B1579" s="0" t="s">
        <v>37</v>
      </c>
      <c r="C1579" s="0" t="s">
        <v>38</v>
      </c>
      <c r="D1579" s="0" t="n">
        <v>6</v>
      </c>
      <c r="E1579" s="2" t="n">
        <v>40693.5541666667</v>
      </c>
      <c r="F1579" s="0" t="n">
        <v>1.82</v>
      </c>
      <c r="G1579" s="0" t="n">
        <v>15657</v>
      </c>
      <c r="H1579" s="3" t="s">
        <v>14</v>
      </c>
      <c r="I1579" s="4" t="n">
        <f aca="false">D1579*F1579</f>
        <v>10.92</v>
      </c>
      <c r="J1579" s="3" t="n">
        <f aca="false">IF(AND(LEFT(A1579,1)&lt;&gt;"C",D1579&gt;0,F1579&gt;0),1,0)</f>
        <v>1</v>
      </c>
      <c r="K1579" s="3" t="n">
        <f aca="false">IF(AND(H1579="United Kingdom",G1579&lt;&gt;"",COUNTIFS($G$2:G1579,G1579,$H$2:H1579,"United Kingdom")=1),1,0)</f>
        <v>0</v>
      </c>
    </row>
    <row r="1580" customFormat="false" ht="15" hidden="false" customHeight="false" outlineLevel="0" collapsed="false">
      <c r="A1580" s="0" t="s">
        <v>372</v>
      </c>
      <c r="B1580" s="0" t="s">
        <v>43</v>
      </c>
      <c r="C1580" s="0" t="s">
        <v>44</v>
      </c>
      <c r="D1580" s="0" t="n">
        <v>4</v>
      </c>
      <c r="E1580" s="2" t="n">
        <v>40693.5541666667</v>
      </c>
      <c r="F1580" s="0" t="n">
        <v>1.35</v>
      </c>
      <c r="G1580" s="0" t="n">
        <v>15657</v>
      </c>
      <c r="H1580" s="3" t="s">
        <v>14</v>
      </c>
      <c r="I1580" s="4" t="n">
        <f aca="false">D1580*F1580</f>
        <v>5.4</v>
      </c>
      <c r="J1580" s="3" t="n">
        <f aca="false">IF(AND(LEFT(A1580,1)&lt;&gt;"C",D1580&gt;0,F1580&gt;0),1,0)</f>
        <v>1</v>
      </c>
      <c r="K1580" s="3" t="n">
        <f aca="false">IF(AND(H1580="United Kingdom",G1580&lt;&gt;"",COUNTIFS($G$2:G1580,G1580,$H$2:H1580,"United Kingdom")=1),1,0)</f>
        <v>0</v>
      </c>
    </row>
    <row r="1581" customFormat="false" ht="15" hidden="false" customHeight="false" outlineLevel="0" collapsed="false">
      <c r="A1581" s="0" t="s">
        <v>372</v>
      </c>
      <c r="B1581" s="0" t="s">
        <v>45</v>
      </c>
      <c r="C1581" s="0" t="s">
        <v>46</v>
      </c>
      <c r="D1581" s="0" t="n">
        <v>1</v>
      </c>
      <c r="E1581" s="2" t="n">
        <v>40693.5541666667</v>
      </c>
      <c r="F1581" s="0" t="n">
        <v>4.55</v>
      </c>
      <c r="G1581" s="0" t="n">
        <v>15657</v>
      </c>
      <c r="H1581" s="3" t="s">
        <v>14</v>
      </c>
      <c r="I1581" s="4" t="n">
        <f aca="false">D1581*F1581</f>
        <v>4.55</v>
      </c>
      <c r="J1581" s="3" t="n">
        <f aca="false">IF(AND(LEFT(A1581,1)&lt;&gt;"C",D1581&gt;0,F1581&gt;0),1,0)</f>
        <v>1</v>
      </c>
      <c r="K1581" s="3" t="n">
        <f aca="false">IF(AND(H1581="United Kingdom",G1581&lt;&gt;"",COUNTIFS($G$2:G1581,G1581,$H$2:H1581,"United Kingdom")=1),1,0)</f>
        <v>0</v>
      </c>
    </row>
    <row r="1582" customFormat="false" ht="15" hidden="false" customHeight="false" outlineLevel="0" collapsed="false">
      <c r="A1582" s="0" t="s">
        <v>372</v>
      </c>
      <c r="B1582" s="0" t="s">
        <v>77</v>
      </c>
      <c r="C1582" s="0" t="s">
        <v>78</v>
      </c>
      <c r="D1582" s="0" t="n">
        <v>24</v>
      </c>
      <c r="E1582" s="2" t="n">
        <v>40693.5541666667</v>
      </c>
      <c r="F1582" s="0" t="n">
        <v>3.41</v>
      </c>
      <c r="G1582" s="0" t="n">
        <v>15657</v>
      </c>
      <c r="H1582" s="3" t="s">
        <v>14</v>
      </c>
      <c r="I1582" s="4" t="n">
        <f aca="false">D1582*F1582</f>
        <v>81.84</v>
      </c>
      <c r="J1582" s="3" t="n">
        <f aca="false">IF(AND(LEFT(A1582,1)&lt;&gt;"C",D1582&gt;0,F1582&gt;0),1,0)</f>
        <v>1</v>
      </c>
      <c r="K1582" s="3" t="n">
        <f aca="false">IF(AND(H1582="United Kingdom",G1582&lt;&gt;"",COUNTIFS($G$2:G1582,G1582,$H$2:H1582,"United Kingdom")=1),1,0)</f>
        <v>0</v>
      </c>
    </row>
    <row r="1583" customFormat="false" ht="15" hidden="false" customHeight="false" outlineLevel="0" collapsed="false">
      <c r="A1583" s="0" t="s">
        <v>372</v>
      </c>
      <c r="B1583" s="0" t="s">
        <v>65</v>
      </c>
      <c r="C1583" s="0" t="s">
        <v>66</v>
      </c>
      <c r="D1583" s="0" t="n">
        <v>2</v>
      </c>
      <c r="E1583" s="2" t="n">
        <v>40693.5541666667</v>
      </c>
      <c r="F1583" s="0" t="n">
        <v>4.75</v>
      </c>
      <c r="G1583" s="0" t="n">
        <v>15657</v>
      </c>
      <c r="H1583" s="3" t="s">
        <v>14</v>
      </c>
      <c r="I1583" s="4" t="n">
        <f aca="false">D1583*F1583</f>
        <v>9.5</v>
      </c>
      <c r="J1583" s="3" t="n">
        <f aca="false">IF(AND(LEFT(A1583,1)&lt;&gt;"C",D1583&gt;0,F1583&gt;0),1,0)</f>
        <v>1</v>
      </c>
      <c r="K1583" s="3" t="n">
        <f aca="false">IF(AND(H1583="United Kingdom",G1583&lt;&gt;"",COUNTIFS($G$2:G1583,G1583,$H$2:H1583,"United Kingdom")=1),1,0)</f>
        <v>0</v>
      </c>
    </row>
    <row r="1584" customFormat="false" ht="15" hidden="false" customHeight="false" outlineLevel="0" collapsed="false">
      <c r="A1584" s="0" t="s">
        <v>372</v>
      </c>
      <c r="B1584" s="0" t="s">
        <v>54</v>
      </c>
      <c r="C1584" s="0" t="s">
        <v>55</v>
      </c>
      <c r="D1584" s="0" t="n">
        <v>8</v>
      </c>
      <c r="E1584" s="2" t="n">
        <v>40693.5541666667</v>
      </c>
      <c r="F1584" s="0" t="n">
        <v>0.99</v>
      </c>
      <c r="G1584" s="0" t="n">
        <v>15657</v>
      </c>
      <c r="H1584" s="3" t="s">
        <v>14</v>
      </c>
      <c r="I1584" s="4" t="n">
        <f aca="false">D1584*F1584</f>
        <v>7.92</v>
      </c>
      <c r="J1584" s="3" t="n">
        <f aca="false">IF(AND(LEFT(A1584,1)&lt;&gt;"C",D1584&gt;0,F1584&gt;0),1,0)</f>
        <v>1</v>
      </c>
      <c r="K1584" s="3" t="n">
        <f aca="false">IF(AND(H1584="United Kingdom",G1584&lt;&gt;"",COUNTIFS($G$2:G1584,G1584,$H$2:H1584,"United Kingdom")=1),1,0)</f>
        <v>0</v>
      </c>
    </row>
    <row r="1585" customFormat="false" ht="15" hidden="false" customHeight="false" outlineLevel="0" collapsed="false">
      <c r="A1585" s="0" t="s">
        <v>372</v>
      </c>
      <c r="B1585" s="0" t="s">
        <v>50</v>
      </c>
      <c r="C1585" s="0" t="s">
        <v>51</v>
      </c>
      <c r="D1585" s="0" t="n">
        <v>1</v>
      </c>
      <c r="E1585" s="2" t="n">
        <v>40693.5541666667</v>
      </c>
      <c r="F1585" s="0" t="n">
        <v>5.41</v>
      </c>
      <c r="G1585" s="0" t="n">
        <v>15657</v>
      </c>
      <c r="H1585" s="3" t="s">
        <v>14</v>
      </c>
      <c r="I1585" s="4" t="n">
        <f aca="false">D1585*F1585</f>
        <v>5.41</v>
      </c>
      <c r="J1585" s="3" t="n">
        <f aca="false">IF(AND(LEFT(A1585,1)&lt;&gt;"C",D1585&gt;0,F1585&gt;0),1,0)</f>
        <v>1</v>
      </c>
      <c r="K1585" s="3" t="n">
        <f aca="false">IF(AND(H1585="United Kingdom",G1585&lt;&gt;"",COUNTIFS($G$2:G1585,G1585,$H$2:H1585,"United Kingdom")=1),1,0)</f>
        <v>0</v>
      </c>
    </row>
    <row r="1586" customFormat="false" ht="15" hidden="false" customHeight="false" outlineLevel="0" collapsed="false">
      <c r="A1586" s="0" t="s">
        <v>372</v>
      </c>
      <c r="B1586" s="0" t="s">
        <v>17</v>
      </c>
      <c r="C1586" s="0" t="s">
        <v>18</v>
      </c>
      <c r="D1586" s="0" t="n">
        <v>1</v>
      </c>
      <c r="E1586" s="2" t="n">
        <v>40693.5541666667</v>
      </c>
      <c r="F1586" s="0" t="n">
        <v>1.92</v>
      </c>
      <c r="G1586" s="0" t="n">
        <v>15657</v>
      </c>
      <c r="H1586" s="3" t="s">
        <v>14</v>
      </c>
      <c r="I1586" s="4" t="n">
        <f aca="false">D1586*F1586</f>
        <v>1.92</v>
      </c>
      <c r="J1586" s="3" t="n">
        <f aca="false">IF(AND(LEFT(A1586,1)&lt;&gt;"C",D1586&gt;0,F1586&gt;0),1,0)</f>
        <v>1</v>
      </c>
      <c r="K1586" s="3" t="n">
        <f aca="false">IF(AND(H1586="United Kingdom",G1586&lt;&gt;"",COUNTIFS($G$2:G1586,G1586,$H$2:H1586,"United Kingdom")=1),1,0)</f>
        <v>0</v>
      </c>
    </row>
    <row r="1587" customFormat="false" ht="15" hidden="false" customHeight="false" outlineLevel="0" collapsed="false">
      <c r="A1587" s="0" t="s">
        <v>372</v>
      </c>
      <c r="B1587" s="0" t="s">
        <v>58</v>
      </c>
      <c r="C1587" s="0" t="s">
        <v>59</v>
      </c>
      <c r="D1587" s="0" t="n">
        <v>8</v>
      </c>
      <c r="E1587" s="2" t="n">
        <v>40693.5541666667</v>
      </c>
      <c r="F1587" s="0" t="n">
        <v>2.16</v>
      </c>
      <c r="G1587" s="0" t="n">
        <v>15657</v>
      </c>
      <c r="H1587" s="3" t="s">
        <v>14</v>
      </c>
      <c r="I1587" s="4" t="n">
        <f aca="false">D1587*F1587</f>
        <v>17.28</v>
      </c>
      <c r="J1587" s="3" t="n">
        <f aca="false">IF(AND(LEFT(A1587,1)&lt;&gt;"C",D1587&gt;0,F1587&gt;0),1,0)</f>
        <v>1</v>
      </c>
      <c r="K1587" s="3" t="n">
        <f aca="false">IF(AND(H1587="United Kingdom",G1587&lt;&gt;"",COUNTIFS($G$2:G1587,G1587,$H$2:H1587,"United Kingdom")=1),1,0)</f>
        <v>0</v>
      </c>
    </row>
    <row r="1588" customFormat="false" ht="15" hidden="false" customHeight="false" outlineLevel="0" collapsed="false">
      <c r="A1588" s="0" t="s">
        <v>372</v>
      </c>
      <c r="B1588" s="0" t="s">
        <v>34</v>
      </c>
      <c r="C1588" s="0" t="s">
        <v>35</v>
      </c>
      <c r="D1588" s="0" t="n">
        <v>4</v>
      </c>
      <c r="E1588" s="2" t="n">
        <v>40693.5541666667</v>
      </c>
      <c r="F1588" s="0" t="n">
        <v>2.38</v>
      </c>
      <c r="G1588" s="0" t="n">
        <v>15657</v>
      </c>
      <c r="H1588" s="3" t="s">
        <v>14</v>
      </c>
      <c r="I1588" s="4" t="n">
        <f aca="false">D1588*F1588</f>
        <v>9.52</v>
      </c>
      <c r="J1588" s="3" t="n">
        <f aca="false">IF(AND(LEFT(A1588,1)&lt;&gt;"C",D1588&gt;0,F1588&gt;0),1,0)</f>
        <v>1</v>
      </c>
      <c r="K1588" s="3" t="n">
        <f aca="false">IF(AND(H1588="United Kingdom",G1588&lt;&gt;"",COUNTIFS($G$2:G1588,G1588,$H$2:H1588,"United Kingdom")=1),1,0)</f>
        <v>0</v>
      </c>
    </row>
    <row r="1589" customFormat="false" ht="15" hidden="false" customHeight="false" outlineLevel="0" collapsed="false">
      <c r="A1589" s="0" t="s">
        <v>372</v>
      </c>
      <c r="B1589" s="0" t="s">
        <v>63</v>
      </c>
      <c r="C1589" s="0" t="s">
        <v>64</v>
      </c>
      <c r="D1589" s="0" t="n">
        <v>12</v>
      </c>
      <c r="E1589" s="2" t="n">
        <v>40693.5541666667</v>
      </c>
      <c r="F1589" s="0" t="n">
        <v>2.43</v>
      </c>
      <c r="G1589" s="0" t="n">
        <v>15657</v>
      </c>
      <c r="H1589" s="3" t="s">
        <v>14</v>
      </c>
      <c r="I1589" s="4" t="n">
        <f aca="false">D1589*F1589</f>
        <v>29.16</v>
      </c>
      <c r="J1589" s="3" t="n">
        <f aca="false">IF(AND(LEFT(A1589,1)&lt;&gt;"C",D1589&gt;0,F1589&gt;0),1,0)</f>
        <v>1</v>
      </c>
      <c r="K1589" s="3" t="n">
        <f aca="false">IF(AND(H1589="United Kingdom",G1589&lt;&gt;"",COUNTIFS($G$2:G1589,G1589,$H$2:H1589,"United Kingdom")=1),1,0)</f>
        <v>0</v>
      </c>
    </row>
    <row r="1590" customFormat="false" ht="15" hidden="false" customHeight="false" outlineLevel="0" collapsed="false">
      <c r="A1590" s="0" t="s">
        <v>372</v>
      </c>
      <c r="B1590" s="0" t="s">
        <v>27</v>
      </c>
      <c r="C1590" s="0" t="s">
        <v>28</v>
      </c>
      <c r="D1590" s="0" t="n">
        <v>4</v>
      </c>
      <c r="E1590" s="2" t="n">
        <v>40693.5541666667</v>
      </c>
      <c r="F1590" s="0" t="n">
        <v>4.55</v>
      </c>
      <c r="G1590" s="0" t="n">
        <v>15657</v>
      </c>
      <c r="H1590" s="3" t="s">
        <v>14</v>
      </c>
      <c r="I1590" s="4" t="n">
        <f aca="false">D1590*F1590</f>
        <v>18.2</v>
      </c>
      <c r="J1590" s="3" t="n">
        <f aca="false">IF(AND(LEFT(A1590,1)&lt;&gt;"C",D1590&gt;0,F1590&gt;0),1,0)</f>
        <v>1</v>
      </c>
      <c r="K1590" s="3" t="n">
        <f aca="false">IF(AND(H1590="United Kingdom",G1590&lt;&gt;"",COUNTIFS($G$2:G1590,G1590,$H$2:H1590,"United Kingdom")=1),1,0)</f>
        <v>0</v>
      </c>
    </row>
    <row r="1591" customFormat="false" ht="15" hidden="false" customHeight="false" outlineLevel="0" collapsed="false">
      <c r="A1591" s="0" t="s">
        <v>373</v>
      </c>
      <c r="B1591" s="0" t="s">
        <v>60</v>
      </c>
      <c r="C1591" s="0" t="s">
        <v>61</v>
      </c>
      <c r="D1591" s="0" t="n">
        <v>1</v>
      </c>
      <c r="E1591" s="2" t="n">
        <v>40693.6493055556</v>
      </c>
      <c r="F1591" s="0" t="n">
        <v>0.63</v>
      </c>
      <c r="G1591" s="0" t="n">
        <v>12480</v>
      </c>
      <c r="H1591" s="3" t="s">
        <v>14</v>
      </c>
      <c r="I1591" s="4" t="n">
        <f aca="false">D1591*F1591</f>
        <v>0.63</v>
      </c>
      <c r="J1591" s="3" t="n">
        <f aca="false">IF(AND(LEFT(A1591,1)&lt;&gt;"C",D1591&gt;0,F1591&gt;0),1,0)</f>
        <v>1</v>
      </c>
      <c r="K1591" s="3" t="n">
        <f aca="false">IF(AND(H1591="United Kingdom",G1591&lt;&gt;"",COUNTIFS($G$2:G1591,G1591,$H$2:H1591,"United Kingdom")=1),1,0)</f>
        <v>0</v>
      </c>
    </row>
    <row r="1592" customFormat="false" ht="15" hidden="false" customHeight="false" outlineLevel="0" collapsed="false">
      <c r="A1592" s="0" t="s">
        <v>373</v>
      </c>
      <c r="B1592" s="0" t="s">
        <v>41</v>
      </c>
      <c r="C1592" s="0" t="s">
        <v>42</v>
      </c>
      <c r="D1592" s="0" t="n">
        <v>4</v>
      </c>
      <c r="E1592" s="2" t="n">
        <v>40693.6493055556</v>
      </c>
      <c r="F1592" s="0" t="n">
        <v>3.28</v>
      </c>
      <c r="G1592" s="0" t="n">
        <v>12480</v>
      </c>
      <c r="H1592" s="3" t="s">
        <v>14</v>
      </c>
      <c r="I1592" s="4" t="n">
        <f aca="false">D1592*F1592</f>
        <v>13.12</v>
      </c>
      <c r="J1592" s="3" t="n">
        <f aca="false">IF(AND(LEFT(A1592,1)&lt;&gt;"C",D1592&gt;0,F1592&gt;0),1,0)</f>
        <v>1</v>
      </c>
      <c r="K1592" s="3" t="n">
        <f aca="false">IF(AND(H1592="United Kingdom",G1592&lt;&gt;"",COUNTIFS($G$2:G1592,G1592,$H$2:H1592,"United Kingdom")=1),1,0)</f>
        <v>0</v>
      </c>
    </row>
    <row r="1593" customFormat="false" ht="15" hidden="false" customHeight="false" outlineLevel="0" collapsed="false">
      <c r="A1593" s="0" t="s">
        <v>373</v>
      </c>
      <c r="B1593" s="0" t="s">
        <v>32</v>
      </c>
      <c r="C1593" s="0" t="s">
        <v>33</v>
      </c>
      <c r="D1593" s="0" t="n">
        <v>1</v>
      </c>
      <c r="E1593" s="2" t="n">
        <v>40693.6493055556</v>
      </c>
      <c r="F1593" s="0" t="n">
        <v>1.19</v>
      </c>
      <c r="G1593" s="0" t="n">
        <v>12480</v>
      </c>
      <c r="H1593" s="3" t="s">
        <v>14</v>
      </c>
      <c r="I1593" s="4" t="n">
        <f aca="false">D1593*F1593</f>
        <v>1.19</v>
      </c>
      <c r="J1593" s="3" t="n">
        <f aca="false">IF(AND(LEFT(A1593,1)&lt;&gt;"C",D1593&gt;0,F1593&gt;0),1,0)</f>
        <v>1</v>
      </c>
      <c r="K1593" s="3" t="n">
        <f aca="false">IF(AND(H1593="United Kingdom",G1593&lt;&gt;"",COUNTIFS($G$2:G1593,G1593,$H$2:H1593,"United Kingdom")=1),1,0)</f>
        <v>0</v>
      </c>
    </row>
    <row r="1594" customFormat="false" ht="15" hidden="false" customHeight="false" outlineLevel="0" collapsed="false">
      <c r="A1594" s="0" t="s">
        <v>373</v>
      </c>
      <c r="B1594" s="0" t="s">
        <v>63</v>
      </c>
      <c r="C1594" s="0" t="s">
        <v>64</v>
      </c>
      <c r="D1594" s="0" t="n">
        <v>12</v>
      </c>
      <c r="E1594" s="2" t="n">
        <v>40693.6493055556</v>
      </c>
      <c r="F1594" s="0" t="n">
        <v>2.43</v>
      </c>
      <c r="G1594" s="0" t="n">
        <v>12480</v>
      </c>
      <c r="H1594" s="3" t="s">
        <v>14</v>
      </c>
      <c r="I1594" s="4" t="n">
        <f aca="false">D1594*F1594</f>
        <v>29.16</v>
      </c>
      <c r="J1594" s="3" t="n">
        <f aca="false">IF(AND(LEFT(A1594,1)&lt;&gt;"C",D1594&gt;0,F1594&gt;0),1,0)</f>
        <v>1</v>
      </c>
      <c r="K1594" s="3" t="n">
        <f aca="false">IF(AND(H1594="United Kingdom",G1594&lt;&gt;"",COUNTIFS($G$2:G1594,G1594,$H$2:H1594,"United Kingdom")=1),1,0)</f>
        <v>0</v>
      </c>
    </row>
    <row r="1595" customFormat="false" ht="15" hidden="false" customHeight="false" outlineLevel="0" collapsed="false">
      <c r="A1595" s="0" t="s">
        <v>373</v>
      </c>
      <c r="B1595" s="0" t="s">
        <v>45</v>
      </c>
      <c r="C1595" s="0" t="s">
        <v>46</v>
      </c>
      <c r="D1595" s="0" t="n">
        <v>2</v>
      </c>
      <c r="E1595" s="2" t="n">
        <v>40693.6493055556</v>
      </c>
      <c r="F1595" s="0" t="n">
        <v>4.55</v>
      </c>
      <c r="G1595" s="0" t="n">
        <v>12480</v>
      </c>
      <c r="H1595" s="3" t="s">
        <v>14</v>
      </c>
      <c r="I1595" s="4" t="n">
        <f aca="false">D1595*F1595</f>
        <v>9.1</v>
      </c>
      <c r="J1595" s="3" t="n">
        <f aca="false">IF(AND(LEFT(A1595,1)&lt;&gt;"C",D1595&gt;0,F1595&gt;0),1,0)</f>
        <v>1</v>
      </c>
      <c r="K1595" s="3" t="n">
        <f aca="false">IF(AND(H1595="United Kingdom",G1595&lt;&gt;"",COUNTIFS($G$2:G1595,G1595,$H$2:H1595,"United Kingdom")=1),1,0)</f>
        <v>0</v>
      </c>
    </row>
    <row r="1596" customFormat="false" ht="15" hidden="false" customHeight="false" outlineLevel="0" collapsed="false">
      <c r="A1596" s="0" t="s">
        <v>373</v>
      </c>
      <c r="B1596" s="0" t="s">
        <v>52</v>
      </c>
      <c r="C1596" s="0" t="s">
        <v>53</v>
      </c>
      <c r="D1596" s="0" t="n">
        <v>4</v>
      </c>
      <c r="E1596" s="2" t="n">
        <v>40693.6493055556</v>
      </c>
      <c r="F1596" s="0" t="n">
        <v>4.16</v>
      </c>
      <c r="G1596" s="0" t="n">
        <v>12480</v>
      </c>
      <c r="H1596" s="3" t="s">
        <v>14</v>
      </c>
      <c r="I1596" s="4" t="n">
        <f aca="false">D1596*F1596</f>
        <v>16.64</v>
      </c>
      <c r="J1596" s="3" t="n">
        <f aca="false">IF(AND(LEFT(A1596,1)&lt;&gt;"C",D1596&gt;0,F1596&gt;0),1,0)</f>
        <v>1</v>
      </c>
      <c r="K1596" s="3" t="n">
        <f aca="false">IF(AND(H1596="United Kingdom",G1596&lt;&gt;"",COUNTIFS($G$2:G1596,G1596,$H$2:H1596,"United Kingdom")=1),1,0)</f>
        <v>0</v>
      </c>
    </row>
    <row r="1597" customFormat="false" ht="15" hidden="false" customHeight="false" outlineLevel="0" collapsed="false">
      <c r="A1597" s="0" t="s">
        <v>373</v>
      </c>
      <c r="B1597" s="0" t="s">
        <v>15</v>
      </c>
      <c r="C1597" s="0" t="s">
        <v>16</v>
      </c>
      <c r="D1597" s="0" t="n">
        <v>8</v>
      </c>
      <c r="E1597" s="2" t="n">
        <v>40693.6493055556</v>
      </c>
      <c r="F1597" s="0" t="n">
        <v>3.18</v>
      </c>
      <c r="G1597" s="0" t="n">
        <v>12480</v>
      </c>
      <c r="H1597" s="3" t="s">
        <v>14</v>
      </c>
      <c r="I1597" s="4" t="n">
        <f aca="false">D1597*F1597</f>
        <v>25.44</v>
      </c>
      <c r="J1597" s="3" t="n">
        <f aca="false">IF(AND(LEFT(A1597,1)&lt;&gt;"C",D1597&gt;0,F1597&gt;0),1,0)</f>
        <v>1</v>
      </c>
      <c r="K1597" s="3" t="n">
        <f aca="false">IF(AND(H1597="United Kingdom",G1597&lt;&gt;"",COUNTIFS($G$2:G1597,G1597,$H$2:H1597,"United Kingdom")=1),1,0)</f>
        <v>0</v>
      </c>
    </row>
    <row r="1598" customFormat="false" ht="15" hidden="false" customHeight="false" outlineLevel="0" collapsed="false">
      <c r="A1598" s="0" t="s">
        <v>373</v>
      </c>
      <c r="B1598" s="0" t="s">
        <v>80</v>
      </c>
      <c r="C1598" s="0" t="s">
        <v>81</v>
      </c>
      <c r="D1598" s="0" t="n">
        <v>3</v>
      </c>
      <c r="E1598" s="2" t="n">
        <v>40693.6493055556</v>
      </c>
      <c r="F1598" s="0" t="n">
        <v>1.53</v>
      </c>
      <c r="G1598" s="0" t="n">
        <v>12480</v>
      </c>
      <c r="H1598" s="3" t="s">
        <v>14</v>
      </c>
      <c r="I1598" s="4" t="n">
        <f aca="false">D1598*F1598</f>
        <v>4.59</v>
      </c>
      <c r="J1598" s="3" t="n">
        <f aca="false">IF(AND(LEFT(A1598,1)&lt;&gt;"C",D1598&gt;0,F1598&gt;0),1,0)</f>
        <v>1</v>
      </c>
      <c r="K1598" s="3" t="n">
        <f aca="false">IF(AND(H1598="United Kingdom",G1598&lt;&gt;"",COUNTIFS($G$2:G1598,G1598,$H$2:H1598,"United Kingdom")=1),1,0)</f>
        <v>0</v>
      </c>
    </row>
    <row r="1599" customFormat="false" ht="15" hidden="false" customHeight="false" outlineLevel="0" collapsed="false">
      <c r="A1599" s="0" t="s">
        <v>373</v>
      </c>
      <c r="B1599" s="0" t="s">
        <v>65</v>
      </c>
      <c r="C1599" s="0" t="s">
        <v>66</v>
      </c>
      <c r="D1599" s="0" t="n">
        <v>3</v>
      </c>
      <c r="E1599" s="2" t="n">
        <v>40693.6493055556</v>
      </c>
      <c r="F1599" s="0" t="n">
        <v>4.75</v>
      </c>
      <c r="G1599" s="0" t="n">
        <v>12480</v>
      </c>
      <c r="H1599" s="3" t="s">
        <v>14</v>
      </c>
      <c r="I1599" s="4" t="n">
        <f aca="false">D1599*F1599</f>
        <v>14.25</v>
      </c>
      <c r="J1599" s="3" t="n">
        <f aca="false">IF(AND(LEFT(A1599,1)&lt;&gt;"C",D1599&gt;0,F1599&gt;0),1,0)</f>
        <v>1</v>
      </c>
      <c r="K1599" s="3" t="n">
        <f aca="false">IF(AND(H1599="United Kingdom",G1599&lt;&gt;"",COUNTIFS($G$2:G1599,G1599,$H$2:H1599,"United Kingdom")=1),1,0)</f>
        <v>0</v>
      </c>
    </row>
    <row r="1600" customFormat="false" ht="15" hidden="false" customHeight="false" outlineLevel="0" collapsed="false">
      <c r="A1600" s="0" t="s">
        <v>373</v>
      </c>
      <c r="B1600" s="0" t="s">
        <v>12</v>
      </c>
      <c r="C1600" s="0" t="s">
        <v>13</v>
      </c>
      <c r="D1600" s="0" t="n">
        <v>6</v>
      </c>
      <c r="E1600" s="2" t="n">
        <v>40693.6493055556</v>
      </c>
      <c r="F1600" s="0" t="n">
        <v>3.33</v>
      </c>
      <c r="G1600" s="0" t="n">
        <v>12480</v>
      </c>
      <c r="H1600" s="3" t="s">
        <v>14</v>
      </c>
      <c r="I1600" s="4" t="n">
        <f aca="false">D1600*F1600</f>
        <v>19.98</v>
      </c>
      <c r="J1600" s="3" t="n">
        <f aca="false">IF(AND(LEFT(A1600,1)&lt;&gt;"C",D1600&gt;0,F1600&gt;0),1,0)</f>
        <v>1</v>
      </c>
      <c r="K1600" s="3" t="n">
        <f aca="false">IF(AND(H1600="United Kingdom",G1600&lt;&gt;"",COUNTIFS($G$2:G1600,G1600,$H$2:H1600,"United Kingdom")=1),1,0)</f>
        <v>0</v>
      </c>
    </row>
    <row r="1601" customFormat="false" ht="15" hidden="false" customHeight="false" outlineLevel="0" collapsed="false">
      <c r="A1601" s="0" t="s">
        <v>374</v>
      </c>
      <c r="B1601" s="0" t="s">
        <v>12</v>
      </c>
      <c r="C1601" s="0" t="s">
        <v>13</v>
      </c>
      <c r="D1601" s="0" t="n">
        <v>16</v>
      </c>
      <c r="E1601" s="2" t="n">
        <v>40693.7395833333</v>
      </c>
      <c r="F1601" s="0" t="n">
        <v>3.33</v>
      </c>
      <c r="G1601" s="0" t="n">
        <v>12788</v>
      </c>
      <c r="H1601" s="3" t="s">
        <v>14</v>
      </c>
      <c r="I1601" s="4" t="n">
        <f aca="false">D1601*F1601</f>
        <v>53.28</v>
      </c>
      <c r="J1601" s="3" t="n">
        <f aca="false">IF(AND(LEFT(A1601,1)&lt;&gt;"C",D1601&gt;0,F1601&gt;0),1,0)</f>
        <v>1</v>
      </c>
      <c r="K1601" s="3" t="n">
        <f aca="false">IF(AND(H1601="United Kingdom",G1601&lt;&gt;"",COUNTIFS($G$2:G1601,G1601,$H$2:H1601,"United Kingdom")=1),1,0)</f>
        <v>0</v>
      </c>
    </row>
    <row r="1602" customFormat="false" ht="15" hidden="false" customHeight="false" outlineLevel="0" collapsed="false">
      <c r="A1602" s="0" t="s">
        <v>374</v>
      </c>
      <c r="B1602" s="0" t="s">
        <v>27</v>
      </c>
      <c r="C1602" s="0" t="s">
        <v>28</v>
      </c>
      <c r="D1602" s="0" t="n">
        <v>3</v>
      </c>
      <c r="E1602" s="2" t="n">
        <v>40693.7395833333</v>
      </c>
      <c r="F1602" s="0" t="n">
        <v>4.55</v>
      </c>
      <c r="G1602" s="0" t="n">
        <v>12788</v>
      </c>
      <c r="H1602" s="3" t="s">
        <v>14</v>
      </c>
      <c r="I1602" s="4" t="n">
        <f aca="false">D1602*F1602</f>
        <v>13.65</v>
      </c>
      <c r="J1602" s="3" t="n">
        <f aca="false">IF(AND(LEFT(A1602,1)&lt;&gt;"C",D1602&gt;0,F1602&gt;0),1,0)</f>
        <v>1</v>
      </c>
      <c r="K1602" s="3" t="n">
        <f aca="false">IF(AND(H1602="United Kingdom",G1602&lt;&gt;"",COUNTIFS($G$2:G1602,G1602,$H$2:H1602,"United Kingdom")=1),1,0)</f>
        <v>0</v>
      </c>
    </row>
    <row r="1603" customFormat="false" ht="15" hidden="false" customHeight="false" outlineLevel="0" collapsed="false">
      <c r="A1603" s="0" t="s">
        <v>374</v>
      </c>
      <c r="B1603" s="0" t="s">
        <v>48</v>
      </c>
      <c r="C1603" s="0" t="s">
        <v>49</v>
      </c>
      <c r="D1603" s="0" t="n">
        <v>1</v>
      </c>
      <c r="E1603" s="2" t="n">
        <v>40693.7395833333</v>
      </c>
      <c r="F1603" s="0" t="n">
        <v>1.35</v>
      </c>
      <c r="G1603" s="0" t="n">
        <v>12788</v>
      </c>
      <c r="H1603" s="3" t="s">
        <v>14</v>
      </c>
      <c r="I1603" s="4" t="n">
        <f aca="false">D1603*F1603</f>
        <v>1.35</v>
      </c>
      <c r="J1603" s="3" t="n">
        <f aca="false">IF(AND(LEFT(A1603,1)&lt;&gt;"C",D1603&gt;0,F1603&gt;0),1,0)</f>
        <v>1</v>
      </c>
      <c r="K1603" s="3" t="n">
        <f aca="false">IF(AND(H1603="United Kingdom",G1603&lt;&gt;"",COUNTIFS($G$2:G1603,G1603,$H$2:H1603,"United Kingdom")=1),1,0)</f>
        <v>0</v>
      </c>
    </row>
    <row r="1604" customFormat="false" ht="15" hidden="false" customHeight="false" outlineLevel="0" collapsed="false">
      <c r="A1604" s="0" t="s">
        <v>375</v>
      </c>
      <c r="B1604" s="0" t="s">
        <v>63</v>
      </c>
      <c r="C1604" s="0" t="s">
        <v>64</v>
      </c>
      <c r="D1604" s="0" t="n">
        <v>2</v>
      </c>
      <c r="E1604" s="2" t="n">
        <v>40694.5</v>
      </c>
      <c r="F1604" s="0" t="n">
        <v>2.43</v>
      </c>
      <c r="G1604" s="0" t="n">
        <v>13331</v>
      </c>
      <c r="H1604" s="3" t="s">
        <v>14</v>
      </c>
      <c r="I1604" s="4" t="n">
        <f aca="false">D1604*F1604</f>
        <v>4.86</v>
      </c>
      <c r="J1604" s="3" t="n">
        <f aca="false">IF(AND(LEFT(A1604,1)&lt;&gt;"C",D1604&gt;0,F1604&gt;0),1,0)</f>
        <v>1</v>
      </c>
      <c r="K1604" s="3" t="n">
        <f aca="false">IF(AND(H1604="United Kingdom",G1604&lt;&gt;"",COUNTIFS($G$2:G1604,G1604,$H$2:H1604,"United Kingdom")=1),1,0)</f>
        <v>1</v>
      </c>
    </row>
    <row r="1605" customFormat="false" ht="15" hidden="false" customHeight="false" outlineLevel="0" collapsed="false">
      <c r="A1605" s="0" t="s">
        <v>375</v>
      </c>
      <c r="B1605" s="0" t="s">
        <v>27</v>
      </c>
      <c r="C1605" s="0" t="s">
        <v>28</v>
      </c>
      <c r="D1605" s="0" t="n">
        <v>4</v>
      </c>
      <c r="E1605" s="2" t="n">
        <v>40694.5</v>
      </c>
      <c r="F1605" s="0" t="n">
        <v>4.55</v>
      </c>
      <c r="G1605" s="0" t="n">
        <v>13331</v>
      </c>
      <c r="H1605" s="3" t="s">
        <v>14</v>
      </c>
      <c r="I1605" s="4" t="n">
        <f aca="false">D1605*F1605</f>
        <v>18.2</v>
      </c>
      <c r="J1605" s="3" t="n">
        <f aca="false">IF(AND(LEFT(A1605,1)&lt;&gt;"C",D1605&gt;0,F1605&gt;0),1,0)</f>
        <v>1</v>
      </c>
      <c r="K1605" s="3" t="n">
        <f aca="false">IF(AND(H1605="United Kingdom",G1605&lt;&gt;"",COUNTIFS($G$2:G1605,G1605,$H$2:H1605,"United Kingdom")=1),1,0)</f>
        <v>0</v>
      </c>
    </row>
    <row r="1606" customFormat="false" ht="15" hidden="false" customHeight="false" outlineLevel="0" collapsed="false">
      <c r="A1606" s="0" t="s">
        <v>375</v>
      </c>
      <c r="B1606" s="0" t="s">
        <v>65</v>
      </c>
      <c r="C1606" s="0" t="s">
        <v>66</v>
      </c>
      <c r="D1606" s="0" t="n">
        <v>4</v>
      </c>
      <c r="E1606" s="2" t="n">
        <v>40694.5</v>
      </c>
      <c r="F1606" s="0" t="n">
        <v>4.75</v>
      </c>
      <c r="G1606" s="0" t="n">
        <v>13331</v>
      </c>
      <c r="H1606" s="3" t="s">
        <v>14</v>
      </c>
      <c r="I1606" s="4" t="n">
        <f aca="false">D1606*F1606</f>
        <v>19</v>
      </c>
      <c r="J1606" s="3" t="n">
        <f aca="false">IF(AND(LEFT(A1606,1)&lt;&gt;"C",D1606&gt;0,F1606&gt;0),1,0)</f>
        <v>1</v>
      </c>
      <c r="K1606" s="3" t="n">
        <f aca="false">IF(AND(H1606="United Kingdom",G1606&lt;&gt;"",COUNTIFS($G$2:G1606,G1606,$H$2:H1606,"United Kingdom")=1),1,0)</f>
        <v>0</v>
      </c>
    </row>
    <row r="1607" customFormat="false" ht="15" hidden="false" customHeight="false" outlineLevel="0" collapsed="false">
      <c r="A1607" s="0" t="s">
        <v>375</v>
      </c>
      <c r="B1607" s="0" t="s">
        <v>25</v>
      </c>
      <c r="C1607" s="0" t="s">
        <v>26</v>
      </c>
      <c r="D1607" s="0" t="n">
        <v>2</v>
      </c>
      <c r="E1607" s="2" t="n">
        <v>40694.5</v>
      </c>
      <c r="F1607" s="0" t="n">
        <v>2.21</v>
      </c>
      <c r="G1607" s="0" t="n">
        <v>13331</v>
      </c>
      <c r="H1607" s="3" t="s">
        <v>14</v>
      </c>
      <c r="I1607" s="4" t="n">
        <f aca="false">D1607*F1607</f>
        <v>4.42</v>
      </c>
      <c r="J1607" s="3" t="n">
        <f aca="false">IF(AND(LEFT(A1607,1)&lt;&gt;"C",D1607&gt;0,F1607&gt;0),1,0)</f>
        <v>1</v>
      </c>
      <c r="K1607" s="3" t="n">
        <f aca="false">IF(AND(H1607="United Kingdom",G1607&lt;&gt;"",COUNTIFS($G$2:G1607,G1607,$H$2:H1607,"United Kingdom")=1),1,0)</f>
        <v>0</v>
      </c>
    </row>
    <row r="1608" customFormat="false" ht="15" hidden="false" customHeight="false" outlineLevel="0" collapsed="false">
      <c r="A1608" s="0" t="s">
        <v>375</v>
      </c>
      <c r="B1608" s="0" t="s">
        <v>34</v>
      </c>
      <c r="C1608" s="0" t="s">
        <v>35</v>
      </c>
      <c r="D1608" s="0" t="n">
        <v>3</v>
      </c>
      <c r="E1608" s="2" t="n">
        <v>40694.5</v>
      </c>
      <c r="F1608" s="0" t="n">
        <v>2.38</v>
      </c>
      <c r="G1608" s="0" t="n">
        <v>13331</v>
      </c>
      <c r="H1608" s="3" t="s">
        <v>14</v>
      </c>
      <c r="I1608" s="4" t="n">
        <f aca="false">D1608*F1608</f>
        <v>7.14</v>
      </c>
      <c r="J1608" s="3" t="n">
        <f aca="false">IF(AND(LEFT(A1608,1)&lt;&gt;"C",D1608&gt;0,F1608&gt;0),1,0)</f>
        <v>1</v>
      </c>
      <c r="K1608" s="3" t="n">
        <f aca="false">IF(AND(H1608="United Kingdom",G1608&lt;&gt;"",COUNTIFS($G$2:G1608,G1608,$H$2:H1608,"United Kingdom")=1),1,0)</f>
        <v>0</v>
      </c>
    </row>
    <row r="1609" customFormat="false" ht="15" hidden="false" customHeight="false" outlineLevel="0" collapsed="false">
      <c r="A1609" s="0" t="s">
        <v>375</v>
      </c>
      <c r="B1609" s="0" t="s">
        <v>20</v>
      </c>
      <c r="C1609" s="0" t="s">
        <v>21</v>
      </c>
      <c r="D1609" s="0" t="n">
        <v>8</v>
      </c>
      <c r="E1609" s="2" t="n">
        <v>40694.5</v>
      </c>
      <c r="F1609" s="0" t="n">
        <v>4.24</v>
      </c>
      <c r="G1609" s="0" t="n">
        <v>13331</v>
      </c>
      <c r="H1609" s="3" t="s">
        <v>14</v>
      </c>
      <c r="I1609" s="4" t="n">
        <f aca="false">D1609*F1609</f>
        <v>33.92</v>
      </c>
      <c r="J1609" s="3" t="n">
        <f aca="false">IF(AND(LEFT(A1609,1)&lt;&gt;"C",D1609&gt;0,F1609&gt;0),1,0)</f>
        <v>1</v>
      </c>
      <c r="K1609" s="3" t="n">
        <f aca="false">IF(AND(H1609="United Kingdom",G1609&lt;&gt;"",COUNTIFS($G$2:G1609,G1609,$H$2:H1609,"United Kingdom")=1),1,0)</f>
        <v>0</v>
      </c>
    </row>
    <row r="1610" customFormat="false" ht="15" hidden="false" customHeight="false" outlineLevel="0" collapsed="false">
      <c r="A1610" s="0" t="s">
        <v>376</v>
      </c>
      <c r="B1610" s="0" t="s">
        <v>77</v>
      </c>
      <c r="C1610" s="0" t="s">
        <v>78</v>
      </c>
      <c r="D1610" s="0" t="n">
        <v>8</v>
      </c>
      <c r="E1610" s="2" t="n">
        <v>40695.7375</v>
      </c>
      <c r="F1610" s="0" t="n">
        <v>3.41</v>
      </c>
      <c r="G1610" s="0" t="n">
        <v>16238</v>
      </c>
      <c r="H1610" s="3" t="s">
        <v>14</v>
      </c>
      <c r="I1610" s="4" t="n">
        <f aca="false">D1610*F1610</f>
        <v>27.28</v>
      </c>
      <c r="J1610" s="3" t="n">
        <f aca="false">IF(AND(LEFT(A1610,1)&lt;&gt;"C",D1610&gt;0,F1610&gt;0),1,0)</f>
        <v>1</v>
      </c>
      <c r="K1610" s="3" t="n">
        <f aca="false">IF(AND(H1610="United Kingdom",G1610&lt;&gt;"",COUNTIFS($G$2:G1610,G1610,$H$2:H1610,"United Kingdom")=1),1,0)</f>
        <v>1</v>
      </c>
    </row>
    <row r="1611" customFormat="false" ht="15" hidden="false" customHeight="false" outlineLevel="0" collapsed="false">
      <c r="A1611" s="0" t="s">
        <v>376</v>
      </c>
      <c r="B1611" s="0" t="s">
        <v>113</v>
      </c>
      <c r="C1611" s="0" t="s">
        <v>114</v>
      </c>
      <c r="D1611" s="0" t="n">
        <v>1</v>
      </c>
      <c r="E1611" s="2" t="n">
        <v>40695.7375</v>
      </c>
      <c r="F1611" s="0" t="n">
        <v>3.57</v>
      </c>
      <c r="G1611" s="0" t="n">
        <v>16238</v>
      </c>
      <c r="H1611" s="3" t="s">
        <v>14</v>
      </c>
      <c r="I1611" s="4" t="n">
        <f aca="false">D1611*F1611</f>
        <v>3.57</v>
      </c>
      <c r="J1611" s="3" t="n">
        <f aca="false">IF(AND(LEFT(A1611,1)&lt;&gt;"C",D1611&gt;0,F1611&gt;0),1,0)</f>
        <v>1</v>
      </c>
      <c r="K1611" s="3" t="n">
        <f aca="false">IF(AND(H1611="United Kingdom",G1611&lt;&gt;"",COUNTIFS($G$2:G1611,G1611,$H$2:H1611,"United Kingdom")=1),1,0)</f>
        <v>0</v>
      </c>
    </row>
    <row r="1612" customFormat="false" ht="15" hidden="false" customHeight="false" outlineLevel="0" collapsed="false">
      <c r="A1612" s="0" t="s">
        <v>376</v>
      </c>
      <c r="B1612" s="0" t="s">
        <v>29</v>
      </c>
      <c r="C1612" s="0" t="s">
        <v>30</v>
      </c>
      <c r="D1612" s="0" t="n">
        <v>12</v>
      </c>
      <c r="E1612" s="2" t="n">
        <v>40695.7375</v>
      </c>
      <c r="F1612" s="0" t="n">
        <v>5.79</v>
      </c>
      <c r="G1612" s="0" t="n">
        <v>16238</v>
      </c>
      <c r="H1612" s="3" t="s">
        <v>14</v>
      </c>
      <c r="I1612" s="4" t="n">
        <f aca="false">D1612*F1612</f>
        <v>69.48</v>
      </c>
      <c r="J1612" s="3" t="n">
        <f aca="false">IF(AND(LEFT(A1612,1)&lt;&gt;"C",D1612&gt;0,F1612&gt;0),1,0)</f>
        <v>1</v>
      </c>
      <c r="K1612" s="3" t="n">
        <f aca="false">IF(AND(H1612="United Kingdom",G1612&lt;&gt;"",COUNTIFS($G$2:G1612,G1612,$H$2:H1612,"United Kingdom")=1),1,0)</f>
        <v>0</v>
      </c>
    </row>
    <row r="1613" customFormat="false" ht="15" hidden="false" customHeight="false" outlineLevel="0" collapsed="false">
      <c r="A1613" s="0" t="s">
        <v>376</v>
      </c>
      <c r="B1613" s="0" t="s">
        <v>65</v>
      </c>
      <c r="C1613" s="0" t="s">
        <v>66</v>
      </c>
      <c r="D1613" s="0" t="n">
        <v>12</v>
      </c>
      <c r="E1613" s="2" t="n">
        <v>40695.7375</v>
      </c>
      <c r="F1613" s="0" t="n">
        <v>4.75</v>
      </c>
      <c r="G1613" s="0" t="n">
        <v>16238</v>
      </c>
      <c r="H1613" s="3" t="s">
        <v>14</v>
      </c>
      <c r="I1613" s="4" t="n">
        <f aca="false">D1613*F1613</f>
        <v>57</v>
      </c>
      <c r="J1613" s="3" t="n">
        <f aca="false">IF(AND(LEFT(A1613,1)&lt;&gt;"C",D1613&gt;0,F1613&gt;0),1,0)</f>
        <v>1</v>
      </c>
      <c r="K1613" s="3" t="n">
        <f aca="false">IF(AND(H1613="United Kingdom",G1613&lt;&gt;"",COUNTIFS($G$2:G1613,G1613,$H$2:H1613,"United Kingdom")=1),1,0)</f>
        <v>0</v>
      </c>
    </row>
    <row r="1614" customFormat="false" ht="15" hidden="false" customHeight="false" outlineLevel="0" collapsed="false">
      <c r="A1614" s="0" t="s">
        <v>376</v>
      </c>
      <c r="B1614" s="0" t="s">
        <v>20</v>
      </c>
      <c r="C1614" s="0" t="s">
        <v>21</v>
      </c>
      <c r="D1614" s="0" t="n">
        <v>8</v>
      </c>
      <c r="E1614" s="2" t="n">
        <v>40695.7375</v>
      </c>
      <c r="F1614" s="0" t="n">
        <v>4.24</v>
      </c>
      <c r="G1614" s="0" t="n">
        <v>16238</v>
      </c>
      <c r="H1614" s="3" t="s">
        <v>14</v>
      </c>
      <c r="I1614" s="4" t="n">
        <f aca="false">D1614*F1614</f>
        <v>33.92</v>
      </c>
      <c r="J1614" s="3" t="n">
        <f aca="false">IF(AND(LEFT(A1614,1)&lt;&gt;"C",D1614&gt;0,F1614&gt;0),1,0)</f>
        <v>1</v>
      </c>
      <c r="K1614" s="3" t="n">
        <f aca="false">IF(AND(H1614="United Kingdom",G1614&lt;&gt;"",COUNTIFS($G$2:G1614,G1614,$H$2:H1614,"United Kingdom")=1),1,0)</f>
        <v>0</v>
      </c>
    </row>
    <row r="1615" customFormat="false" ht="15" hidden="false" customHeight="false" outlineLevel="0" collapsed="false">
      <c r="A1615" s="0" t="s">
        <v>376</v>
      </c>
      <c r="B1615" s="0" t="s">
        <v>25</v>
      </c>
      <c r="C1615" s="0" t="s">
        <v>26</v>
      </c>
      <c r="D1615" s="0" t="n">
        <v>8</v>
      </c>
      <c r="E1615" s="2" t="n">
        <v>40695.7375</v>
      </c>
      <c r="F1615" s="0" t="n">
        <v>2.21</v>
      </c>
      <c r="G1615" s="0" t="n">
        <v>16238</v>
      </c>
      <c r="H1615" s="3" t="s">
        <v>14</v>
      </c>
      <c r="I1615" s="4" t="n">
        <f aca="false">D1615*F1615</f>
        <v>17.68</v>
      </c>
      <c r="J1615" s="3" t="n">
        <f aca="false">IF(AND(LEFT(A1615,1)&lt;&gt;"C",D1615&gt;0,F1615&gt;0),1,0)</f>
        <v>1</v>
      </c>
      <c r="K1615" s="3" t="n">
        <f aca="false">IF(AND(H1615="United Kingdom",G1615&lt;&gt;"",COUNTIFS($G$2:G1615,G1615,$H$2:H1615,"United Kingdom")=1),1,0)</f>
        <v>0</v>
      </c>
    </row>
    <row r="1616" customFormat="false" ht="15" hidden="false" customHeight="false" outlineLevel="0" collapsed="false">
      <c r="A1616" s="0" t="s">
        <v>376</v>
      </c>
      <c r="B1616" s="0" t="s">
        <v>90</v>
      </c>
      <c r="C1616" s="0" t="s">
        <v>91</v>
      </c>
      <c r="D1616" s="0" t="n">
        <v>1</v>
      </c>
      <c r="E1616" s="2" t="n">
        <v>40695.7375</v>
      </c>
      <c r="F1616" s="0" t="n">
        <v>3.04</v>
      </c>
      <c r="G1616" s="0" t="n">
        <v>16238</v>
      </c>
      <c r="H1616" s="3" t="s">
        <v>14</v>
      </c>
      <c r="I1616" s="4" t="n">
        <f aca="false">D1616*F1616</f>
        <v>3.04</v>
      </c>
      <c r="J1616" s="3" t="n">
        <f aca="false">IF(AND(LEFT(A1616,1)&lt;&gt;"C",D1616&gt;0,F1616&gt;0),1,0)</f>
        <v>1</v>
      </c>
      <c r="K1616" s="3" t="n">
        <f aca="false">IF(AND(H1616="United Kingdom",G1616&lt;&gt;"",COUNTIFS($G$2:G1616,G1616,$H$2:H1616,"United Kingdom")=1),1,0)</f>
        <v>0</v>
      </c>
    </row>
    <row r="1617" customFormat="false" ht="15" hidden="false" customHeight="false" outlineLevel="0" collapsed="false">
      <c r="A1617" s="0" t="s">
        <v>376</v>
      </c>
      <c r="B1617" s="0" t="s">
        <v>50</v>
      </c>
      <c r="C1617" s="0" t="s">
        <v>51</v>
      </c>
      <c r="D1617" s="0" t="n">
        <v>12</v>
      </c>
      <c r="E1617" s="2" t="n">
        <v>40695.7375</v>
      </c>
      <c r="F1617" s="0" t="n">
        <v>5.41</v>
      </c>
      <c r="G1617" s="0" t="n">
        <v>16238</v>
      </c>
      <c r="H1617" s="3" t="s">
        <v>14</v>
      </c>
      <c r="I1617" s="4" t="n">
        <f aca="false">D1617*F1617</f>
        <v>64.92</v>
      </c>
      <c r="J1617" s="3" t="n">
        <f aca="false">IF(AND(LEFT(A1617,1)&lt;&gt;"C",D1617&gt;0,F1617&gt;0),1,0)</f>
        <v>1</v>
      </c>
      <c r="K1617" s="3" t="n">
        <f aca="false">IF(AND(H1617="United Kingdom",G1617&lt;&gt;"",COUNTIFS($G$2:G1617,G1617,$H$2:H1617,"United Kingdom")=1),1,0)</f>
        <v>0</v>
      </c>
    </row>
    <row r="1618" customFormat="false" ht="15" hidden="false" customHeight="false" outlineLevel="0" collapsed="false">
      <c r="A1618" s="0" t="s">
        <v>376</v>
      </c>
      <c r="B1618" s="0" t="s">
        <v>17</v>
      </c>
      <c r="C1618" s="0" t="s">
        <v>18</v>
      </c>
      <c r="D1618" s="0" t="n">
        <v>2</v>
      </c>
      <c r="E1618" s="2" t="n">
        <v>40695.7375</v>
      </c>
      <c r="F1618" s="0" t="n">
        <v>1.92</v>
      </c>
      <c r="G1618" s="0" t="n">
        <v>16238</v>
      </c>
      <c r="H1618" s="3" t="s">
        <v>14</v>
      </c>
      <c r="I1618" s="4" t="n">
        <f aca="false">D1618*F1618</f>
        <v>3.84</v>
      </c>
      <c r="J1618" s="3" t="n">
        <f aca="false">IF(AND(LEFT(A1618,1)&lt;&gt;"C",D1618&gt;0,F1618&gt;0),1,0)</f>
        <v>1</v>
      </c>
      <c r="K1618" s="3" t="n">
        <f aca="false">IF(AND(H1618="United Kingdom",G1618&lt;&gt;"",COUNTIFS($G$2:G1618,G1618,$H$2:H1618,"United Kingdom")=1),1,0)</f>
        <v>0</v>
      </c>
    </row>
    <row r="1619" customFormat="false" ht="15" hidden="false" customHeight="false" outlineLevel="0" collapsed="false">
      <c r="A1619" s="0" t="s">
        <v>376</v>
      </c>
      <c r="B1619" s="0" t="s">
        <v>52</v>
      </c>
      <c r="C1619" s="0" t="s">
        <v>53</v>
      </c>
      <c r="D1619" s="0" t="n">
        <v>4</v>
      </c>
      <c r="E1619" s="2" t="n">
        <v>40695.7375</v>
      </c>
      <c r="F1619" s="0" t="n">
        <v>4.16</v>
      </c>
      <c r="G1619" s="0" t="n">
        <v>16238</v>
      </c>
      <c r="H1619" s="3" t="s">
        <v>14</v>
      </c>
      <c r="I1619" s="4" t="n">
        <f aca="false">D1619*F1619</f>
        <v>16.64</v>
      </c>
      <c r="J1619" s="3" t="n">
        <f aca="false">IF(AND(LEFT(A1619,1)&lt;&gt;"C",D1619&gt;0,F1619&gt;0),1,0)</f>
        <v>1</v>
      </c>
      <c r="K1619" s="3" t="n">
        <f aca="false">IF(AND(H1619="United Kingdom",G1619&lt;&gt;"",COUNTIFS($G$2:G1619,G1619,$H$2:H1619,"United Kingdom")=1),1,0)</f>
        <v>0</v>
      </c>
    </row>
    <row r="1620" customFormat="false" ht="15" hidden="false" customHeight="false" outlineLevel="0" collapsed="false">
      <c r="A1620" s="0" t="s">
        <v>376</v>
      </c>
      <c r="B1620" s="0" t="s">
        <v>63</v>
      </c>
      <c r="C1620" s="0" t="s">
        <v>64</v>
      </c>
      <c r="D1620" s="0" t="n">
        <v>1</v>
      </c>
      <c r="E1620" s="2" t="n">
        <v>40695.7375</v>
      </c>
      <c r="F1620" s="0" t="n">
        <v>2.43</v>
      </c>
      <c r="G1620" s="0" t="n">
        <v>16238</v>
      </c>
      <c r="H1620" s="3" t="s">
        <v>14</v>
      </c>
      <c r="I1620" s="4" t="n">
        <f aca="false">D1620*F1620</f>
        <v>2.43</v>
      </c>
      <c r="J1620" s="3" t="n">
        <f aca="false">IF(AND(LEFT(A1620,1)&lt;&gt;"C",D1620&gt;0,F1620&gt;0),1,0)</f>
        <v>1</v>
      </c>
      <c r="K1620" s="3" t="n">
        <f aca="false">IF(AND(H1620="United Kingdom",G1620&lt;&gt;"",COUNTIFS($G$2:G1620,G1620,$H$2:H1620,"United Kingdom")=1),1,0)</f>
        <v>0</v>
      </c>
    </row>
    <row r="1621" customFormat="false" ht="15" hidden="false" customHeight="false" outlineLevel="0" collapsed="false">
      <c r="A1621" s="0" t="s">
        <v>376</v>
      </c>
      <c r="B1621" s="0" t="s">
        <v>54</v>
      </c>
      <c r="C1621" s="0" t="s">
        <v>55</v>
      </c>
      <c r="D1621" s="0" t="n">
        <v>6</v>
      </c>
      <c r="E1621" s="2" t="n">
        <v>40695.7375</v>
      </c>
      <c r="F1621" s="0" t="n">
        <v>0.99</v>
      </c>
      <c r="G1621" s="0" t="n">
        <v>16238</v>
      </c>
      <c r="H1621" s="3" t="s">
        <v>14</v>
      </c>
      <c r="I1621" s="4" t="n">
        <f aca="false">D1621*F1621</f>
        <v>5.94</v>
      </c>
      <c r="J1621" s="3" t="n">
        <f aca="false">IF(AND(LEFT(A1621,1)&lt;&gt;"C",D1621&gt;0,F1621&gt;0),1,0)</f>
        <v>1</v>
      </c>
      <c r="K1621" s="3" t="n">
        <f aca="false">IF(AND(H1621="United Kingdom",G1621&lt;&gt;"",COUNTIFS($G$2:G1621,G1621,$H$2:H1621,"United Kingdom")=1),1,0)</f>
        <v>0</v>
      </c>
    </row>
    <row r="1622" customFormat="false" ht="15" hidden="false" customHeight="false" outlineLevel="0" collapsed="false">
      <c r="A1622" s="0" t="s">
        <v>376</v>
      </c>
      <c r="B1622" s="0" t="s">
        <v>32</v>
      </c>
      <c r="C1622" s="0" t="s">
        <v>33</v>
      </c>
      <c r="D1622" s="0" t="n">
        <v>1</v>
      </c>
      <c r="E1622" s="2" t="n">
        <v>40695.7375</v>
      </c>
      <c r="F1622" s="0" t="n">
        <v>1.19</v>
      </c>
      <c r="G1622" s="0" t="n">
        <v>16238</v>
      </c>
      <c r="H1622" s="3" t="s">
        <v>14</v>
      </c>
      <c r="I1622" s="4" t="n">
        <f aca="false">D1622*F1622</f>
        <v>1.19</v>
      </c>
      <c r="J1622" s="3" t="n">
        <f aca="false">IF(AND(LEFT(A1622,1)&lt;&gt;"C",D1622&gt;0,F1622&gt;0),1,0)</f>
        <v>1</v>
      </c>
      <c r="K1622" s="3" t="n">
        <f aca="false">IF(AND(H1622="United Kingdom",G1622&lt;&gt;"",COUNTIFS($G$2:G1622,G1622,$H$2:H1622,"United Kingdom")=1),1,0)</f>
        <v>0</v>
      </c>
    </row>
    <row r="1623" customFormat="false" ht="15" hidden="false" customHeight="false" outlineLevel="0" collapsed="false">
      <c r="A1623" s="0" t="s">
        <v>376</v>
      </c>
      <c r="B1623" s="0" t="s">
        <v>68</v>
      </c>
      <c r="C1623" s="0" t="s">
        <v>69</v>
      </c>
      <c r="D1623" s="0" t="n">
        <v>2</v>
      </c>
      <c r="E1623" s="2" t="n">
        <v>40695.7375</v>
      </c>
      <c r="F1623" s="0" t="n">
        <v>1.26</v>
      </c>
      <c r="G1623" s="0" t="n">
        <v>16238</v>
      </c>
      <c r="H1623" s="3" t="s">
        <v>14</v>
      </c>
      <c r="I1623" s="4" t="n">
        <f aca="false">D1623*F1623</f>
        <v>2.52</v>
      </c>
      <c r="J1623" s="3" t="n">
        <f aca="false">IF(AND(LEFT(A1623,1)&lt;&gt;"C",D1623&gt;0,F1623&gt;0),1,0)</f>
        <v>1</v>
      </c>
      <c r="K1623" s="3" t="n">
        <f aca="false">IF(AND(H1623="United Kingdom",G1623&lt;&gt;"",COUNTIFS($G$2:G1623,G1623,$H$2:H1623,"United Kingdom")=1),1,0)</f>
        <v>0</v>
      </c>
    </row>
    <row r="1624" customFormat="false" ht="15" hidden="false" customHeight="false" outlineLevel="0" collapsed="false">
      <c r="A1624" s="0" t="s">
        <v>376</v>
      </c>
      <c r="B1624" s="0" t="s">
        <v>22</v>
      </c>
      <c r="C1624" s="0" t="s">
        <v>23</v>
      </c>
      <c r="D1624" s="0" t="n">
        <v>1</v>
      </c>
      <c r="E1624" s="2" t="n">
        <v>40695.7375</v>
      </c>
      <c r="F1624" s="0" t="n">
        <v>3.18</v>
      </c>
      <c r="G1624" s="0" t="n">
        <v>16238</v>
      </c>
      <c r="H1624" s="3" t="s">
        <v>14</v>
      </c>
      <c r="I1624" s="4" t="n">
        <f aca="false">D1624*F1624</f>
        <v>3.18</v>
      </c>
      <c r="J1624" s="3" t="n">
        <f aca="false">IF(AND(LEFT(A1624,1)&lt;&gt;"C",D1624&gt;0,F1624&gt;0),1,0)</f>
        <v>1</v>
      </c>
      <c r="K1624" s="3" t="n">
        <f aca="false">IF(AND(H1624="United Kingdom",G1624&lt;&gt;"",COUNTIFS($G$2:G1624,G1624,$H$2:H1624,"United Kingdom")=1),1,0)</f>
        <v>0</v>
      </c>
    </row>
    <row r="1625" customFormat="false" ht="15" hidden="false" customHeight="false" outlineLevel="0" collapsed="false">
      <c r="A1625" s="0" t="s">
        <v>377</v>
      </c>
      <c r="B1625" s="0" t="s">
        <v>25</v>
      </c>
      <c r="C1625" s="0" t="s">
        <v>26</v>
      </c>
      <c r="D1625" s="0" t="n">
        <v>2</v>
      </c>
      <c r="E1625" s="2" t="n">
        <v>40696.4548611111</v>
      </c>
      <c r="F1625" s="0" t="n">
        <v>2.21</v>
      </c>
      <c r="G1625" s="0" t="n">
        <v>14318</v>
      </c>
      <c r="H1625" s="3" t="s">
        <v>14</v>
      </c>
      <c r="I1625" s="4" t="n">
        <f aca="false">D1625*F1625</f>
        <v>4.42</v>
      </c>
      <c r="J1625" s="3" t="n">
        <f aca="false">IF(AND(LEFT(A1625,1)&lt;&gt;"C",D1625&gt;0,F1625&gt;0),1,0)</f>
        <v>1</v>
      </c>
      <c r="K1625" s="3" t="n">
        <f aca="false">IF(AND(H1625="United Kingdom",G1625&lt;&gt;"",COUNTIFS($G$2:G1625,G1625,$H$2:H1625,"United Kingdom")=1),1,0)</f>
        <v>0</v>
      </c>
    </row>
    <row r="1626" customFormat="false" ht="15" hidden="false" customHeight="false" outlineLevel="0" collapsed="false">
      <c r="A1626" s="0" t="s">
        <v>377</v>
      </c>
      <c r="B1626" s="0" t="s">
        <v>15</v>
      </c>
      <c r="C1626" s="0" t="s">
        <v>16</v>
      </c>
      <c r="D1626" s="0" t="n">
        <v>3</v>
      </c>
      <c r="E1626" s="2" t="n">
        <v>40696.4548611111</v>
      </c>
      <c r="F1626" s="0" t="n">
        <v>3.18</v>
      </c>
      <c r="G1626" s="0" t="n">
        <v>14318</v>
      </c>
      <c r="H1626" s="3" t="s">
        <v>14</v>
      </c>
      <c r="I1626" s="4" t="n">
        <f aca="false">D1626*F1626</f>
        <v>9.54</v>
      </c>
      <c r="J1626" s="3" t="n">
        <f aca="false">IF(AND(LEFT(A1626,1)&lt;&gt;"C",D1626&gt;0,F1626&gt;0),1,0)</f>
        <v>1</v>
      </c>
      <c r="K1626" s="3" t="n">
        <f aca="false">IF(AND(H1626="United Kingdom",G1626&lt;&gt;"",COUNTIFS($G$2:G1626,G1626,$H$2:H1626,"United Kingdom")=1),1,0)</f>
        <v>0</v>
      </c>
    </row>
    <row r="1627" customFormat="false" ht="15" hidden="false" customHeight="false" outlineLevel="0" collapsed="false">
      <c r="A1627" s="0" t="s">
        <v>377</v>
      </c>
      <c r="B1627" s="0" t="s">
        <v>41</v>
      </c>
      <c r="C1627" s="0" t="s">
        <v>42</v>
      </c>
      <c r="D1627" s="0" t="n">
        <v>2</v>
      </c>
      <c r="E1627" s="2" t="n">
        <v>40696.4548611111</v>
      </c>
      <c r="F1627" s="0" t="n">
        <v>3.28</v>
      </c>
      <c r="G1627" s="0" t="n">
        <v>14318</v>
      </c>
      <c r="H1627" s="3" t="s">
        <v>14</v>
      </c>
      <c r="I1627" s="4" t="n">
        <f aca="false">D1627*F1627</f>
        <v>6.56</v>
      </c>
      <c r="J1627" s="3" t="n">
        <f aca="false">IF(AND(LEFT(A1627,1)&lt;&gt;"C",D1627&gt;0,F1627&gt;0),1,0)</f>
        <v>1</v>
      </c>
      <c r="K1627" s="3" t="n">
        <f aca="false">IF(AND(H1627="United Kingdom",G1627&lt;&gt;"",COUNTIFS($G$2:G1627,G1627,$H$2:H1627,"United Kingdom")=1),1,0)</f>
        <v>0</v>
      </c>
    </row>
    <row r="1628" customFormat="false" ht="15" hidden="false" customHeight="false" outlineLevel="0" collapsed="false">
      <c r="A1628" s="0" t="s">
        <v>377</v>
      </c>
      <c r="B1628" s="0" t="s">
        <v>54</v>
      </c>
      <c r="C1628" s="0" t="s">
        <v>55</v>
      </c>
      <c r="D1628" s="0" t="n">
        <v>4</v>
      </c>
      <c r="E1628" s="2" t="n">
        <v>40696.4548611111</v>
      </c>
      <c r="F1628" s="0" t="n">
        <v>0.99</v>
      </c>
      <c r="G1628" s="0" t="n">
        <v>14318</v>
      </c>
      <c r="H1628" s="3" t="s">
        <v>14</v>
      </c>
      <c r="I1628" s="4" t="n">
        <f aca="false">D1628*F1628</f>
        <v>3.96</v>
      </c>
      <c r="J1628" s="3" t="n">
        <f aca="false">IF(AND(LEFT(A1628,1)&lt;&gt;"C",D1628&gt;0,F1628&gt;0),1,0)</f>
        <v>1</v>
      </c>
      <c r="K1628" s="3" t="n">
        <f aca="false">IF(AND(H1628="United Kingdom",G1628&lt;&gt;"",COUNTIFS($G$2:G1628,G1628,$H$2:H1628,"United Kingdom")=1),1,0)</f>
        <v>0</v>
      </c>
    </row>
    <row r="1629" customFormat="false" ht="15" hidden="false" customHeight="false" outlineLevel="0" collapsed="false">
      <c r="A1629" s="0" t="s">
        <v>378</v>
      </c>
      <c r="B1629" s="0" t="s">
        <v>29</v>
      </c>
      <c r="C1629" s="0" t="s">
        <v>30</v>
      </c>
      <c r="D1629" s="0" t="n">
        <v>8</v>
      </c>
      <c r="E1629" s="2" t="n">
        <v>40696.5347222222</v>
      </c>
      <c r="F1629" s="0" t="n">
        <v>5.79</v>
      </c>
      <c r="G1629" s="0" t="n">
        <v>16324</v>
      </c>
      <c r="H1629" s="3" t="s">
        <v>14</v>
      </c>
      <c r="I1629" s="4" t="n">
        <f aca="false">D1629*F1629</f>
        <v>46.32</v>
      </c>
      <c r="J1629" s="3" t="n">
        <f aca="false">IF(AND(LEFT(A1629,1)&lt;&gt;"C",D1629&gt;0,F1629&gt;0),1,0)</f>
        <v>1</v>
      </c>
      <c r="K1629" s="3" t="n">
        <f aca="false">IF(AND(H1629="United Kingdom",G1629&lt;&gt;"",COUNTIFS($G$2:G1629,G1629,$H$2:H1629,"United Kingdom")=1),1,0)</f>
        <v>0</v>
      </c>
    </row>
    <row r="1630" customFormat="false" ht="15" hidden="false" customHeight="false" outlineLevel="0" collapsed="false">
      <c r="A1630" s="0" t="s">
        <v>378</v>
      </c>
      <c r="B1630" s="0" t="s">
        <v>45</v>
      </c>
      <c r="C1630" s="0" t="s">
        <v>46</v>
      </c>
      <c r="D1630" s="0" t="n">
        <v>8</v>
      </c>
      <c r="E1630" s="2" t="n">
        <v>40696.5347222222</v>
      </c>
      <c r="F1630" s="0" t="n">
        <v>4.55</v>
      </c>
      <c r="G1630" s="0" t="n">
        <v>16324</v>
      </c>
      <c r="H1630" s="3" t="s">
        <v>14</v>
      </c>
      <c r="I1630" s="4" t="n">
        <f aca="false">D1630*F1630</f>
        <v>36.4</v>
      </c>
      <c r="J1630" s="3" t="n">
        <f aca="false">IF(AND(LEFT(A1630,1)&lt;&gt;"C",D1630&gt;0,F1630&gt;0),1,0)</f>
        <v>1</v>
      </c>
      <c r="K1630" s="3" t="n">
        <f aca="false">IF(AND(H1630="United Kingdom",G1630&lt;&gt;"",COUNTIFS($G$2:G1630,G1630,$H$2:H1630,"United Kingdom")=1),1,0)</f>
        <v>0</v>
      </c>
    </row>
    <row r="1631" customFormat="false" ht="15" hidden="false" customHeight="false" outlineLevel="0" collapsed="false">
      <c r="A1631" s="0" t="s">
        <v>379</v>
      </c>
      <c r="B1631" s="0" t="s">
        <v>54</v>
      </c>
      <c r="C1631" s="0" t="s">
        <v>55</v>
      </c>
      <c r="D1631" s="0" t="n">
        <v>3</v>
      </c>
      <c r="E1631" s="2" t="n">
        <v>40698.4909722222</v>
      </c>
      <c r="F1631" s="0" t="n">
        <v>0.99</v>
      </c>
      <c r="G1631" s="0" t="n">
        <v>13100</v>
      </c>
      <c r="H1631" s="3" t="s">
        <v>14</v>
      </c>
      <c r="I1631" s="4" t="n">
        <f aca="false">D1631*F1631</f>
        <v>2.97</v>
      </c>
      <c r="J1631" s="3" t="n">
        <f aca="false">IF(AND(LEFT(A1631,1)&lt;&gt;"C",D1631&gt;0,F1631&gt;0),1,0)</f>
        <v>1</v>
      </c>
      <c r="K1631" s="3" t="n">
        <f aca="false">IF(AND(H1631="United Kingdom",G1631&lt;&gt;"",COUNTIFS($G$2:G1631,G1631,$H$2:H1631,"United Kingdom")=1),1,0)</f>
        <v>0</v>
      </c>
    </row>
    <row r="1632" customFormat="false" ht="15" hidden="false" customHeight="false" outlineLevel="0" collapsed="false">
      <c r="A1632" s="0" t="s">
        <v>379</v>
      </c>
      <c r="B1632" s="0" t="s">
        <v>48</v>
      </c>
      <c r="C1632" s="0" t="s">
        <v>49</v>
      </c>
      <c r="D1632" s="0" t="n">
        <v>3</v>
      </c>
      <c r="E1632" s="2" t="n">
        <v>40698.4909722222</v>
      </c>
      <c r="F1632" s="0" t="n">
        <v>1.35</v>
      </c>
      <c r="G1632" s="0" t="n">
        <v>13100</v>
      </c>
      <c r="H1632" s="3" t="s">
        <v>14</v>
      </c>
      <c r="I1632" s="4" t="n">
        <f aca="false">D1632*F1632</f>
        <v>4.05</v>
      </c>
      <c r="J1632" s="3" t="n">
        <f aca="false">IF(AND(LEFT(A1632,1)&lt;&gt;"C",D1632&gt;0,F1632&gt;0),1,0)</f>
        <v>1</v>
      </c>
      <c r="K1632" s="3" t="n">
        <f aca="false">IF(AND(H1632="United Kingdom",G1632&lt;&gt;"",COUNTIFS($G$2:G1632,G1632,$H$2:H1632,"United Kingdom")=1),1,0)</f>
        <v>0</v>
      </c>
    </row>
    <row r="1633" customFormat="false" ht="15" hidden="false" customHeight="false" outlineLevel="0" collapsed="false">
      <c r="A1633" s="0" t="s">
        <v>379</v>
      </c>
      <c r="B1633" s="0" t="s">
        <v>12</v>
      </c>
      <c r="C1633" s="0" t="s">
        <v>13</v>
      </c>
      <c r="D1633" s="0" t="n">
        <v>2</v>
      </c>
      <c r="E1633" s="2" t="n">
        <v>40698.4909722222</v>
      </c>
      <c r="F1633" s="0" t="n">
        <v>3.33</v>
      </c>
      <c r="G1633" s="0" t="n">
        <v>13100</v>
      </c>
      <c r="H1633" s="3" t="s">
        <v>14</v>
      </c>
      <c r="I1633" s="4" t="n">
        <f aca="false">D1633*F1633</f>
        <v>6.66</v>
      </c>
      <c r="J1633" s="3" t="n">
        <f aca="false">IF(AND(LEFT(A1633,1)&lt;&gt;"C",D1633&gt;0,F1633&gt;0),1,0)</f>
        <v>1</v>
      </c>
      <c r="K1633" s="3" t="n">
        <f aca="false">IF(AND(H1633="United Kingdom",G1633&lt;&gt;"",COUNTIFS($G$2:G1633,G1633,$H$2:H1633,"United Kingdom")=1),1,0)</f>
        <v>0</v>
      </c>
    </row>
    <row r="1634" customFormat="false" ht="15" hidden="false" customHeight="false" outlineLevel="0" collapsed="false">
      <c r="A1634" s="0" t="s">
        <v>380</v>
      </c>
      <c r="B1634" s="0" t="s">
        <v>54</v>
      </c>
      <c r="C1634" s="0" t="s">
        <v>55</v>
      </c>
      <c r="D1634" s="0" t="n">
        <v>24</v>
      </c>
      <c r="E1634" s="2" t="n">
        <v>40698.7895833333</v>
      </c>
      <c r="F1634" s="0" t="n">
        <v>0.99</v>
      </c>
      <c r="G1634" s="0" t="n">
        <v>14356</v>
      </c>
      <c r="H1634" s="3" t="s">
        <v>14</v>
      </c>
      <c r="I1634" s="4" t="n">
        <f aca="false">D1634*F1634</f>
        <v>23.76</v>
      </c>
      <c r="J1634" s="3" t="n">
        <f aca="false">IF(AND(LEFT(A1634,1)&lt;&gt;"C",D1634&gt;0,F1634&gt;0),1,0)</f>
        <v>1</v>
      </c>
      <c r="K1634" s="3" t="n">
        <f aca="false">IF(AND(H1634="United Kingdom",G1634&lt;&gt;"",COUNTIFS($G$2:G1634,G1634,$H$2:H1634,"United Kingdom")=1),1,0)</f>
        <v>0</v>
      </c>
    </row>
    <row r="1635" customFormat="false" ht="15" hidden="false" customHeight="false" outlineLevel="0" collapsed="false">
      <c r="A1635" s="0" t="s">
        <v>380</v>
      </c>
      <c r="B1635" s="0" t="s">
        <v>65</v>
      </c>
      <c r="C1635" s="0" t="s">
        <v>66</v>
      </c>
      <c r="D1635" s="0" t="n">
        <v>8</v>
      </c>
      <c r="E1635" s="2" t="n">
        <v>40698.7895833333</v>
      </c>
      <c r="F1635" s="0" t="n">
        <v>4.75</v>
      </c>
      <c r="G1635" s="0" t="n">
        <v>14356</v>
      </c>
      <c r="H1635" s="3" t="s">
        <v>14</v>
      </c>
      <c r="I1635" s="4" t="n">
        <f aca="false">D1635*F1635</f>
        <v>38</v>
      </c>
      <c r="J1635" s="3" t="n">
        <f aca="false">IF(AND(LEFT(A1635,1)&lt;&gt;"C",D1635&gt;0,F1635&gt;0),1,0)</f>
        <v>1</v>
      </c>
      <c r="K1635" s="3" t="n">
        <f aca="false">IF(AND(H1635="United Kingdom",G1635&lt;&gt;"",COUNTIFS($G$2:G1635,G1635,$H$2:H1635,"United Kingdom")=1),1,0)</f>
        <v>0</v>
      </c>
    </row>
    <row r="1636" customFormat="false" ht="15" hidden="false" customHeight="false" outlineLevel="0" collapsed="false">
      <c r="A1636" s="0" t="s">
        <v>380</v>
      </c>
      <c r="B1636" s="0" t="s">
        <v>50</v>
      </c>
      <c r="C1636" s="0" t="s">
        <v>51</v>
      </c>
      <c r="D1636" s="0" t="n">
        <v>1</v>
      </c>
      <c r="E1636" s="2" t="n">
        <v>40698.7895833333</v>
      </c>
      <c r="F1636" s="0" t="n">
        <v>5.41</v>
      </c>
      <c r="G1636" s="0" t="n">
        <v>14356</v>
      </c>
      <c r="H1636" s="3" t="s">
        <v>14</v>
      </c>
      <c r="I1636" s="4" t="n">
        <f aca="false">D1636*F1636</f>
        <v>5.41</v>
      </c>
      <c r="J1636" s="3" t="n">
        <f aca="false">IF(AND(LEFT(A1636,1)&lt;&gt;"C",D1636&gt;0,F1636&gt;0),1,0)</f>
        <v>1</v>
      </c>
      <c r="K1636" s="3" t="n">
        <f aca="false">IF(AND(H1636="United Kingdom",G1636&lt;&gt;"",COUNTIFS($G$2:G1636,G1636,$H$2:H1636,"United Kingdom")=1),1,0)</f>
        <v>0</v>
      </c>
    </row>
    <row r="1637" customFormat="false" ht="15" hidden="false" customHeight="false" outlineLevel="0" collapsed="false">
      <c r="A1637" s="0" t="s">
        <v>380</v>
      </c>
      <c r="B1637" s="0" t="s">
        <v>52</v>
      </c>
      <c r="C1637" s="0" t="s">
        <v>53</v>
      </c>
      <c r="D1637" s="0" t="n">
        <v>3</v>
      </c>
      <c r="E1637" s="2" t="n">
        <v>40698.7895833333</v>
      </c>
      <c r="F1637" s="0" t="n">
        <v>4.16</v>
      </c>
      <c r="G1637" s="0" t="n">
        <v>14356</v>
      </c>
      <c r="H1637" s="3" t="s">
        <v>14</v>
      </c>
      <c r="I1637" s="4" t="n">
        <f aca="false">D1637*F1637</f>
        <v>12.48</v>
      </c>
      <c r="J1637" s="3" t="n">
        <f aca="false">IF(AND(LEFT(A1637,1)&lt;&gt;"C",D1637&gt;0,F1637&gt;0),1,0)</f>
        <v>1</v>
      </c>
      <c r="K1637" s="3" t="n">
        <f aca="false">IF(AND(H1637="United Kingdom",G1637&lt;&gt;"",COUNTIFS($G$2:G1637,G1637,$H$2:H1637,"United Kingdom")=1),1,0)</f>
        <v>0</v>
      </c>
    </row>
    <row r="1638" customFormat="false" ht="15" hidden="false" customHeight="false" outlineLevel="0" collapsed="false">
      <c r="A1638" s="0" t="s">
        <v>380</v>
      </c>
      <c r="B1638" s="0" t="s">
        <v>58</v>
      </c>
      <c r="C1638" s="0" t="s">
        <v>59</v>
      </c>
      <c r="D1638" s="0" t="n">
        <v>2</v>
      </c>
      <c r="E1638" s="2" t="n">
        <v>40698.7895833333</v>
      </c>
      <c r="F1638" s="0" t="n">
        <v>2.16</v>
      </c>
      <c r="G1638" s="0" t="n">
        <v>14356</v>
      </c>
      <c r="H1638" s="3" t="s">
        <v>14</v>
      </c>
      <c r="I1638" s="4" t="n">
        <f aca="false">D1638*F1638</f>
        <v>4.32</v>
      </c>
      <c r="J1638" s="3" t="n">
        <f aca="false">IF(AND(LEFT(A1638,1)&lt;&gt;"C",D1638&gt;0,F1638&gt;0),1,0)</f>
        <v>1</v>
      </c>
      <c r="K1638" s="3" t="n">
        <f aca="false">IF(AND(H1638="United Kingdom",G1638&lt;&gt;"",COUNTIFS($G$2:G1638,G1638,$H$2:H1638,"United Kingdom")=1),1,0)</f>
        <v>0</v>
      </c>
    </row>
    <row r="1639" customFormat="false" ht="15" hidden="false" customHeight="false" outlineLevel="0" collapsed="false">
      <c r="A1639" s="0" t="s">
        <v>380</v>
      </c>
      <c r="B1639" s="0" t="s">
        <v>12</v>
      </c>
      <c r="C1639" s="0" t="s">
        <v>13</v>
      </c>
      <c r="D1639" s="0" t="n">
        <v>24</v>
      </c>
      <c r="E1639" s="2" t="n">
        <v>40698.7895833333</v>
      </c>
      <c r="F1639" s="0" t="n">
        <v>3.33</v>
      </c>
      <c r="G1639" s="0" t="n">
        <v>14356</v>
      </c>
      <c r="H1639" s="3" t="s">
        <v>14</v>
      </c>
      <c r="I1639" s="4" t="n">
        <f aca="false">D1639*F1639</f>
        <v>79.92</v>
      </c>
      <c r="J1639" s="3" t="n">
        <f aca="false">IF(AND(LEFT(A1639,1)&lt;&gt;"C",D1639&gt;0,F1639&gt;0),1,0)</f>
        <v>1</v>
      </c>
      <c r="K1639" s="3" t="n">
        <f aca="false">IF(AND(H1639="United Kingdom",G1639&lt;&gt;"",COUNTIFS($G$2:G1639,G1639,$H$2:H1639,"United Kingdom")=1),1,0)</f>
        <v>0</v>
      </c>
    </row>
    <row r="1640" customFormat="false" ht="15" hidden="false" customHeight="false" outlineLevel="0" collapsed="false">
      <c r="A1640" s="0" t="s">
        <v>381</v>
      </c>
      <c r="B1640" s="0" t="s">
        <v>27</v>
      </c>
      <c r="C1640" s="0" t="s">
        <v>28</v>
      </c>
      <c r="D1640" s="0" t="n">
        <v>48</v>
      </c>
      <c r="E1640" s="2" t="n">
        <v>40698.7951388889</v>
      </c>
      <c r="F1640" s="0" t="n">
        <v>4.55</v>
      </c>
      <c r="G1640" s="0" t="n">
        <v>14490</v>
      </c>
      <c r="H1640" s="3" t="s">
        <v>14</v>
      </c>
      <c r="I1640" s="4" t="n">
        <f aca="false">D1640*F1640</f>
        <v>218.4</v>
      </c>
      <c r="J1640" s="3" t="n">
        <f aca="false">IF(AND(LEFT(A1640,1)&lt;&gt;"C",D1640&gt;0,F1640&gt;0),1,0)</f>
        <v>1</v>
      </c>
      <c r="K1640" s="3" t="n">
        <f aca="false">IF(AND(H1640="United Kingdom",G1640&lt;&gt;"",COUNTIFS($G$2:G1640,G1640,$H$2:H1640,"United Kingdom")=1),1,0)</f>
        <v>0</v>
      </c>
    </row>
    <row r="1641" customFormat="false" ht="15" hidden="false" customHeight="false" outlineLevel="0" collapsed="false">
      <c r="A1641" s="0" t="s">
        <v>381</v>
      </c>
      <c r="B1641" s="0" t="s">
        <v>34</v>
      </c>
      <c r="C1641" s="0" t="s">
        <v>35</v>
      </c>
      <c r="D1641" s="0" t="n">
        <v>288</v>
      </c>
      <c r="E1641" s="2" t="n">
        <v>40698.7951388889</v>
      </c>
      <c r="F1641" s="0" t="n">
        <v>2.38</v>
      </c>
      <c r="G1641" s="0" t="n">
        <v>14490</v>
      </c>
      <c r="H1641" s="3" t="s">
        <v>14</v>
      </c>
      <c r="I1641" s="4" t="n">
        <f aca="false">D1641*F1641</f>
        <v>685.44</v>
      </c>
      <c r="J1641" s="3" t="n">
        <f aca="false">IF(AND(LEFT(A1641,1)&lt;&gt;"C",D1641&gt;0,F1641&gt;0),1,0)</f>
        <v>1</v>
      </c>
      <c r="K1641" s="3" t="n">
        <f aca="false">IF(AND(H1641="United Kingdom",G1641&lt;&gt;"",COUNTIFS($G$2:G1641,G1641,$H$2:H1641,"United Kingdom")=1),1,0)</f>
        <v>0</v>
      </c>
    </row>
    <row r="1642" customFormat="false" ht="15" hidden="false" customHeight="false" outlineLevel="0" collapsed="false">
      <c r="A1642" s="0" t="s">
        <v>382</v>
      </c>
      <c r="B1642" s="0" t="s">
        <v>34</v>
      </c>
      <c r="C1642" s="0" t="s">
        <v>35</v>
      </c>
      <c r="D1642" s="0" t="n">
        <v>76</v>
      </c>
      <c r="E1642" s="2" t="n">
        <v>40698.8104166667</v>
      </c>
      <c r="F1642" s="0" t="n">
        <v>2.38</v>
      </c>
      <c r="G1642" s="0" t="n">
        <v>13672</v>
      </c>
      <c r="H1642" s="3" t="s">
        <v>57</v>
      </c>
      <c r="I1642" s="4" t="n">
        <f aca="false">D1642*F1642</f>
        <v>180.88</v>
      </c>
      <c r="J1642" s="3" t="n">
        <f aca="false">IF(AND(LEFT(A1642,1)&lt;&gt;"C",D1642&gt;0,F1642&gt;0),1,0)</f>
        <v>1</v>
      </c>
      <c r="K1642" s="3" t="n">
        <f aca="false">IF(AND(H1642="United Kingdom",G1642&lt;&gt;"",COUNTIFS($G$2:G1642,G1642,$H$2:H1642,"United Kingdom")=1),1,0)</f>
        <v>0</v>
      </c>
    </row>
    <row r="1643" customFormat="false" ht="15" hidden="false" customHeight="false" outlineLevel="0" collapsed="false">
      <c r="A1643" s="0" t="s">
        <v>382</v>
      </c>
      <c r="B1643" s="0" t="s">
        <v>80</v>
      </c>
      <c r="C1643" s="0" t="s">
        <v>81</v>
      </c>
      <c r="D1643" s="0" t="n">
        <v>38</v>
      </c>
      <c r="E1643" s="2" t="n">
        <v>40698.8104166667</v>
      </c>
      <c r="F1643" s="0" t="n">
        <v>1.53</v>
      </c>
      <c r="G1643" s="0" t="n">
        <v>13672</v>
      </c>
      <c r="H1643" s="3" t="s">
        <v>57</v>
      </c>
      <c r="I1643" s="4" t="n">
        <f aca="false">D1643*F1643</f>
        <v>58.14</v>
      </c>
      <c r="J1643" s="3" t="n">
        <f aca="false">IF(AND(LEFT(A1643,1)&lt;&gt;"C",D1643&gt;0,F1643&gt;0),1,0)</f>
        <v>1</v>
      </c>
      <c r="K1643" s="3" t="n">
        <f aca="false">IF(AND(H1643="United Kingdom",G1643&lt;&gt;"",COUNTIFS($G$2:G1643,G1643,$H$2:H1643,"United Kingdom")=1),1,0)</f>
        <v>0</v>
      </c>
    </row>
    <row r="1644" customFormat="false" ht="15" hidden="false" customHeight="false" outlineLevel="0" collapsed="false">
      <c r="A1644" s="0" t="s">
        <v>382</v>
      </c>
      <c r="B1644" s="0" t="s">
        <v>12</v>
      </c>
      <c r="C1644" s="0" t="s">
        <v>13</v>
      </c>
      <c r="D1644" s="0" t="n">
        <v>57</v>
      </c>
      <c r="E1644" s="2" t="n">
        <v>40698.8104166667</v>
      </c>
      <c r="F1644" s="0" t="n">
        <v>3.33</v>
      </c>
      <c r="G1644" s="0" t="n">
        <v>13672</v>
      </c>
      <c r="H1644" s="3" t="s">
        <v>57</v>
      </c>
      <c r="I1644" s="4" t="n">
        <f aca="false">D1644*F1644</f>
        <v>189.81</v>
      </c>
      <c r="J1644" s="3" t="n">
        <f aca="false">IF(AND(LEFT(A1644,1)&lt;&gt;"C",D1644&gt;0,F1644&gt;0),1,0)</f>
        <v>1</v>
      </c>
      <c r="K1644" s="3" t="n">
        <f aca="false">IF(AND(H1644="United Kingdom",G1644&lt;&gt;"",COUNTIFS($G$2:G1644,G1644,$H$2:H1644,"United Kingdom")=1),1,0)</f>
        <v>0</v>
      </c>
    </row>
    <row r="1645" customFormat="false" ht="15" hidden="false" customHeight="false" outlineLevel="0" collapsed="false">
      <c r="A1645" s="0" t="s">
        <v>383</v>
      </c>
      <c r="B1645" s="0" t="s">
        <v>25</v>
      </c>
      <c r="C1645" s="0" t="s">
        <v>26</v>
      </c>
      <c r="D1645" s="0" t="n">
        <v>4</v>
      </c>
      <c r="E1645" s="2" t="n">
        <v>40699.7548611111</v>
      </c>
      <c r="F1645" s="0" t="n">
        <v>2.21</v>
      </c>
      <c r="G1645" s="0" t="n">
        <v>14012</v>
      </c>
      <c r="H1645" s="3" t="s">
        <v>97</v>
      </c>
      <c r="I1645" s="4" t="n">
        <f aca="false">D1645*F1645</f>
        <v>8.84</v>
      </c>
      <c r="J1645" s="3" t="n">
        <f aca="false">IF(AND(LEFT(A1645,1)&lt;&gt;"C",D1645&gt;0,F1645&gt;0),1,0)</f>
        <v>1</v>
      </c>
      <c r="K1645" s="3" t="n">
        <f aca="false">IF(AND(H1645="United Kingdom",G1645&lt;&gt;"",COUNTIFS($G$2:G1645,G1645,$H$2:H1645,"United Kingdom")=1),1,0)</f>
        <v>0</v>
      </c>
    </row>
    <row r="1646" customFormat="false" ht="15" hidden="false" customHeight="false" outlineLevel="0" collapsed="false">
      <c r="A1646" s="0" t="s">
        <v>383</v>
      </c>
      <c r="B1646" s="0" t="s">
        <v>60</v>
      </c>
      <c r="C1646" s="0" t="s">
        <v>61</v>
      </c>
      <c r="D1646" s="0" t="n">
        <v>2</v>
      </c>
      <c r="E1646" s="2" t="n">
        <v>40699.7548611111</v>
      </c>
      <c r="F1646" s="0" t="n">
        <v>0.63</v>
      </c>
      <c r="G1646" s="0" t="n">
        <v>14012</v>
      </c>
      <c r="H1646" s="3" t="s">
        <v>97</v>
      </c>
      <c r="I1646" s="4" t="n">
        <f aca="false">D1646*F1646</f>
        <v>1.26</v>
      </c>
      <c r="J1646" s="3" t="n">
        <f aca="false">IF(AND(LEFT(A1646,1)&lt;&gt;"C",D1646&gt;0,F1646&gt;0),1,0)</f>
        <v>1</v>
      </c>
      <c r="K1646" s="3" t="n">
        <f aca="false">IF(AND(H1646="United Kingdom",G1646&lt;&gt;"",COUNTIFS($G$2:G1646,G1646,$H$2:H1646,"United Kingdom")=1),1,0)</f>
        <v>0</v>
      </c>
    </row>
    <row r="1647" customFormat="false" ht="15" hidden="false" customHeight="false" outlineLevel="0" collapsed="false">
      <c r="A1647" s="0" t="s">
        <v>383</v>
      </c>
      <c r="B1647" s="0" t="s">
        <v>90</v>
      </c>
      <c r="C1647" s="0" t="s">
        <v>91</v>
      </c>
      <c r="D1647" s="0" t="n">
        <v>48</v>
      </c>
      <c r="E1647" s="2" t="n">
        <v>40699.7548611111</v>
      </c>
      <c r="F1647" s="0" t="n">
        <v>3.04</v>
      </c>
      <c r="G1647" s="0" t="n">
        <v>14012</v>
      </c>
      <c r="H1647" s="3" t="s">
        <v>97</v>
      </c>
      <c r="I1647" s="4" t="n">
        <f aca="false">D1647*F1647</f>
        <v>145.92</v>
      </c>
      <c r="J1647" s="3" t="n">
        <f aca="false">IF(AND(LEFT(A1647,1)&lt;&gt;"C",D1647&gt;0,F1647&gt;0),1,0)</f>
        <v>1</v>
      </c>
      <c r="K1647" s="3" t="n">
        <f aca="false">IF(AND(H1647="United Kingdom",G1647&lt;&gt;"",COUNTIFS($G$2:G1647,G1647,$H$2:H1647,"United Kingdom")=1),1,0)</f>
        <v>0</v>
      </c>
    </row>
    <row r="1648" customFormat="false" ht="15" hidden="false" customHeight="false" outlineLevel="0" collapsed="false">
      <c r="A1648" s="0" t="s">
        <v>383</v>
      </c>
      <c r="B1648" s="0" t="s">
        <v>43</v>
      </c>
      <c r="C1648" s="0" t="s">
        <v>44</v>
      </c>
      <c r="D1648" s="0" t="n">
        <v>12</v>
      </c>
      <c r="E1648" s="2" t="n">
        <v>40699.7548611111</v>
      </c>
      <c r="F1648" s="0" t="n">
        <v>1.35</v>
      </c>
      <c r="G1648" s="0" t="n">
        <v>14012</v>
      </c>
      <c r="H1648" s="3" t="s">
        <v>97</v>
      </c>
      <c r="I1648" s="4" t="n">
        <f aca="false">D1648*F1648</f>
        <v>16.2</v>
      </c>
      <c r="J1648" s="3" t="n">
        <f aca="false">IF(AND(LEFT(A1648,1)&lt;&gt;"C",D1648&gt;0,F1648&gt;0),1,0)</f>
        <v>1</v>
      </c>
      <c r="K1648" s="3" t="n">
        <f aca="false">IF(AND(H1648="United Kingdom",G1648&lt;&gt;"",COUNTIFS($G$2:G1648,G1648,$H$2:H1648,"United Kingdom")=1),1,0)</f>
        <v>0</v>
      </c>
    </row>
    <row r="1649" customFormat="false" ht="15" hidden="false" customHeight="false" outlineLevel="0" collapsed="false">
      <c r="A1649" s="0" t="s">
        <v>384</v>
      </c>
      <c r="B1649" s="0" t="s">
        <v>58</v>
      </c>
      <c r="C1649" s="0" t="s">
        <v>59</v>
      </c>
      <c r="D1649" s="0" t="n">
        <v>1</v>
      </c>
      <c r="E1649" s="2" t="n">
        <v>40699.8006944444</v>
      </c>
      <c r="F1649" s="0" t="n">
        <v>2.16</v>
      </c>
      <c r="G1649" s="0" t="n">
        <v>12747</v>
      </c>
      <c r="H1649" s="3" t="s">
        <v>120</v>
      </c>
      <c r="I1649" s="4" t="n">
        <f aca="false">D1649*F1649</f>
        <v>2.16</v>
      </c>
      <c r="J1649" s="3" t="n">
        <f aca="false">IF(AND(LEFT(A1649,1)&lt;&gt;"C",D1649&gt;0,F1649&gt;0),1,0)</f>
        <v>1</v>
      </c>
      <c r="K1649" s="3" t="n">
        <f aca="false">IF(AND(H1649="United Kingdom",G1649&lt;&gt;"",COUNTIFS($G$2:G1649,G1649,$H$2:H1649,"United Kingdom")=1),1,0)</f>
        <v>0</v>
      </c>
    </row>
    <row r="1650" customFormat="false" ht="15" hidden="false" customHeight="false" outlineLevel="0" collapsed="false">
      <c r="A1650" s="0" t="s">
        <v>384</v>
      </c>
      <c r="B1650" s="0" t="s">
        <v>43</v>
      </c>
      <c r="C1650" s="0" t="s">
        <v>44</v>
      </c>
      <c r="D1650" s="0" t="n">
        <v>7</v>
      </c>
      <c r="E1650" s="2" t="n">
        <v>40699.8006944444</v>
      </c>
      <c r="F1650" s="0" t="n">
        <v>1.35</v>
      </c>
      <c r="G1650" s="0" t="n">
        <v>12747</v>
      </c>
      <c r="H1650" s="3" t="s">
        <v>120</v>
      </c>
      <c r="I1650" s="4" t="n">
        <f aca="false">D1650*F1650</f>
        <v>9.45</v>
      </c>
      <c r="J1650" s="3" t="n">
        <f aca="false">IF(AND(LEFT(A1650,1)&lt;&gt;"C",D1650&gt;0,F1650&gt;0),1,0)</f>
        <v>1</v>
      </c>
      <c r="K1650" s="3" t="n">
        <f aca="false">IF(AND(H1650="United Kingdom",G1650&lt;&gt;"",COUNTIFS($G$2:G1650,G1650,$H$2:H1650,"United Kingdom")=1),1,0)</f>
        <v>0</v>
      </c>
    </row>
    <row r="1651" customFormat="false" ht="15" hidden="false" customHeight="false" outlineLevel="0" collapsed="false">
      <c r="A1651" s="0" t="s">
        <v>385</v>
      </c>
      <c r="B1651" s="0" t="s">
        <v>25</v>
      </c>
      <c r="C1651" s="0" t="s">
        <v>26</v>
      </c>
      <c r="D1651" s="0" t="n">
        <v>4</v>
      </c>
      <c r="E1651" s="2" t="n">
        <v>40700.34375</v>
      </c>
      <c r="F1651" s="0" t="n">
        <v>2.21</v>
      </c>
      <c r="G1651" s="0" t="n">
        <v>14470</v>
      </c>
      <c r="H1651" s="3" t="s">
        <v>14</v>
      </c>
      <c r="I1651" s="4" t="n">
        <f aca="false">D1651*F1651</f>
        <v>8.84</v>
      </c>
      <c r="J1651" s="3" t="n">
        <f aca="false">IF(AND(LEFT(A1651,1)&lt;&gt;"C",D1651&gt;0,F1651&gt;0),1,0)</f>
        <v>1</v>
      </c>
      <c r="K1651" s="3" t="n">
        <f aca="false">IF(AND(H1651="United Kingdom",G1651&lt;&gt;"",COUNTIFS($G$2:G1651,G1651,$H$2:H1651,"United Kingdom")=1),1,0)</f>
        <v>0</v>
      </c>
    </row>
    <row r="1652" customFormat="false" ht="15" hidden="false" customHeight="false" outlineLevel="0" collapsed="false">
      <c r="A1652" s="0" t="s">
        <v>385</v>
      </c>
      <c r="B1652" s="0" t="s">
        <v>50</v>
      </c>
      <c r="C1652" s="0" t="s">
        <v>51</v>
      </c>
      <c r="D1652" s="0" t="n">
        <v>1</v>
      </c>
      <c r="E1652" s="2" t="n">
        <v>40700.34375</v>
      </c>
      <c r="F1652" s="0" t="n">
        <v>5.41</v>
      </c>
      <c r="G1652" s="0" t="n">
        <v>14470</v>
      </c>
      <c r="H1652" s="3" t="s">
        <v>14</v>
      </c>
      <c r="I1652" s="4" t="n">
        <f aca="false">D1652*F1652</f>
        <v>5.41</v>
      </c>
      <c r="J1652" s="3" t="n">
        <f aca="false">IF(AND(LEFT(A1652,1)&lt;&gt;"C",D1652&gt;0,F1652&gt;0),1,0)</f>
        <v>1</v>
      </c>
      <c r="K1652" s="3" t="n">
        <f aca="false">IF(AND(H1652="United Kingdom",G1652&lt;&gt;"",COUNTIFS($G$2:G1652,G1652,$H$2:H1652,"United Kingdom")=1),1,0)</f>
        <v>0</v>
      </c>
    </row>
    <row r="1653" customFormat="false" ht="15" hidden="false" customHeight="false" outlineLevel="0" collapsed="false">
      <c r="A1653" s="0" t="s">
        <v>385</v>
      </c>
      <c r="B1653" s="0" t="s">
        <v>58</v>
      </c>
      <c r="C1653" s="0" t="s">
        <v>59</v>
      </c>
      <c r="D1653" s="0" t="n">
        <v>2</v>
      </c>
      <c r="E1653" s="2" t="n">
        <v>40700.34375</v>
      </c>
      <c r="F1653" s="0" t="n">
        <v>2.16</v>
      </c>
      <c r="G1653" s="0" t="n">
        <v>14470</v>
      </c>
      <c r="H1653" s="3" t="s">
        <v>14</v>
      </c>
      <c r="I1653" s="4" t="n">
        <f aca="false">D1653*F1653</f>
        <v>4.32</v>
      </c>
      <c r="J1653" s="3" t="n">
        <f aca="false">IF(AND(LEFT(A1653,1)&lt;&gt;"C",D1653&gt;0,F1653&gt;0),1,0)</f>
        <v>1</v>
      </c>
      <c r="K1653" s="3" t="n">
        <f aca="false">IF(AND(H1653="United Kingdom",G1653&lt;&gt;"",COUNTIFS($G$2:G1653,G1653,$H$2:H1653,"United Kingdom")=1),1,0)</f>
        <v>0</v>
      </c>
    </row>
    <row r="1654" customFormat="false" ht="15" hidden="false" customHeight="false" outlineLevel="0" collapsed="false">
      <c r="A1654" s="0" t="s">
        <v>386</v>
      </c>
      <c r="B1654" s="0" t="s">
        <v>58</v>
      </c>
      <c r="C1654" s="0" t="s">
        <v>59</v>
      </c>
      <c r="D1654" s="0" t="n">
        <v>4</v>
      </c>
      <c r="E1654" s="2" t="n">
        <v>40700.8222222222</v>
      </c>
      <c r="F1654" s="0" t="n">
        <v>2.16</v>
      </c>
      <c r="G1654" s="0" t="n">
        <v>14910</v>
      </c>
      <c r="H1654" s="3" t="s">
        <v>14</v>
      </c>
      <c r="I1654" s="4" t="n">
        <f aca="false">D1654*F1654</f>
        <v>8.64</v>
      </c>
      <c r="J1654" s="3" t="n">
        <f aca="false">IF(AND(LEFT(A1654,1)&lt;&gt;"C",D1654&gt;0,F1654&gt;0),1,0)</f>
        <v>1</v>
      </c>
      <c r="K1654" s="3" t="n">
        <f aca="false">IF(AND(H1654="United Kingdom",G1654&lt;&gt;"",COUNTIFS($G$2:G1654,G1654,$H$2:H1654,"United Kingdom")=1),1,0)</f>
        <v>0</v>
      </c>
    </row>
    <row r="1655" customFormat="false" ht="15" hidden="false" customHeight="false" outlineLevel="0" collapsed="false">
      <c r="A1655" s="0" t="s">
        <v>387</v>
      </c>
      <c r="B1655" s="0" t="s">
        <v>58</v>
      </c>
      <c r="C1655" s="0" t="s">
        <v>59</v>
      </c>
      <c r="D1655" s="0" t="n">
        <v>2</v>
      </c>
      <c r="E1655" s="2" t="n">
        <v>40701.7055555556</v>
      </c>
      <c r="F1655" s="0" t="n">
        <v>2.16</v>
      </c>
      <c r="G1655" s="0" t="n">
        <v>17188</v>
      </c>
      <c r="H1655" s="3" t="s">
        <v>14</v>
      </c>
      <c r="I1655" s="4" t="n">
        <f aca="false">D1655*F1655</f>
        <v>4.32</v>
      </c>
      <c r="J1655" s="3" t="n">
        <f aca="false">IF(AND(LEFT(A1655,1)&lt;&gt;"C",D1655&gt;0,F1655&gt;0),1,0)</f>
        <v>1</v>
      </c>
      <c r="K1655" s="3" t="n">
        <f aca="false">IF(AND(H1655="United Kingdom",G1655&lt;&gt;"",COUNTIFS($G$2:G1655,G1655,$H$2:H1655,"United Kingdom")=1),1,0)</f>
        <v>0</v>
      </c>
    </row>
    <row r="1656" customFormat="false" ht="15" hidden="false" customHeight="false" outlineLevel="0" collapsed="false">
      <c r="A1656" s="0" t="s">
        <v>388</v>
      </c>
      <c r="B1656" s="0" t="s">
        <v>12</v>
      </c>
      <c r="C1656" s="0" t="s">
        <v>13</v>
      </c>
      <c r="D1656" s="0" t="n">
        <v>5</v>
      </c>
      <c r="E1656" s="2" t="n">
        <v>40702.4493055556</v>
      </c>
      <c r="F1656" s="0" t="n">
        <v>3.33</v>
      </c>
      <c r="G1656" s="0" t="n">
        <v>17907</v>
      </c>
      <c r="H1656" s="3" t="s">
        <v>120</v>
      </c>
      <c r="I1656" s="4" t="n">
        <f aca="false">D1656*F1656</f>
        <v>16.65</v>
      </c>
      <c r="J1656" s="3" t="n">
        <f aca="false">IF(AND(LEFT(A1656,1)&lt;&gt;"C",D1656&gt;0,F1656&gt;0),1,0)</f>
        <v>1</v>
      </c>
      <c r="K1656" s="3" t="n">
        <f aca="false">IF(AND(H1656="United Kingdom",G1656&lt;&gt;"",COUNTIFS($G$2:G1656,G1656,$H$2:H1656,"United Kingdom")=1),1,0)</f>
        <v>0</v>
      </c>
    </row>
    <row r="1657" customFormat="false" ht="15" hidden="false" customHeight="false" outlineLevel="0" collapsed="false">
      <c r="A1657" s="0" t="s">
        <v>388</v>
      </c>
      <c r="B1657" s="0" t="s">
        <v>65</v>
      </c>
      <c r="C1657" s="0" t="s">
        <v>66</v>
      </c>
      <c r="D1657" s="0" t="n">
        <v>1</v>
      </c>
      <c r="E1657" s="2" t="n">
        <v>40702.4493055556</v>
      </c>
      <c r="F1657" s="0" t="n">
        <v>4.75</v>
      </c>
      <c r="G1657" s="0" t="n">
        <v>17907</v>
      </c>
      <c r="H1657" s="3" t="s">
        <v>120</v>
      </c>
      <c r="I1657" s="4" t="n">
        <f aca="false">D1657*F1657</f>
        <v>4.75</v>
      </c>
      <c r="J1657" s="3" t="n">
        <f aca="false">IF(AND(LEFT(A1657,1)&lt;&gt;"C",D1657&gt;0,F1657&gt;0),1,0)</f>
        <v>1</v>
      </c>
      <c r="K1657" s="3" t="n">
        <f aca="false">IF(AND(H1657="United Kingdom",G1657&lt;&gt;"",COUNTIFS($G$2:G1657,G1657,$H$2:H1657,"United Kingdom")=1),1,0)</f>
        <v>0</v>
      </c>
    </row>
    <row r="1658" customFormat="false" ht="15" hidden="false" customHeight="false" outlineLevel="0" collapsed="false">
      <c r="A1658" s="0" t="s">
        <v>389</v>
      </c>
      <c r="B1658" s="0" t="s">
        <v>48</v>
      </c>
      <c r="C1658" s="0" t="s">
        <v>49</v>
      </c>
      <c r="D1658" s="0" t="n">
        <v>8</v>
      </c>
      <c r="E1658" s="2" t="n">
        <v>40702.7145833333</v>
      </c>
      <c r="F1658" s="0" t="n">
        <v>1.35</v>
      </c>
      <c r="G1658" s="0" t="n">
        <v>14012</v>
      </c>
      <c r="H1658" s="3" t="s">
        <v>97</v>
      </c>
      <c r="I1658" s="4" t="n">
        <f aca="false">D1658*F1658</f>
        <v>10.8</v>
      </c>
      <c r="J1658" s="3" t="n">
        <f aca="false">IF(AND(LEFT(A1658,1)&lt;&gt;"C",D1658&gt;0,F1658&gt;0),1,0)</f>
        <v>1</v>
      </c>
      <c r="K1658" s="3" t="n">
        <f aca="false">IF(AND(H1658="United Kingdom",G1658&lt;&gt;"",COUNTIFS($G$2:G1658,G1658,$H$2:H1658,"United Kingdom")=1),1,0)</f>
        <v>0</v>
      </c>
    </row>
    <row r="1659" customFormat="false" ht="15" hidden="false" customHeight="false" outlineLevel="0" collapsed="false">
      <c r="A1659" s="0" t="s">
        <v>389</v>
      </c>
      <c r="B1659" s="0" t="s">
        <v>80</v>
      </c>
      <c r="C1659" s="0" t="s">
        <v>81</v>
      </c>
      <c r="D1659" s="0" t="n">
        <v>4</v>
      </c>
      <c r="E1659" s="2" t="n">
        <v>40702.7145833333</v>
      </c>
      <c r="F1659" s="0" t="n">
        <v>1.53</v>
      </c>
      <c r="G1659" s="0" t="n">
        <v>14012</v>
      </c>
      <c r="H1659" s="3" t="s">
        <v>97</v>
      </c>
      <c r="I1659" s="4" t="n">
        <f aca="false">D1659*F1659</f>
        <v>6.12</v>
      </c>
      <c r="J1659" s="3" t="n">
        <f aca="false">IF(AND(LEFT(A1659,1)&lt;&gt;"C",D1659&gt;0,F1659&gt;0),1,0)</f>
        <v>1</v>
      </c>
      <c r="K1659" s="3" t="n">
        <f aca="false">IF(AND(H1659="United Kingdom",G1659&lt;&gt;"",COUNTIFS($G$2:G1659,G1659,$H$2:H1659,"United Kingdom")=1),1,0)</f>
        <v>0</v>
      </c>
    </row>
    <row r="1660" customFormat="false" ht="15" hidden="false" customHeight="false" outlineLevel="0" collapsed="false">
      <c r="A1660" s="0" t="s">
        <v>389</v>
      </c>
      <c r="B1660" s="0" t="s">
        <v>41</v>
      </c>
      <c r="C1660" s="0" t="s">
        <v>42</v>
      </c>
      <c r="D1660" s="0" t="n">
        <v>8</v>
      </c>
      <c r="E1660" s="2" t="n">
        <v>40702.7145833333</v>
      </c>
      <c r="F1660" s="0" t="n">
        <v>3.28</v>
      </c>
      <c r="G1660" s="0" t="n">
        <v>14012</v>
      </c>
      <c r="H1660" s="3" t="s">
        <v>97</v>
      </c>
      <c r="I1660" s="4" t="n">
        <f aca="false">D1660*F1660</f>
        <v>26.24</v>
      </c>
      <c r="J1660" s="3" t="n">
        <f aca="false">IF(AND(LEFT(A1660,1)&lt;&gt;"C",D1660&gt;0,F1660&gt;0),1,0)</f>
        <v>1</v>
      </c>
      <c r="K1660" s="3" t="n">
        <f aca="false">IF(AND(H1660="United Kingdom",G1660&lt;&gt;"",COUNTIFS($G$2:G1660,G1660,$H$2:H1660,"United Kingdom")=1),1,0)</f>
        <v>0</v>
      </c>
    </row>
    <row r="1661" customFormat="false" ht="15" hidden="false" customHeight="false" outlineLevel="0" collapsed="false">
      <c r="A1661" s="0" t="s">
        <v>389</v>
      </c>
      <c r="B1661" s="0" t="s">
        <v>77</v>
      </c>
      <c r="C1661" s="0" t="s">
        <v>78</v>
      </c>
      <c r="D1661" s="0" t="n">
        <v>4</v>
      </c>
      <c r="E1661" s="2" t="n">
        <v>40702.7145833333</v>
      </c>
      <c r="F1661" s="0" t="n">
        <v>3.41</v>
      </c>
      <c r="G1661" s="0" t="n">
        <v>14012</v>
      </c>
      <c r="H1661" s="3" t="s">
        <v>97</v>
      </c>
      <c r="I1661" s="4" t="n">
        <f aca="false">D1661*F1661</f>
        <v>13.64</v>
      </c>
      <c r="J1661" s="3" t="n">
        <f aca="false">IF(AND(LEFT(A1661,1)&lt;&gt;"C",D1661&gt;0,F1661&gt;0),1,0)</f>
        <v>1</v>
      </c>
      <c r="K1661" s="3" t="n">
        <f aca="false">IF(AND(H1661="United Kingdom",G1661&lt;&gt;"",COUNTIFS($G$2:G1661,G1661,$H$2:H1661,"United Kingdom")=1),1,0)</f>
        <v>0</v>
      </c>
    </row>
    <row r="1662" customFormat="false" ht="15" hidden="false" customHeight="false" outlineLevel="0" collapsed="false">
      <c r="A1662" s="0" t="s">
        <v>389</v>
      </c>
      <c r="B1662" s="0" t="s">
        <v>52</v>
      </c>
      <c r="C1662" s="0" t="s">
        <v>53</v>
      </c>
      <c r="D1662" s="0" t="n">
        <v>8</v>
      </c>
      <c r="E1662" s="2" t="n">
        <v>40702.7145833333</v>
      </c>
      <c r="F1662" s="0" t="n">
        <v>4.16</v>
      </c>
      <c r="G1662" s="0" t="n">
        <v>14012</v>
      </c>
      <c r="H1662" s="3" t="s">
        <v>97</v>
      </c>
      <c r="I1662" s="4" t="n">
        <f aca="false">D1662*F1662</f>
        <v>33.28</v>
      </c>
      <c r="J1662" s="3" t="n">
        <f aca="false">IF(AND(LEFT(A1662,1)&lt;&gt;"C",D1662&gt;0,F1662&gt;0),1,0)</f>
        <v>1</v>
      </c>
      <c r="K1662" s="3" t="n">
        <f aca="false">IF(AND(H1662="United Kingdom",G1662&lt;&gt;"",COUNTIFS($G$2:G1662,G1662,$H$2:H1662,"United Kingdom")=1),1,0)</f>
        <v>0</v>
      </c>
    </row>
    <row r="1663" customFormat="false" ht="15" hidden="false" customHeight="false" outlineLevel="0" collapsed="false">
      <c r="A1663" s="0" t="s">
        <v>389</v>
      </c>
      <c r="B1663" s="0" t="s">
        <v>32</v>
      </c>
      <c r="C1663" s="0" t="s">
        <v>33</v>
      </c>
      <c r="D1663" s="0" t="n">
        <v>8</v>
      </c>
      <c r="E1663" s="2" t="n">
        <v>40702.7145833333</v>
      </c>
      <c r="F1663" s="0" t="n">
        <v>1.19</v>
      </c>
      <c r="G1663" s="0" t="n">
        <v>14012</v>
      </c>
      <c r="H1663" s="3" t="s">
        <v>97</v>
      </c>
      <c r="I1663" s="4" t="n">
        <f aca="false">D1663*F1663</f>
        <v>9.52</v>
      </c>
      <c r="J1663" s="3" t="n">
        <f aca="false">IF(AND(LEFT(A1663,1)&lt;&gt;"C",D1663&gt;0,F1663&gt;0),1,0)</f>
        <v>1</v>
      </c>
      <c r="K1663" s="3" t="n">
        <f aca="false">IF(AND(H1663="United Kingdom",G1663&lt;&gt;"",COUNTIFS($G$2:G1663,G1663,$H$2:H1663,"United Kingdom")=1),1,0)</f>
        <v>0</v>
      </c>
    </row>
    <row r="1664" customFormat="false" ht="15" hidden="false" customHeight="false" outlineLevel="0" collapsed="false">
      <c r="A1664" s="0" t="s">
        <v>389</v>
      </c>
      <c r="B1664" s="0" t="s">
        <v>90</v>
      </c>
      <c r="C1664" s="0" t="s">
        <v>91</v>
      </c>
      <c r="D1664" s="0" t="n">
        <v>32</v>
      </c>
      <c r="E1664" s="2" t="n">
        <v>40702.7145833333</v>
      </c>
      <c r="F1664" s="0" t="n">
        <v>3.04</v>
      </c>
      <c r="G1664" s="0" t="n">
        <v>14012</v>
      </c>
      <c r="H1664" s="3" t="s">
        <v>97</v>
      </c>
      <c r="I1664" s="4" t="n">
        <f aca="false">D1664*F1664</f>
        <v>97.28</v>
      </c>
      <c r="J1664" s="3" t="n">
        <f aca="false">IF(AND(LEFT(A1664,1)&lt;&gt;"C",D1664&gt;0,F1664&gt;0),1,0)</f>
        <v>1</v>
      </c>
      <c r="K1664" s="3" t="n">
        <f aca="false">IF(AND(H1664="United Kingdom",G1664&lt;&gt;"",COUNTIFS($G$2:G1664,G1664,$H$2:H1664,"United Kingdom")=1),1,0)</f>
        <v>0</v>
      </c>
    </row>
    <row r="1665" customFormat="false" ht="15" hidden="false" customHeight="false" outlineLevel="0" collapsed="false">
      <c r="A1665" s="0" t="s">
        <v>389</v>
      </c>
      <c r="B1665" s="0" t="s">
        <v>54</v>
      </c>
      <c r="C1665" s="0" t="s">
        <v>55</v>
      </c>
      <c r="D1665" s="0" t="n">
        <v>16</v>
      </c>
      <c r="E1665" s="2" t="n">
        <v>40702.7145833333</v>
      </c>
      <c r="F1665" s="0" t="n">
        <v>0.99</v>
      </c>
      <c r="G1665" s="0" t="n">
        <v>14012</v>
      </c>
      <c r="H1665" s="3" t="s">
        <v>97</v>
      </c>
      <c r="I1665" s="4" t="n">
        <f aca="false">D1665*F1665</f>
        <v>15.84</v>
      </c>
      <c r="J1665" s="3" t="n">
        <f aca="false">IF(AND(LEFT(A1665,1)&lt;&gt;"C",D1665&gt;0,F1665&gt;0),1,0)</f>
        <v>1</v>
      </c>
      <c r="K1665" s="3" t="n">
        <f aca="false">IF(AND(H1665="United Kingdom",G1665&lt;&gt;"",COUNTIFS($G$2:G1665,G1665,$H$2:H1665,"United Kingdom")=1),1,0)</f>
        <v>0</v>
      </c>
    </row>
    <row r="1666" customFormat="false" ht="15" hidden="false" customHeight="false" outlineLevel="0" collapsed="false">
      <c r="A1666" s="0" t="s">
        <v>389</v>
      </c>
      <c r="B1666" s="0" t="s">
        <v>22</v>
      </c>
      <c r="C1666" s="0" t="s">
        <v>23</v>
      </c>
      <c r="D1666" s="0" t="n">
        <v>8</v>
      </c>
      <c r="E1666" s="2" t="n">
        <v>40702.7145833333</v>
      </c>
      <c r="F1666" s="0" t="n">
        <v>3.18</v>
      </c>
      <c r="G1666" s="0" t="n">
        <v>14012</v>
      </c>
      <c r="H1666" s="3" t="s">
        <v>97</v>
      </c>
      <c r="I1666" s="4" t="n">
        <f aca="false">D1666*F1666</f>
        <v>25.44</v>
      </c>
      <c r="J1666" s="3" t="n">
        <f aca="false">IF(AND(LEFT(A1666,1)&lt;&gt;"C",D1666&gt;0,F1666&gt;0),1,0)</f>
        <v>1</v>
      </c>
      <c r="K1666" s="3" t="n">
        <f aca="false">IF(AND(H1666="United Kingdom",G1666&lt;&gt;"",COUNTIFS($G$2:G1666,G1666,$H$2:H1666,"United Kingdom")=1),1,0)</f>
        <v>0</v>
      </c>
    </row>
    <row r="1667" customFormat="false" ht="15" hidden="false" customHeight="false" outlineLevel="0" collapsed="false">
      <c r="A1667" s="0" t="s">
        <v>390</v>
      </c>
      <c r="B1667" s="0" t="s">
        <v>90</v>
      </c>
      <c r="C1667" s="0" t="s">
        <v>91</v>
      </c>
      <c r="D1667" s="0" t="n">
        <v>96</v>
      </c>
      <c r="E1667" s="2" t="n">
        <v>40702.7152777778</v>
      </c>
      <c r="F1667" s="0" t="n">
        <v>3.04</v>
      </c>
      <c r="G1667" s="0" t="n">
        <v>15321</v>
      </c>
      <c r="H1667" s="3" t="s">
        <v>14</v>
      </c>
      <c r="I1667" s="4" t="n">
        <f aca="false">D1667*F1667</f>
        <v>291.84</v>
      </c>
      <c r="J1667" s="3" t="n">
        <f aca="false">IF(AND(LEFT(A1667,1)&lt;&gt;"C",D1667&gt;0,F1667&gt;0),1,0)</f>
        <v>1</v>
      </c>
      <c r="K1667" s="3" t="n">
        <f aca="false">IF(AND(H1667="United Kingdom",G1667&lt;&gt;"",COUNTIFS($G$2:G1667,G1667,$H$2:H1667,"United Kingdom")=1),1,0)</f>
        <v>0</v>
      </c>
    </row>
    <row r="1668" customFormat="false" ht="15" hidden="false" customHeight="false" outlineLevel="0" collapsed="false">
      <c r="A1668" s="0" t="s">
        <v>390</v>
      </c>
      <c r="B1668" s="0" t="s">
        <v>34</v>
      </c>
      <c r="C1668" s="0" t="s">
        <v>35</v>
      </c>
      <c r="D1668" s="0" t="n">
        <v>96</v>
      </c>
      <c r="E1668" s="2" t="n">
        <v>40702.7152777778</v>
      </c>
      <c r="F1668" s="0" t="n">
        <v>2.38</v>
      </c>
      <c r="G1668" s="0" t="n">
        <v>15321</v>
      </c>
      <c r="H1668" s="3" t="s">
        <v>14</v>
      </c>
      <c r="I1668" s="4" t="n">
        <f aca="false">D1668*F1668</f>
        <v>228.48</v>
      </c>
      <c r="J1668" s="3" t="n">
        <f aca="false">IF(AND(LEFT(A1668,1)&lt;&gt;"C",D1668&gt;0,F1668&gt;0),1,0)</f>
        <v>1</v>
      </c>
      <c r="K1668" s="3" t="n">
        <f aca="false">IF(AND(H1668="United Kingdom",G1668&lt;&gt;"",COUNTIFS($G$2:G1668,G1668,$H$2:H1668,"United Kingdom")=1),1,0)</f>
        <v>0</v>
      </c>
    </row>
    <row r="1669" customFormat="false" ht="15" hidden="false" customHeight="false" outlineLevel="0" collapsed="false">
      <c r="A1669" s="0" t="s">
        <v>390</v>
      </c>
      <c r="B1669" s="0" t="s">
        <v>63</v>
      </c>
      <c r="C1669" s="0" t="s">
        <v>64</v>
      </c>
      <c r="D1669" s="0" t="n">
        <v>96</v>
      </c>
      <c r="E1669" s="2" t="n">
        <v>40702.7152777778</v>
      </c>
      <c r="F1669" s="0" t="n">
        <v>2.43</v>
      </c>
      <c r="G1669" s="0" t="n">
        <v>15321</v>
      </c>
      <c r="H1669" s="3" t="s">
        <v>14</v>
      </c>
      <c r="I1669" s="4" t="n">
        <f aca="false">D1669*F1669</f>
        <v>233.28</v>
      </c>
      <c r="J1669" s="3" t="n">
        <f aca="false">IF(AND(LEFT(A1669,1)&lt;&gt;"C",D1669&gt;0,F1669&gt;0),1,0)</f>
        <v>1</v>
      </c>
      <c r="K1669" s="3" t="n">
        <f aca="false">IF(AND(H1669="United Kingdom",G1669&lt;&gt;"",COUNTIFS($G$2:G1669,G1669,$H$2:H1669,"United Kingdom")=1),1,0)</f>
        <v>0</v>
      </c>
    </row>
    <row r="1670" customFormat="false" ht="15" hidden="false" customHeight="false" outlineLevel="0" collapsed="false">
      <c r="A1670" s="0" t="s">
        <v>391</v>
      </c>
      <c r="B1670" s="0" t="s">
        <v>75</v>
      </c>
      <c r="C1670" s="0" t="s">
        <v>76</v>
      </c>
      <c r="D1670" s="0" t="n">
        <v>192</v>
      </c>
      <c r="E1670" s="2" t="n">
        <v>40702.83125</v>
      </c>
      <c r="F1670" s="0" t="n">
        <v>1.97</v>
      </c>
      <c r="H1670" s="3" t="s">
        <v>14</v>
      </c>
      <c r="I1670" s="4" t="n">
        <f aca="false">D1670*F1670</f>
        <v>378.24</v>
      </c>
      <c r="J1670" s="3" t="n">
        <f aca="false">IF(AND(LEFT(A1670,1)&lt;&gt;"C",D1670&gt;0,F1670&gt;0),1,0)</f>
        <v>1</v>
      </c>
      <c r="K1670" s="3" t="n">
        <f aca="false">IF(AND(H1670="United Kingdom",G1670&lt;&gt;"",COUNTIFS($G$2:G1670,G1670,$H$2:H1670,"United Kingdom")=1),1,0)</f>
        <v>0</v>
      </c>
    </row>
    <row r="1671" customFormat="false" ht="15" hidden="false" customHeight="false" outlineLevel="0" collapsed="false">
      <c r="A1671" s="0" t="s">
        <v>391</v>
      </c>
      <c r="B1671" s="0" t="s">
        <v>48</v>
      </c>
      <c r="C1671" s="0" t="s">
        <v>49</v>
      </c>
      <c r="D1671" s="0" t="n">
        <v>24</v>
      </c>
      <c r="E1671" s="2" t="n">
        <v>40702.83125</v>
      </c>
      <c r="F1671" s="0" t="n">
        <v>1.35</v>
      </c>
      <c r="H1671" s="3" t="s">
        <v>14</v>
      </c>
      <c r="I1671" s="4" t="n">
        <f aca="false">D1671*F1671</f>
        <v>32.4</v>
      </c>
      <c r="J1671" s="3" t="n">
        <f aca="false">IF(AND(LEFT(A1671,1)&lt;&gt;"C",D1671&gt;0,F1671&gt;0),1,0)</f>
        <v>1</v>
      </c>
      <c r="K1671" s="3" t="n">
        <f aca="false">IF(AND(H1671="United Kingdom",G1671&lt;&gt;"",COUNTIFS($G$2:G1671,G1671,$H$2:H1671,"United Kingdom")=1),1,0)</f>
        <v>0</v>
      </c>
    </row>
    <row r="1672" customFormat="false" ht="15" hidden="false" customHeight="false" outlineLevel="0" collapsed="false">
      <c r="A1672" s="0" t="s">
        <v>391</v>
      </c>
      <c r="B1672" s="0" t="s">
        <v>80</v>
      </c>
      <c r="C1672" s="0" t="s">
        <v>81</v>
      </c>
      <c r="D1672" s="0" t="n">
        <v>288</v>
      </c>
      <c r="E1672" s="2" t="n">
        <v>40702.83125</v>
      </c>
      <c r="F1672" s="0" t="n">
        <v>1.53</v>
      </c>
      <c r="H1672" s="3" t="s">
        <v>14</v>
      </c>
      <c r="I1672" s="4" t="n">
        <f aca="false">D1672*F1672</f>
        <v>440.64</v>
      </c>
      <c r="J1672" s="3" t="n">
        <f aca="false">IF(AND(LEFT(A1672,1)&lt;&gt;"C",D1672&gt;0,F1672&gt;0),1,0)</f>
        <v>1</v>
      </c>
      <c r="K1672" s="3" t="n">
        <f aca="false">IF(AND(H1672="United Kingdom",G1672&lt;&gt;"",COUNTIFS($G$2:G1672,G1672,$H$2:H1672,"United Kingdom")=1),1,0)</f>
        <v>0</v>
      </c>
    </row>
    <row r="1673" customFormat="false" ht="15" hidden="false" customHeight="false" outlineLevel="0" collapsed="false">
      <c r="A1673" s="0" t="s">
        <v>392</v>
      </c>
      <c r="B1673" s="0" t="s">
        <v>32</v>
      </c>
      <c r="C1673" s="0" t="s">
        <v>33</v>
      </c>
      <c r="D1673" s="0" t="n">
        <v>8</v>
      </c>
      <c r="E1673" s="2" t="n">
        <v>40703.3854166667</v>
      </c>
      <c r="F1673" s="0" t="n">
        <v>1.19</v>
      </c>
      <c r="G1673" s="0" t="n">
        <v>14880</v>
      </c>
      <c r="H1673" s="3" t="s">
        <v>14</v>
      </c>
      <c r="I1673" s="4" t="n">
        <f aca="false">D1673*F1673</f>
        <v>9.52</v>
      </c>
      <c r="J1673" s="3" t="n">
        <f aca="false">IF(AND(LEFT(A1673,1)&lt;&gt;"C",D1673&gt;0,F1673&gt;0),1,0)</f>
        <v>1</v>
      </c>
      <c r="K1673" s="3" t="n">
        <f aca="false">IF(AND(H1673="United Kingdom",G1673&lt;&gt;"",COUNTIFS($G$2:G1673,G1673,$H$2:H1673,"United Kingdom")=1),1,0)</f>
        <v>0</v>
      </c>
    </row>
    <row r="1674" customFormat="false" ht="15" hidden="false" customHeight="false" outlineLevel="0" collapsed="false">
      <c r="A1674" s="0" t="s">
        <v>393</v>
      </c>
      <c r="B1674" s="0" t="s">
        <v>63</v>
      </c>
      <c r="C1674" s="0" t="s">
        <v>64</v>
      </c>
      <c r="D1674" s="0" t="n">
        <v>72</v>
      </c>
      <c r="E1674" s="2" t="n">
        <v>40703.5736111111</v>
      </c>
      <c r="F1674" s="0" t="n">
        <v>2.43</v>
      </c>
      <c r="G1674" s="0" t="n">
        <v>17856</v>
      </c>
      <c r="H1674" s="3" t="s">
        <v>101</v>
      </c>
      <c r="I1674" s="4" t="n">
        <f aca="false">D1674*F1674</f>
        <v>174.96</v>
      </c>
      <c r="J1674" s="3" t="n">
        <f aca="false">IF(AND(LEFT(A1674,1)&lt;&gt;"C",D1674&gt;0,F1674&gt;0),1,0)</f>
        <v>1</v>
      </c>
      <c r="K1674" s="3" t="n">
        <f aca="false">IF(AND(H1674="United Kingdom",G1674&lt;&gt;"",COUNTIFS($G$2:G1674,G1674,$H$2:H1674,"United Kingdom")=1),1,0)</f>
        <v>0</v>
      </c>
    </row>
    <row r="1675" customFormat="false" ht="15" hidden="false" customHeight="false" outlineLevel="0" collapsed="false">
      <c r="A1675" s="0" t="s">
        <v>393</v>
      </c>
      <c r="B1675" s="0" t="s">
        <v>39</v>
      </c>
      <c r="C1675" s="0" t="s">
        <v>40</v>
      </c>
      <c r="D1675" s="0" t="n">
        <v>96</v>
      </c>
      <c r="E1675" s="2" t="n">
        <v>40703.5736111111</v>
      </c>
      <c r="F1675" s="0" t="n">
        <v>2.58</v>
      </c>
      <c r="G1675" s="0" t="n">
        <v>17856</v>
      </c>
      <c r="H1675" s="3" t="s">
        <v>101</v>
      </c>
      <c r="I1675" s="4" t="n">
        <f aca="false">D1675*F1675</f>
        <v>247.68</v>
      </c>
      <c r="J1675" s="3" t="n">
        <f aca="false">IF(AND(LEFT(A1675,1)&lt;&gt;"C",D1675&gt;0,F1675&gt;0),1,0)</f>
        <v>1</v>
      </c>
      <c r="K1675" s="3" t="n">
        <f aca="false">IF(AND(H1675="United Kingdom",G1675&lt;&gt;"",COUNTIFS($G$2:G1675,G1675,$H$2:H1675,"United Kingdom")=1),1,0)</f>
        <v>0</v>
      </c>
    </row>
    <row r="1676" customFormat="false" ht="15" hidden="false" customHeight="false" outlineLevel="0" collapsed="false">
      <c r="A1676" s="0" t="s">
        <v>393</v>
      </c>
      <c r="B1676" s="0" t="s">
        <v>80</v>
      </c>
      <c r="C1676" s="0" t="s">
        <v>81</v>
      </c>
      <c r="D1676" s="0" t="n">
        <v>144</v>
      </c>
      <c r="E1676" s="2" t="n">
        <v>40703.5736111111</v>
      </c>
      <c r="F1676" s="0" t="n">
        <v>1.53</v>
      </c>
      <c r="G1676" s="0" t="n">
        <v>17856</v>
      </c>
      <c r="H1676" s="3" t="s">
        <v>101</v>
      </c>
      <c r="I1676" s="4" t="n">
        <f aca="false">D1676*F1676</f>
        <v>220.32</v>
      </c>
      <c r="J1676" s="3" t="n">
        <f aca="false">IF(AND(LEFT(A1676,1)&lt;&gt;"C",D1676&gt;0,F1676&gt;0),1,0)</f>
        <v>1</v>
      </c>
      <c r="K1676" s="3" t="n">
        <f aca="false">IF(AND(H1676="United Kingdom",G1676&lt;&gt;"",COUNTIFS($G$2:G1676,G1676,$H$2:H1676,"United Kingdom")=1),1,0)</f>
        <v>0</v>
      </c>
    </row>
    <row r="1677" customFormat="false" ht="15" hidden="false" customHeight="false" outlineLevel="0" collapsed="false">
      <c r="A1677" s="0" t="s">
        <v>393</v>
      </c>
      <c r="B1677" s="0" t="s">
        <v>27</v>
      </c>
      <c r="C1677" s="0" t="s">
        <v>28</v>
      </c>
      <c r="D1677" s="0" t="n">
        <v>24</v>
      </c>
      <c r="E1677" s="2" t="n">
        <v>40703.5736111111</v>
      </c>
      <c r="F1677" s="0" t="n">
        <v>4.55</v>
      </c>
      <c r="G1677" s="0" t="n">
        <v>17856</v>
      </c>
      <c r="H1677" s="3" t="s">
        <v>101</v>
      </c>
      <c r="I1677" s="4" t="n">
        <f aca="false">D1677*F1677</f>
        <v>109.2</v>
      </c>
      <c r="J1677" s="3" t="n">
        <f aca="false">IF(AND(LEFT(A1677,1)&lt;&gt;"C",D1677&gt;0,F1677&gt;0),1,0)</f>
        <v>1</v>
      </c>
      <c r="K1677" s="3" t="n">
        <f aca="false">IF(AND(H1677="United Kingdom",G1677&lt;&gt;"",COUNTIFS($G$2:G1677,G1677,$H$2:H1677,"United Kingdom")=1),1,0)</f>
        <v>0</v>
      </c>
    </row>
    <row r="1678" customFormat="false" ht="15" hidden="false" customHeight="false" outlineLevel="0" collapsed="false">
      <c r="A1678" s="0" t="s">
        <v>393</v>
      </c>
      <c r="B1678" s="0" t="s">
        <v>113</v>
      </c>
      <c r="C1678" s="0" t="s">
        <v>114</v>
      </c>
      <c r="D1678" s="0" t="n">
        <v>24</v>
      </c>
      <c r="E1678" s="2" t="n">
        <v>40703.5736111111</v>
      </c>
      <c r="F1678" s="0" t="n">
        <v>3.57</v>
      </c>
      <c r="G1678" s="0" t="n">
        <v>17856</v>
      </c>
      <c r="H1678" s="3" t="s">
        <v>101</v>
      </c>
      <c r="I1678" s="4" t="n">
        <f aca="false">D1678*F1678</f>
        <v>85.68</v>
      </c>
      <c r="J1678" s="3" t="n">
        <f aca="false">IF(AND(LEFT(A1678,1)&lt;&gt;"C",D1678&gt;0,F1678&gt;0),1,0)</f>
        <v>1</v>
      </c>
      <c r="K1678" s="3" t="n">
        <f aca="false">IF(AND(H1678="United Kingdom",G1678&lt;&gt;"",COUNTIFS($G$2:G1678,G1678,$H$2:H1678,"United Kingdom")=1),1,0)</f>
        <v>0</v>
      </c>
    </row>
    <row r="1679" customFormat="false" ht="15" hidden="false" customHeight="false" outlineLevel="0" collapsed="false">
      <c r="A1679" s="0" t="s">
        <v>394</v>
      </c>
      <c r="B1679" s="0" t="s">
        <v>58</v>
      </c>
      <c r="C1679" s="0" t="s">
        <v>59</v>
      </c>
      <c r="D1679" s="0" t="n">
        <v>1</v>
      </c>
      <c r="E1679" s="2" t="n">
        <v>40703.6458333333</v>
      </c>
      <c r="F1679" s="0" t="n">
        <v>2.16</v>
      </c>
      <c r="G1679" s="0" t="n">
        <v>16940</v>
      </c>
      <c r="H1679" s="3" t="s">
        <v>14</v>
      </c>
      <c r="I1679" s="4" t="n">
        <f aca="false">D1679*F1679</f>
        <v>2.16</v>
      </c>
      <c r="J1679" s="3" t="n">
        <f aca="false">IF(AND(LEFT(A1679,1)&lt;&gt;"C",D1679&gt;0,F1679&gt;0),1,0)</f>
        <v>1</v>
      </c>
      <c r="K1679" s="3" t="n">
        <f aca="false">IF(AND(H1679="United Kingdom",G1679&lt;&gt;"",COUNTIFS($G$2:G1679,G1679,$H$2:H1679,"United Kingdom")=1),1,0)</f>
        <v>0</v>
      </c>
    </row>
    <row r="1680" customFormat="false" ht="15" hidden="false" customHeight="false" outlineLevel="0" collapsed="false">
      <c r="A1680" s="0" t="s">
        <v>394</v>
      </c>
      <c r="B1680" s="0" t="s">
        <v>25</v>
      </c>
      <c r="C1680" s="0" t="s">
        <v>26</v>
      </c>
      <c r="D1680" s="0" t="n">
        <v>12</v>
      </c>
      <c r="E1680" s="2" t="n">
        <v>40703.6458333333</v>
      </c>
      <c r="F1680" s="0" t="n">
        <v>2.21</v>
      </c>
      <c r="G1680" s="0" t="n">
        <v>16940</v>
      </c>
      <c r="H1680" s="3" t="s">
        <v>14</v>
      </c>
      <c r="I1680" s="4" t="n">
        <f aca="false">D1680*F1680</f>
        <v>26.52</v>
      </c>
      <c r="J1680" s="3" t="n">
        <f aca="false">IF(AND(LEFT(A1680,1)&lt;&gt;"C",D1680&gt;0,F1680&gt;0),1,0)</f>
        <v>1</v>
      </c>
      <c r="K1680" s="3" t="n">
        <f aca="false">IF(AND(H1680="United Kingdom",G1680&lt;&gt;"",COUNTIFS($G$2:G1680,G1680,$H$2:H1680,"United Kingdom")=1),1,0)</f>
        <v>0</v>
      </c>
    </row>
    <row r="1681" customFormat="false" ht="15" hidden="false" customHeight="false" outlineLevel="0" collapsed="false">
      <c r="A1681" s="0" t="s">
        <v>394</v>
      </c>
      <c r="B1681" s="0" t="s">
        <v>39</v>
      </c>
      <c r="C1681" s="0" t="s">
        <v>40</v>
      </c>
      <c r="D1681" s="0" t="n">
        <v>2</v>
      </c>
      <c r="E1681" s="2" t="n">
        <v>40703.6458333333</v>
      </c>
      <c r="F1681" s="0" t="n">
        <v>2.58</v>
      </c>
      <c r="G1681" s="0" t="n">
        <v>16940</v>
      </c>
      <c r="H1681" s="3" t="s">
        <v>14</v>
      </c>
      <c r="I1681" s="4" t="n">
        <f aca="false">D1681*F1681</f>
        <v>5.16</v>
      </c>
      <c r="J1681" s="3" t="n">
        <f aca="false">IF(AND(LEFT(A1681,1)&lt;&gt;"C",D1681&gt;0,F1681&gt;0),1,0)</f>
        <v>1</v>
      </c>
      <c r="K1681" s="3" t="n">
        <f aca="false">IF(AND(H1681="United Kingdom",G1681&lt;&gt;"",COUNTIFS($G$2:G1681,G1681,$H$2:H1681,"United Kingdom")=1),1,0)</f>
        <v>0</v>
      </c>
    </row>
    <row r="1682" customFormat="false" ht="15" hidden="false" customHeight="false" outlineLevel="0" collapsed="false">
      <c r="A1682" s="0" t="s">
        <v>394</v>
      </c>
      <c r="B1682" s="0" t="s">
        <v>50</v>
      </c>
      <c r="C1682" s="0" t="s">
        <v>51</v>
      </c>
      <c r="D1682" s="0" t="n">
        <v>12</v>
      </c>
      <c r="E1682" s="2" t="n">
        <v>40703.6458333333</v>
      </c>
      <c r="F1682" s="0" t="n">
        <v>5.41</v>
      </c>
      <c r="G1682" s="0" t="n">
        <v>16940</v>
      </c>
      <c r="H1682" s="3" t="s">
        <v>14</v>
      </c>
      <c r="I1682" s="4" t="n">
        <f aca="false">D1682*F1682</f>
        <v>64.92</v>
      </c>
      <c r="J1682" s="3" t="n">
        <f aca="false">IF(AND(LEFT(A1682,1)&lt;&gt;"C",D1682&gt;0,F1682&gt;0),1,0)</f>
        <v>1</v>
      </c>
      <c r="K1682" s="3" t="n">
        <f aca="false">IF(AND(H1682="United Kingdom",G1682&lt;&gt;"",COUNTIFS($G$2:G1682,G1682,$H$2:H1682,"United Kingdom")=1),1,0)</f>
        <v>0</v>
      </c>
    </row>
    <row r="1683" customFormat="false" ht="15" hidden="false" customHeight="false" outlineLevel="0" collapsed="false">
      <c r="A1683" s="0" t="s">
        <v>394</v>
      </c>
      <c r="B1683" s="0" t="s">
        <v>43</v>
      </c>
      <c r="C1683" s="0" t="s">
        <v>44</v>
      </c>
      <c r="D1683" s="0" t="n">
        <v>6</v>
      </c>
      <c r="E1683" s="2" t="n">
        <v>40703.6458333333</v>
      </c>
      <c r="F1683" s="0" t="n">
        <v>1.35</v>
      </c>
      <c r="G1683" s="0" t="n">
        <v>16940</v>
      </c>
      <c r="H1683" s="3" t="s">
        <v>14</v>
      </c>
      <c r="I1683" s="4" t="n">
        <f aca="false">D1683*F1683</f>
        <v>8.1</v>
      </c>
      <c r="J1683" s="3" t="n">
        <f aca="false">IF(AND(LEFT(A1683,1)&lt;&gt;"C",D1683&gt;0,F1683&gt;0),1,0)</f>
        <v>1</v>
      </c>
      <c r="K1683" s="3" t="n">
        <f aca="false">IF(AND(H1683="United Kingdom",G1683&lt;&gt;"",COUNTIFS($G$2:G1683,G1683,$H$2:H1683,"United Kingdom")=1),1,0)</f>
        <v>0</v>
      </c>
    </row>
    <row r="1684" customFormat="false" ht="15" hidden="false" customHeight="false" outlineLevel="0" collapsed="false">
      <c r="A1684" s="0" t="s">
        <v>394</v>
      </c>
      <c r="B1684" s="0" t="s">
        <v>41</v>
      </c>
      <c r="C1684" s="0" t="s">
        <v>42</v>
      </c>
      <c r="D1684" s="0" t="n">
        <v>2</v>
      </c>
      <c r="E1684" s="2" t="n">
        <v>40703.6458333333</v>
      </c>
      <c r="F1684" s="0" t="n">
        <v>3.28</v>
      </c>
      <c r="G1684" s="0" t="n">
        <v>16940</v>
      </c>
      <c r="H1684" s="3" t="s">
        <v>14</v>
      </c>
      <c r="I1684" s="4" t="n">
        <f aca="false">D1684*F1684</f>
        <v>6.56</v>
      </c>
      <c r="J1684" s="3" t="n">
        <f aca="false">IF(AND(LEFT(A1684,1)&lt;&gt;"C",D1684&gt;0,F1684&gt;0),1,0)</f>
        <v>1</v>
      </c>
      <c r="K1684" s="3" t="n">
        <f aca="false">IF(AND(H1684="United Kingdom",G1684&lt;&gt;"",COUNTIFS($G$2:G1684,G1684,$H$2:H1684,"United Kingdom")=1),1,0)</f>
        <v>0</v>
      </c>
    </row>
    <row r="1685" customFormat="false" ht="15" hidden="false" customHeight="false" outlineLevel="0" collapsed="false">
      <c r="A1685" s="0" t="s">
        <v>395</v>
      </c>
      <c r="B1685" s="0" t="s">
        <v>32</v>
      </c>
      <c r="C1685" s="0" t="s">
        <v>33</v>
      </c>
      <c r="D1685" s="0" t="n">
        <v>12</v>
      </c>
      <c r="E1685" s="2" t="n">
        <v>40706.5611111111</v>
      </c>
      <c r="F1685" s="0" t="n">
        <v>1.19</v>
      </c>
      <c r="G1685" s="0" t="n">
        <v>12810</v>
      </c>
      <c r="H1685" s="3" t="s">
        <v>14</v>
      </c>
      <c r="I1685" s="4" t="n">
        <f aca="false">D1685*F1685</f>
        <v>14.28</v>
      </c>
      <c r="J1685" s="3" t="n">
        <f aca="false">IF(AND(LEFT(A1685,1)&lt;&gt;"C",D1685&gt;0,F1685&gt;0),1,0)</f>
        <v>1</v>
      </c>
      <c r="K1685" s="3" t="n">
        <f aca="false">IF(AND(H1685="United Kingdom",G1685&lt;&gt;"",COUNTIFS($G$2:G1685,G1685,$H$2:H1685,"United Kingdom")=1),1,0)</f>
        <v>0</v>
      </c>
    </row>
    <row r="1686" customFormat="false" ht="15" hidden="false" customHeight="false" outlineLevel="0" collapsed="false">
      <c r="A1686" s="0" t="s">
        <v>395</v>
      </c>
      <c r="B1686" s="0" t="s">
        <v>22</v>
      </c>
      <c r="C1686" s="0" t="s">
        <v>23</v>
      </c>
      <c r="D1686" s="0" t="n">
        <v>1</v>
      </c>
      <c r="E1686" s="2" t="n">
        <v>40706.5611111111</v>
      </c>
      <c r="F1686" s="0" t="n">
        <v>3.18</v>
      </c>
      <c r="G1686" s="0" t="n">
        <v>12810</v>
      </c>
      <c r="H1686" s="3" t="s">
        <v>14</v>
      </c>
      <c r="I1686" s="4" t="n">
        <f aca="false">D1686*F1686</f>
        <v>3.18</v>
      </c>
      <c r="J1686" s="3" t="n">
        <f aca="false">IF(AND(LEFT(A1686,1)&lt;&gt;"C",D1686&gt;0,F1686&gt;0),1,0)</f>
        <v>1</v>
      </c>
      <c r="K1686" s="3" t="n">
        <f aca="false">IF(AND(H1686="United Kingdom",G1686&lt;&gt;"",COUNTIFS($G$2:G1686,G1686,$H$2:H1686,"United Kingdom")=1),1,0)</f>
        <v>0</v>
      </c>
    </row>
    <row r="1687" customFormat="false" ht="15" hidden="false" customHeight="false" outlineLevel="0" collapsed="false">
      <c r="A1687" s="0" t="s">
        <v>395</v>
      </c>
      <c r="B1687" s="0" t="s">
        <v>77</v>
      </c>
      <c r="C1687" s="0" t="s">
        <v>78</v>
      </c>
      <c r="D1687" s="0" t="n">
        <v>6</v>
      </c>
      <c r="E1687" s="2" t="n">
        <v>40706.5611111111</v>
      </c>
      <c r="F1687" s="0" t="n">
        <v>3.41</v>
      </c>
      <c r="G1687" s="0" t="n">
        <v>12810</v>
      </c>
      <c r="H1687" s="3" t="s">
        <v>14</v>
      </c>
      <c r="I1687" s="4" t="n">
        <f aca="false">D1687*F1687</f>
        <v>20.46</v>
      </c>
      <c r="J1687" s="3" t="n">
        <f aca="false">IF(AND(LEFT(A1687,1)&lt;&gt;"C",D1687&gt;0,F1687&gt;0),1,0)</f>
        <v>1</v>
      </c>
      <c r="K1687" s="3" t="n">
        <f aca="false">IF(AND(H1687="United Kingdom",G1687&lt;&gt;"",COUNTIFS($G$2:G1687,G1687,$H$2:H1687,"United Kingdom")=1),1,0)</f>
        <v>0</v>
      </c>
    </row>
    <row r="1688" customFormat="false" ht="15" hidden="false" customHeight="false" outlineLevel="0" collapsed="false">
      <c r="A1688" s="0" t="s">
        <v>395</v>
      </c>
      <c r="B1688" s="0" t="s">
        <v>63</v>
      </c>
      <c r="C1688" s="0" t="s">
        <v>64</v>
      </c>
      <c r="D1688" s="0" t="n">
        <v>8</v>
      </c>
      <c r="E1688" s="2" t="n">
        <v>40706.5611111111</v>
      </c>
      <c r="F1688" s="0" t="n">
        <v>2.43</v>
      </c>
      <c r="G1688" s="0" t="n">
        <v>12810</v>
      </c>
      <c r="H1688" s="3" t="s">
        <v>14</v>
      </c>
      <c r="I1688" s="4" t="n">
        <f aca="false">D1688*F1688</f>
        <v>19.44</v>
      </c>
      <c r="J1688" s="3" t="n">
        <f aca="false">IF(AND(LEFT(A1688,1)&lt;&gt;"C",D1688&gt;0,F1688&gt;0),1,0)</f>
        <v>1</v>
      </c>
      <c r="K1688" s="3" t="n">
        <f aca="false">IF(AND(H1688="United Kingdom",G1688&lt;&gt;"",COUNTIFS($G$2:G1688,G1688,$H$2:H1688,"United Kingdom")=1),1,0)</f>
        <v>0</v>
      </c>
    </row>
    <row r="1689" customFormat="false" ht="15" hidden="false" customHeight="false" outlineLevel="0" collapsed="false">
      <c r="A1689" s="0" t="s">
        <v>396</v>
      </c>
      <c r="B1689" s="0" t="s">
        <v>75</v>
      </c>
      <c r="C1689" s="0" t="s">
        <v>76</v>
      </c>
      <c r="D1689" s="0" t="n">
        <v>4</v>
      </c>
      <c r="E1689" s="2" t="n">
        <v>40706.6826388889</v>
      </c>
      <c r="F1689" s="0" t="n">
        <v>1.97</v>
      </c>
      <c r="G1689" s="0" t="n">
        <v>14490</v>
      </c>
      <c r="H1689" s="3" t="s">
        <v>14</v>
      </c>
      <c r="I1689" s="4" t="n">
        <f aca="false">D1689*F1689</f>
        <v>7.88</v>
      </c>
      <c r="J1689" s="3" t="n">
        <f aca="false">IF(AND(LEFT(A1689,1)&lt;&gt;"C",D1689&gt;0,F1689&gt;0),1,0)</f>
        <v>1</v>
      </c>
      <c r="K1689" s="3" t="n">
        <f aca="false">IF(AND(H1689="United Kingdom",G1689&lt;&gt;"",COUNTIFS($G$2:G1689,G1689,$H$2:H1689,"United Kingdom")=1),1,0)</f>
        <v>0</v>
      </c>
    </row>
    <row r="1690" customFormat="false" ht="15" hidden="false" customHeight="false" outlineLevel="0" collapsed="false">
      <c r="A1690" s="0" t="s">
        <v>396</v>
      </c>
      <c r="B1690" s="0" t="s">
        <v>50</v>
      </c>
      <c r="C1690" s="0" t="s">
        <v>51</v>
      </c>
      <c r="D1690" s="0" t="n">
        <v>24</v>
      </c>
      <c r="E1690" s="2" t="n">
        <v>40706.6826388889</v>
      </c>
      <c r="F1690" s="0" t="n">
        <v>5.41</v>
      </c>
      <c r="G1690" s="0" t="n">
        <v>14490</v>
      </c>
      <c r="H1690" s="3" t="s">
        <v>14</v>
      </c>
      <c r="I1690" s="4" t="n">
        <f aca="false">D1690*F1690</f>
        <v>129.84</v>
      </c>
      <c r="J1690" s="3" t="n">
        <f aca="false">IF(AND(LEFT(A1690,1)&lt;&gt;"C",D1690&gt;0,F1690&gt;0),1,0)</f>
        <v>1</v>
      </c>
      <c r="K1690" s="3" t="n">
        <f aca="false">IF(AND(H1690="United Kingdom",G1690&lt;&gt;"",COUNTIFS($G$2:G1690,G1690,$H$2:H1690,"United Kingdom")=1),1,0)</f>
        <v>0</v>
      </c>
    </row>
    <row r="1691" customFormat="false" ht="15" hidden="false" customHeight="false" outlineLevel="0" collapsed="false">
      <c r="A1691" s="0" t="s">
        <v>396</v>
      </c>
      <c r="B1691" s="0" t="s">
        <v>27</v>
      </c>
      <c r="C1691" s="0" t="s">
        <v>28</v>
      </c>
      <c r="D1691" s="0" t="n">
        <v>12</v>
      </c>
      <c r="E1691" s="2" t="n">
        <v>40706.6826388889</v>
      </c>
      <c r="F1691" s="0" t="n">
        <v>4.55</v>
      </c>
      <c r="G1691" s="0" t="n">
        <v>14490</v>
      </c>
      <c r="H1691" s="3" t="s">
        <v>14</v>
      </c>
      <c r="I1691" s="4" t="n">
        <f aca="false">D1691*F1691</f>
        <v>54.6</v>
      </c>
      <c r="J1691" s="3" t="n">
        <f aca="false">IF(AND(LEFT(A1691,1)&lt;&gt;"C",D1691&gt;0,F1691&gt;0),1,0)</f>
        <v>1</v>
      </c>
      <c r="K1691" s="3" t="n">
        <f aca="false">IF(AND(H1691="United Kingdom",G1691&lt;&gt;"",COUNTIFS($G$2:G1691,G1691,$H$2:H1691,"United Kingdom")=1),1,0)</f>
        <v>0</v>
      </c>
    </row>
    <row r="1692" customFormat="false" ht="15" hidden="false" customHeight="false" outlineLevel="0" collapsed="false">
      <c r="A1692" s="0" t="s">
        <v>396</v>
      </c>
      <c r="B1692" s="0" t="s">
        <v>54</v>
      </c>
      <c r="C1692" s="0" t="s">
        <v>55</v>
      </c>
      <c r="D1692" s="0" t="n">
        <v>6</v>
      </c>
      <c r="E1692" s="2" t="n">
        <v>40706.6826388889</v>
      </c>
      <c r="F1692" s="0" t="n">
        <v>0.99</v>
      </c>
      <c r="G1692" s="0" t="n">
        <v>14490</v>
      </c>
      <c r="H1692" s="3" t="s">
        <v>14</v>
      </c>
      <c r="I1692" s="4" t="n">
        <f aca="false">D1692*F1692</f>
        <v>5.94</v>
      </c>
      <c r="J1692" s="3" t="n">
        <f aca="false">IF(AND(LEFT(A1692,1)&lt;&gt;"C",D1692&gt;0,F1692&gt;0),1,0)</f>
        <v>1</v>
      </c>
      <c r="K1692" s="3" t="n">
        <f aca="false">IF(AND(H1692="United Kingdom",G1692&lt;&gt;"",COUNTIFS($G$2:G1692,G1692,$H$2:H1692,"United Kingdom")=1),1,0)</f>
        <v>0</v>
      </c>
    </row>
    <row r="1693" customFormat="false" ht="15" hidden="false" customHeight="false" outlineLevel="0" collapsed="false">
      <c r="A1693" s="0" t="s">
        <v>396</v>
      </c>
      <c r="B1693" s="0" t="s">
        <v>43</v>
      </c>
      <c r="C1693" s="0" t="s">
        <v>44</v>
      </c>
      <c r="D1693" s="0" t="n">
        <v>2</v>
      </c>
      <c r="E1693" s="2" t="n">
        <v>40706.6826388889</v>
      </c>
      <c r="F1693" s="0" t="n">
        <v>1.35</v>
      </c>
      <c r="G1693" s="0" t="n">
        <v>14490</v>
      </c>
      <c r="H1693" s="3" t="s">
        <v>14</v>
      </c>
      <c r="I1693" s="4" t="n">
        <f aca="false">D1693*F1693</f>
        <v>2.7</v>
      </c>
      <c r="J1693" s="3" t="n">
        <f aca="false">IF(AND(LEFT(A1693,1)&lt;&gt;"C",D1693&gt;0,F1693&gt;0),1,0)</f>
        <v>1</v>
      </c>
      <c r="K1693" s="3" t="n">
        <f aca="false">IF(AND(H1693="United Kingdom",G1693&lt;&gt;"",COUNTIFS($G$2:G1693,G1693,$H$2:H1693,"United Kingdom")=1),1,0)</f>
        <v>0</v>
      </c>
    </row>
    <row r="1694" customFormat="false" ht="15" hidden="false" customHeight="false" outlineLevel="0" collapsed="false">
      <c r="A1694" s="0" t="s">
        <v>396</v>
      </c>
      <c r="B1694" s="0" t="s">
        <v>39</v>
      </c>
      <c r="C1694" s="0" t="s">
        <v>40</v>
      </c>
      <c r="D1694" s="0" t="n">
        <v>3</v>
      </c>
      <c r="E1694" s="2" t="n">
        <v>40706.6826388889</v>
      </c>
      <c r="F1694" s="0" t="n">
        <v>2.58</v>
      </c>
      <c r="G1694" s="0" t="n">
        <v>14490</v>
      </c>
      <c r="H1694" s="3" t="s">
        <v>14</v>
      </c>
      <c r="I1694" s="4" t="n">
        <f aca="false">D1694*F1694</f>
        <v>7.74</v>
      </c>
      <c r="J1694" s="3" t="n">
        <f aca="false">IF(AND(LEFT(A1694,1)&lt;&gt;"C",D1694&gt;0,F1694&gt;0),1,0)</f>
        <v>1</v>
      </c>
      <c r="K1694" s="3" t="n">
        <f aca="false">IF(AND(H1694="United Kingdom",G1694&lt;&gt;"",COUNTIFS($G$2:G1694,G1694,$H$2:H1694,"United Kingdom")=1),1,0)</f>
        <v>0</v>
      </c>
    </row>
    <row r="1695" customFormat="false" ht="15" hidden="false" customHeight="false" outlineLevel="0" collapsed="false">
      <c r="A1695" s="0" t="s">
        <v>396</v>
      </c>
      <c r="B1695" s="0" t="s">
        <v>113</v>
      </c>
      <c r="C1695" s="0" t="s">
        <v>114</v>
      </c>
      <c r="D1695" s="0" t="n">
        <v>2</v>
      </c>
      <c r="E1695" s="2" t="n">
        <v>40706.6826388889</v>
      </c>
      <c r="F1695" s="0" t="n">
        <v>3.57</v>
      </c>
      <c r="G1695" s="0" t="n">
        <v>14490</v>
      </c>
      <c r="H1695" s="3" t="s">
        <v>14</v>
      </c>
      <c r="I1695" s="4" t="n">
        <f aca="false">D1695*F1695</f>
        <v>7.14</v>
      </c>
      <c r="J1695" s="3" t="n">
        <f aca="false">IF(AND(LEFT(A1695,1)&lt;&gt;"C",D1695&gt;0,F1695&gt;0),1,0)</f>
        <v>1</v>
      </c>
      <c r="K1695" s="3" t="n">
        <f aca="false">IF(AND(H1695="United Kingdom",G1695&lt;&gt;"",COUNTIFS($G$2:G1695,G1695,$H$2:H1695,"United Kingdom")=1),1,0)</f>
        <v>0</v>
      </c>
    </row>
    <row r="1696" customFormat="false" ht="15" hidden="false" customHeight="false" outlineLevel="0" collapsed="false">
      <c r="A1696" s="0" t="s">
        <v>396</v>
      </c>
      <c r="B1696" s="0" t="s">
        <v>25</v>
      </c>
      <c r="C1696" s="0" t="s">
        <v>26</v>
      </c>
      <c r="D1696" s="0" t="n">
        <v>1</v>
      </c>
      <c r="E1696" s="2" t="n">
        <v>40706.6826388889</v>
      </c>
      <c r="F1696" s="0" t="n">
        <v>2.21</v>
      </c>
      <c r="G1696" s="0" t="n">
        <v>14490</v>
      </c>
      <c r="H1696" s="3" t="s">
        <v>14</v>
      </c>
      <c r="I1696" s="4" t="n">
        <f aca="false">D1696*F1696</f>
        <v>2.21</v>
      </c>
      <c r="J1696" s="3" t="n">
        <f aca="false">IF(AND(LEFT(A1696,1)&lt;&gt;"C",D1696&gt;0,F1696&gt;0),1,0)</f>
        <v>1</v>
      </c>
      <c r="K1696" s="3" t="n">
        <f aca="false">IF(AND(H1696="United Kingdom",G1696&lt;&gt;"",COUNTIFS($G$2:G1696,G1696,$H$2:H1696,"United Kingdom")=1),1,0)</f>
        <v>0</v>
      </c>
    </row>
    <row r="1697" customFormat="false" ht="15" hidden="false" customHeight="false" outlineLevel="0" collapsed="false">
      <c r="A1697" s="0" t="s">
        <v>397</v>
      </c>
      <c r="B1697" s="0" t="s">
        <v>72</v>
      </c>
      <c r="C1697" s="0" t="s">
        <v>73</v>
      </c>
      <c r="D1697" s="0" t="n">
        <v>1</v>
      </c>
      <c r="E1697" s="2" t="n">
        <v>40708.4527777778</v>
      </c>
      <c r="F1697" s="0" t="n">
        <v>2.69</v>
      </c>
      <c r="G1697" s="0" t="n">
        <v>13445</v>
      </c>
      <c r="H1697" s="3" t="s">
        <v>14</v>
      </c>
      <c r="I1697" s="4" t="n">
        <f aca="false">D1697*F1697</f>
        <v>2.69</v>
      </c>
      <c r="J1697" s="3" t="n">
        <f aca="false">IF(AND(LEFT(A1697,1)&lt;&gt;"C",D1697&gt;0,F1697&gt;0),1,0)</f>
        <v>1</v>
      </c>
      <c r="K1697" s="3" t="n">
        <f aca="false">IF(AND(H1697="United Kingdom",G1697&lt;&gt;"",COUNTIFS($G$2:G1697,G1697,$H$2:H1697,"United Kingdom")=1),1,0)</f>
        <v>0</v>
      </c>
    </row>
    <row r="1698" customFormat="false" ht="15" hidden="false" customHeight="false" outlineLevel="0" collapsed="false">
      <c r="A1698" s="0" t="s">
        <v>397</v>
      </c>
      <c r="B1698" s="0" t="s">
        <v>58</v>
      </c>
      <c r="C1698" s="0" t="s">
        <v>59</v>
      </c>
      <c r="D1698" s="0" t="n">
        <v>1</v>
      </c>
      <c r="E1698" s="2" t="n">
        <v>40708.4527777778</v>
      </c>
      <c r="F1698" s="0" t="n">
        <v>2.16</v>
      </c>
      <c r="G1698" s="0" t="n">
        <v>13445</v>
      </c>
      <c r="H1698" s="3" t="s">
        <v>14</v>
      </c>
      <c r="I1698" s="4" t="n">
        <f aca="false">D1698*F1698</f>
        <v>2.16</v>
      </c>
      <c r="J1698" s="3" t="n">
        <f aca="false">IF(AND(LEFT(A1698,1)&lt;&gt;"C",D1698&gt;0,F1698&gt;0),1,0)</f>
        <v>1</v>
      </c>
      <c r="K1698" s="3" t="n">
        <f aca="false">IF(AND(H1698="United Kingdom",G1698&lt;&gt;"",COUNTIFS($G$2:G1698,G1698,$H$2:H1698,"United Kingdom")=1),1,0)</f>
        <v>0</v>
      </c>
    </row>
    <row r="1699" customFormat="false" ht="15" hidden="false" customHeight="false" outlineLevel="0" collapsed="false">
      <c r="A1699" s="0" t="s">
        <v>398</v>
      </c>
      <c r="B1699" s="0" t="s">
        <v>50</v>
      </c>
      <c r="C1699" s="0" t="s">
        <v>51</v>
      </c>
      <c r="D1699" s="0" t="n">
        <v>4</v>
      </c>
      <c r="E1699" s="2" t="n">
        <v>40708.6361111111</v>
      </c>
      <c r="F1699" s="0" t="n">
        <v>5.41</v>
      </c>
      <c r="G1699" s="0" t="n">
        <v>17737</v>
      </c>
      <c r="H1699" s="3" t="s">
        <v>14</v>
      </c>
      <c r="I1699" s="4" t="n">
        <f aca="false">D1699*F1699</f>
        <v>21.64</v>
      </c>
      <c r="J1699" s="3" t="n">
        <f aca="false">IF(AND(LEFT(A1699,1)&lt;&gt;"C",D1699&gt;0,F1699&gt;0),1,0)</f>
        <v>1</v>
      </c>
      <c r="K1699" s="3" t="n">
        <f aca="false">IF(AND(H1699="United Kingdom",G1699&lt;&gt;"",COUNTIFS($G$2:G1699,G1699,$H$2:H1699,"United Kingdom")=1),1,0)</f>
        <v>0</v>
      </c>
    </row>
    <row r="1700" customFormat="false" ht="15" hidden="false" customHeight="false" outlineLevel="0" collapsed="false">
      <c r="A1700" s="0" t="s">
        <v>398</v>
      </c>
      <c r="B1700" s="0" t="s">
        <v>68</v>
      </c>
      <c r="C1700" s="0" t="s">
        <v>69</v>
      </c>
      <c r="D1700" s="0" t="n">
        <v>6</v>
      </c>
      <c r="E1700" s="2" t="n">
        <v>40708.6361111111</v>
      </c>
      <c r="F1700" s="0" t="n">
        <v>1.26</v>
      </c>
      <c r="G1700" s="0" t="n">
        <v>17737</v>
      </c>
      <c r="H1700" s="3" t="s">
        <v>14</v>
      </c>
      <c r="I1700" s="4" t="n">
        <f aca="false">D1700*F1700</f>
        <v>7.56</v>
      </c>
      <c r="J1700" s="3" t="n">
        <f aca="false">IF(AND(LEFT(A1700,1)&lt;&gt;"C",D1700&gt;0,F1700&gt;0),1,0)</f>
        <v>1</v>
      </c>
      <c r="K1700" s="3" t="n">
        <f aca="false">IF(AND(H1700="United Kingdom",G1700&lt;&gt;"",COUNTIFS($G$2:G1700,G1700,$H$2:H1700,"United Kingdom")=1),1,0)</f>
        <v>0</v>
      </c>
    </row>
    <row r="1701" customFormat="false" ht="15" hidden="false" customHeight="false" outlineLevel="0" collapsed="false">
      <c r="A1701" s="0" t="s">
        <v>398</v>
      </c>
      <c r="B1701" s="0" t="s">
        <v>34</v>
      </c>
      <c r="C1701" s="0" t="s">
        <v>35</v>
      </c>
      <c r="D1701" s="0" t="n">
        <v>2</v>
      </c>
      <c r="E1701" s="2" t="n">
        <v>40708.6361111111</v>
      </c>
      <c r="F1701" s="0" t="n">
        <v>2.38</v>
      </c>
      <c r="G1701" s="0" t="n">
        <v>17737</v>
      </c>
      <c r="H1701" s="3" t="s">
        <v>14</v>
      </c>
      <c r="I1701" s="4" t="n">
        <f aca="false">D1701*F1701</f>
        <v>4.76</v>
      </c>
      <c r="J1701" s="3" t="n">
        <f aca="false">IF(AND(LEFT(A1701,1)&lt;&gt;"C",D1701&gt;0,F1701&gt;0),1,0)</f>
        <v>1</v>
      </c>
      <c r="K1701" s="3" t="n">
        <f aca="false">IF(AND(H1701="United Kingdom",G1701&lt;&gt;"",COUNTIFS($G$2:G1701,G1701,$H$2:H1701,"United Kingdom")=1),1,0)</f>
        <v>0</v>
      </c>
    </row>
    <row r="1702" customFormat="false" ht="15" hidden="false" customHeight="false" outlineLevel="0" collapsed="false">
      <c r="A1702" s="0" t="s">
        <v>399</v>
      </c>
      <c r="B1702" s="0" t="s">
        <v>45</v>
      </c>
      <c r="C1702" s="0" t="s">
        <v>46</v>
      </c>
      <c r="D1702" s="0" t="n">
        <v>8</v>
      </c>
      <c r="E1702" s="2" t="n">
        <v>40709.65</v>
      </c>
      <c r="F1702" s="0" t="n">
        <v>4.55</v>
      </c>
      <c r="G1702" s="0" t="n">
        <v>14494</v>
      </c>
      <c r="H1702" s="3" t="s">
        <v>14</v>
      </c>
      <c r="I1702" s="4" t="n">
        <f aca="false">D1702*F1702</f>
        <v>36.4</v>
      </c>
      <c r="J1702" s="3" t="n">
        <f aca="false">IF(AND(LEFT(A1702,1)&lt;&gt;"C",D1702&gt;0,F1702&gt;0),1,0)</f>
        <v>1</v>
      </c>
      <c r="K1702" s="3" t="n">
        <f aca="false">IF(AND(H1702="United Kingdom",G1702&lt;&gt;"",COUNTIFS($G$2:G1702,G1702,$H$2:H1702,"United Kingdom")=1),1,0)</f>
        <v>0</v>
      </c>
    </row>
    <row r="1703" customFormat="false" ht="15" hidden="false" customHeight="false" outlineLevel="0" collapsed="false">
      <c r="A1703" s="0" t="s">
        <v>399</v>
      </c>
      <c r="B1703" s="0" t="s">
        <v>60</v>
      </c>
      <c r="C1703" s="0" t="s">
        <v>61</v>
      </c>
      <c r="D1703" s="0" t="n">
        <v>6</v>
      </c>
      <c r="E1703" s="2" t="n">
        <v>40709.65</v>
      </c>
      <c r="F1703" s="0" t="n">
        <v>0.63</v>
      </c>
      <c r="G1703" s="0" t="n">
        <v>14494</v>
      </c>
      <c r="H1703" s="3" t="s">
        <v>14</v>
      </c>
      <c r="I1703" s="4" t="n">
        <f aca="false">D1703*F1703</f>
        <v>3.78</v>
      </c>
      <c r="J1703" s="3" t="n">
        <f aca="false">IF(AND(LEFT(A1703,1)&lt;&gt;"C",D1703&gt;0,F1703&gt;0),1,0)</f>
        <v>1</v>
      </c>
      <c r="K1703" s="3" t="n">
        <f aca="false">IF(AND(H1703="United Kingdom",G1703&lt;&gt;"",COUNTIFS($G$2:G1703,G1703,$H$2:H1703,"United Kingdom")=1),1,0)</f>
        <v>0</v>
      </c>
    </row>
    <row r="1704" customFormat="false" ht="15" hidden="false" customHeight="false" outlineLevel="0" collapsed="false">
      <c r="A1704" s="0" t="s">
        <v>400</v>
      </c>
      <c r="B1704" s="0" t="s">
        <v>43</v>
      </c>
      <c r="C1704" s="0" t="s">
        <v>44</v>
      </c>
      <c r="D1704" s="0" t="n">
        <v>1</v>
      </c>
      <c r="E1704" s="2" t="n">
        <v>40709.6555555556</v>
      </c>
      <c r="F1704" s="0" t="n">
        <v>1.35</v>
      </c>
      <c r="G1704" s="0" t="n">
        <v>16997</v>
      </c>
      <c r="H1704" s="3" t="s">
        <v>14</v>
      </c>
      <c r="I1704" s="4" t="n">
        <f aca="false">D1704*F1704</f>
        <v>1.35</v>
      </c>
      <c r="J1704" s="3" t="n">
        <f aca="false">IF(AND(LEFT(A1704,1)&lt;&gt;"C",D1704&gt;0,F1704&gt;0),1,0)</f>
        <v>1</v>
      </c>
      <c r="K1704" s="3" t="n">
        <f aca="false">IF(AND(H1704="United Kingdom",G1704&lt;&gt;"",COUNTIFS($G$2:G1704,G1704,$H$2:H1704,"United Kingdom")=1),1,0)</f>
        <v>0</v>
      </c>
    </row>
    <row r="1705" customFormat="false" ht="15" hidden="false" customHeight="false" outlineLevel="0" collapsed="false">
      <c r="A1705" s="0" t="s">
        <v>400</v>
      </c>
      <c r="B1705" s="0" t="s">
        <v>54</v>
      </c>
      <c r="C1705" s="0" t="s">
        <v>55</v>
      </c>
      <c r="D1705" s="0" t="n">
        <v>8</v>
      </c>
      <c r="E1705" s="2" t="n">
        <v>40709.6555555556</v>
      </c>
      <c r="F1705" s="0" t="n">
        <v>0.99</v>
      </c>
      <c r="G1705" s="0" t="n">
        <v>16997</v>
      </c>
      <c r="H1705" s="3" t="s">
        <v>14</v>
      </c>
      <c r="I1705" s="4" t="n">
        <f aca="false">D1705*F1705</f>
        <v>7.92</v>
      </c>
      <c r="J1705" s="3" t="n">
        <f aca="false">IF(AND(LEFT(A1705,1)&lt;&gt;"C",D1705&gt;0,F1705&gt;0),1,0)</f>
        <v>1</v>
      </c>
      <c r="K1705" s="3" t="n">
        <f aca="false">IF(AND(H1705="United Kingdom",G1705&lt;&gt;"",COUNTIFS($G$2:G1705,G1705,$H$2:H1705,"United Kingdom")=1),1,0)</f>
        <v>0</v>
      </c>
    </row>
    <row r="1706" customFormat="false" ht="15" hidden="false" customHeight="false" outlineLevel="0" collapsed="false">
      <c r="A1706" s="0" t="s">
        <v>400</v>
      </c>
      <c r="B1706" s="0" t="s">
        <v>39</v>
      </c>
      <c r="C1706" s="0" t="s">
        <v>40</v>
      </c>
      <c r="D1706" s="0" t="n">
        <v>1</v>
      </c>
      <c r="E1706" s="2" t="n">
        <v>40709.6555555556</v>
      </c>
      <c r="F1706" s="0" t="n">
        <v>2.58</v>
      </c>
      <c r="G1706" s="0" t="n">
        <v>16997</v>
      </c>
      <c r="H1706" s="3" t="s">
        <v>14</v>
      </c>
      <c r="I1706" s="4" t="n">
        <f aca="false">D1706*F1706</f>
        <v>2.58</v>
      </c>
      <c r="J1706" s="3" t="n">
        <f aca="false">IF(AND(LEFT(A1706,1)&lt;&gt;"C",D1706&gt;0,F1706&gt;0),1,0)</f>
        <v>1</v>
      </c>
      <c r="K1706" s="3" t="n">
        <f aca="false">IF(AND(H1706="United Kingdom",G1706&lt;&gt;"",COUNTIFS($G$2:G1706,G1706,$H$2:H1706,"United Kingdom")=1),1,0)</f>
        <v>0</v>
      </c>
    </row>
    <row r="1707" customFormat="false" ht="15" hidden="false" customHeight="false" outlineLevel="0" collapsed="false">
      <c r="A1707" s="0" t="s">
        <v>401</v>
      </c>
      <c r="B1707" s="0" t="s">
        <v>15</v>
      </c>
      <c r="C1707" s="0" t="s">
        <v>16</v>
      </c>
      <c r="D1707" s="0" t="n">
        <v>16</v>
      </c>
      <c r="E1707" s="2" t="n">
        <v>40711.4777777778</v>
      </c>
      <c r="F1707" s="0" t="n">
        <v>3.18</v>
      </c>
      <c r="G1707" s="0" t="n">
        <v>16461</v>
      </c>
      <c r="H1707" s="3" t="s">
        <v>14</v>
      </c>
      <c r="I1707" s="4" t="n">
        <f aca="false">D1707*F1707</f>
        <v>50.88</v>
      </c>
      <c r="J1707" s="3" t="n">
        <f aca="false">IF(AND(LEFT(A1707,1)&lt;&gt;"C",D1707&gt;0,F1707&gt;0),1,0)</f>
        <v>1</v>
      </c>
      <c r="K1707" s="3" t="n">
        <f aca="false">IF(AND(H1707="United Kingdom",G1707&lt;&gt;"",COUNTIFS($G$2:G1707,G1707,$H$2:H1707,"United Kingdom")=1),1,0)</f>
        <v>1</v>
      </c>
    </row>
    <row r="1708" customFormat="false" ht="15" hidden="false" customHeight="false" outlineLevel="0" collapsed="false">
      <c r="A1708" s="0" t="s">
        <v>401</v>
      </c>
      <c r="B1708" s="0" t="s">
        <v>58</v>
      </c>
      <c r="C1708" s="0" t="s">
        <v>59</v>
      </c>
      <c r="D1708" s="0" t="n">
        <v>4</v>
      </c>
      <c r="E1708" s="2" t="n">
        <v>40711.4777777778</v>
      </c>
      <c r="F1708" s="0" t="n">
        <v>2.16</v>
      </c>
      <c r="G1708" s="0" t="n">
        <v>16461</v>
      </c>
      <c r="H1708" s="3" t="s">
        <v>14</v>
      </c>
      <c r="I1708" s="4" t="n">
        <f aca="false">D1708*F1708</f>
        <v>8.64</v>
      </c>
      <c r="J1708" s="3" t="n">
        <f aca="false">IF(AND(LEFT(A1708,1)&lt;&gt;"C",D1708&gt;0,F1708&gt;0),1,0)</f>
        <v>1</v>
      </c>
      <c r="K1708" s="3" t="n">
        <f aca="false">IF(AND(H1708="United Kingdom",G1708&lt;&gt;"",COUNTIFS($G$2:G1708,G1708,$H$2:H1708,"United Kingdom")=1),1,0)</f>
        <v>0</v>
      </c>
    </row>
    <row r="1709" customFormat="false" ht="15" hidden="false" customHeight="false" outlineLevel="0" collapsed="false">
      <c r="A1709" s="0" t="s">
        <v>401</v>
      </c>
      <c r="B1709" s="0" t="s">
        <v>68</v>
      </c>
      <c r="C1709" s="0" t="s">
        <v>69</v>
      </c>
      <c r="D1709" s="0" t="n">
        <v>8</v>
      </c>
      <c r="E1709" s="2" t="n">
        <v>40711.4777777778</v>
      </c>
      <c r="F1709" s="0" t="n">
        <v>1.26</v>
      </c>
      <c r="G1709" s="0" t="n">
        <v>16461</v>
      </c>
      <c r="H1709" s="3" t="s">
        <v>14</v>
      </c>
      <c r="I1709" s="4" t="n">
        <f aca="false">D1709*F1709</f>
        <v>10.08</v>
      </c>
      <c r="J1709" s="3" t="n">
        <f aca="false">IF(AND(LEFT(A1709,1)&lt;&gt;"C",D1709&gt;0,F1709&gt;0),1,0)</f>
        <v>1</v>
      </c>
      <c r="K1709" s="3" t="n">
        <f aca="false">IF(AND(H1709="United Kingdom",G1709&lt;&gt;"",COUNTIFS($G$2:G1709,G1709,$H$2:H1709,"United Kingdom")=1),1,0)</f>
        <v>0</v>
      </c>
    </row>
    <row r="1710" customFormat="false" ht="15" hidden="false" customHeight="false" outlineLevel="0" collapsed="false">
      <c r="A1710" s="0" t="s">
        <v>401</v>
      </c>
      <c r="B1710" s="0" t="s">
        <v>25</v>
      </c>
      <c r="C1710" s="0" t="s">
        <v>26</v>
      </c>
      <c r="D1710" s="0" t="n">
        <v>12</v>
      </c>
      <c r="E1710" s="2" t="n">
        <v>40711.4777777778</v>
      </c>
      <c r="F1710" s="0" t="n">
        <v>2.21</v>
      </c>
      <c r="G1710" s="0" t="n">
        <v>16461</v>
      </c>
      <c r="H1710" s="3" t="s">
        <v>14</v>
      </c>
      <c r="I1710" s="4" t="n">
        <f aca="false">D1710*F1710</f>
        <v>26.52</v>
      </c>
      <c r="J1710" s="3" t="n">
        <f aca="false">IF(AND(LEFT(A1710,1)&lt;&gt;"C",D1710&gt;0,F1710&gt;0),1,0)</f>
        <v>1</v>
      </c>
      <c r="K1710" s="3" t="n">
        <f aca="false">IF(AND(H1710="United Kingdom",G1710&lt;&gt;"",COUNTIFS($G$2:G1710,G1710,$H$2:H1710,"United Kingdom")=1),1,0)</f>
        <v>0</v>
      </c>
    </row>
    <row r="1711" customFormat="false" ht="15" hidden="false" customHeight="false" outlineLevel="0" collapsed="false">
      <c r="A1711" s="0" t="s">
        <v>401</v>
      </c>
      <c r="B1711" s="0" t="s">
        <v>29</v>
      </c>
      <c r="C1711" s="0" t="s">
        <v>30</v>
      </c>
      <c r="D1711" s="0" t="n">
        <v>1</v>
      </c>
      <c r="E1711" s="2" t="n">
        <v>40711.4777777778</v>
      </c>
      <c r="F1711" s="0" t="n">
        <v>5.79</v>
      </c>
      <c r="G1711" s="0" t="n">
        <v>16461</v>
      </c>
      <c r="H1711" s="3" t="s">
        <v>14</v>
      </c>
      <c r="I1711" s="4" t="n">
        <f aca="false">D1711*F1711</f>
        <v>5.79</v>
      </c>
      <c r="J1711" s="3" t="n">
        <f aca="false">IF(AND(LEFT(A1711,1)&lt;&gt;"C",D1711&gt;0,F1711&gt;0),1,0)</f>
        <v>1</v>
      </c>
      <c r="K1711" s="3" t="n">
        <f aca="false">IF(AND(H1711="United Kingdom",G1711&lt;&gt;"",COUNTIFS($G$2:G1711,G1711,$H$2:H1711,"United Kingdom")=1),1,0)</f>
        <v>0</v>
      </c>
    </row>
    <row r="1712" customFormat="false" ht="15" hidden="false" customHeight="false" outlineLevel="0" collapsed="false">
      <c r="A1712" s="0" t="s">
        <v>401</v>
      </c>
      <c r="B1712" s="0" t="s">
        <v>54</v>
      </c>
      <c r="C1712" s="0" t="s">
        <v>55</v>
      </c>
      <c r="D1712" s="0" t="n">
        <v>4</v>
      </c>
      <c r="E1712" s="2" t="n">
        <v>40711.4777777778</v>
      </c>
      <c r="F1712" s="0" t="n">
        <v>0.99</v>
      </c>
      <c r="G1712" s="0" t="n">
        <v>16461</v>
      </c>
      <c r="H1712" s="3" t="s">
        <v>14</v>
      </c>
      <c r="I1712" s="4" t="n">
        <f aca="false">D1712*F1712</f>
        <v>3.96</v>
      </c>
      <c r="J1712" s="3" t="n">
        <f aca="false">IF(AND(LEFT(A1712,1)&lt;&gt;"C",D1712&gt;0,F1712&gt;0),1,0)</f>
        <v>1</v>
      </c>
      <c r="K1712" s="3" t="n">
        <f aca="false">IF(AND(H1712="United Kingdom",G1712&lt;&gt;"",COUNTIFS($G$2:G1712,G1712,$H$2:H1712,"United Kingdom")=1),1,0)</f>
        <v>0</v>
      </c>
    </row>
    <row r="1713" customFormat="false" ht="15" hidden="false" customHeight="false" outlineLevel="0" collapsed="false">
      <c r="A1713" s="0" t="s">
        <v>401</v>
      </c>
      <c r="B1713" s="0" t="s">
        <v>27</v>
      </c>
      <c r="C1713" s="0" t="s">
        <v>28</v>
      </c>
      <c r="D1713" s="0" t="n">
        <v>12</v>
      </c>
      <c r="E1713" s="2" t="n">
        <v>40711.4777777778</v>
      </c>
      <c r="F1713" s="0" t="n">
        <v>4.55</v>
      </c>
      <c r="G1713" s="0" t="n">
        <v>16461</v>
      </c>
      <c r="H1713" s="3" t="s">
        <v>14</v>
      </c>
      <c r="I1713" s="4" t="n">
        <f aca="false">D1713*F1713</f>
        <v>54.6</v>
      </c>
      <c r="J1713" s="3" t="n">
        <f aca="false">IF(AND(LEFT(A1713,1)&lt;&gt;"C",D1713&gt;0,F1713&gt;0),1,0)</f>
        <v>1</v>
      </c>
      <c r="K1713" s="3" t="n">
        <f aca="false">IF(AND(H1713="United Kingdom",G1713&lt;&gt;"",COUNTIFS($G$2:G1713,G1713,$H$2:H1713,"United Kingdom")=1),1,0)</f>
        <v>0</v>
      </c>
    </row>
    <row r="1714" customFormat="false" ht="15" hidden="false" customHeight="false" outlineLevel="0" collapsed="false">
      <c r="A1714" s="0" t="s">
        <v>402</v>
      </c>
      <c r="B1714" s="0" t="s">
        <v>29</v>
      </c>
      <c r="C1714" s="0" t="s">
        <v>30</v>
      </c>
      <c r="D1714" s="0" t="n">
        <v>4</v>
      </c>
      <c r="E1714" s="2" t="n">
        <v>40711.4854166667</v>
      </c>
      <c r="F1714" s="0" t="n">
        <v>5.79</v>
      </c>
      <c r="H1714" s="3" t="s">
        <v>14</v>
      </c>
      <c r="I1714" s="4" t="n">
        <f aca="false">D1714*F1714</f>
        <v>23.16</v>
      </c>
      <c r="J1714" s="3" t="n">
        <f aca="false">IF(AND(LEFT(A1714,1)&lt;&gt;"C",D1714&gt;0,F1714&gt;0),1,0)</f>
        <v>1</v>
      </c>
      <c r="K1714" s="3" t="n">
        <f aca="false">IF(AND(H1714="United Kingdom",G1714&lt;&gt;"",COUNTIFS($G$2:G1714,G1714,$H$2:H1714,"United Kingdom")=1),1,0)</f>
        <v>0</v>
      </c>
    </row>
    <row r="1715" customFormat="false" ht="15" hidden="false" customHeight="false" outlineLevel="0" collapsed="false">
      <c r="A1715" s="0" t="s">
        <v>402</v>
      </c>
      <c r="B1715" s="0" t="s">
        <v>15</v>
      </c>
      <c r="C1715" s="0" t="s">
        <v>16</v>
      </c>
      <c r="D1715" s="0" t="n">
        <v>6</v>
      </c>
      <c r="E1715" s="2" t="n">
        <v>40711.4854166667</v>
      </c>
      <c r="F1715" s="0" t="n">
        <v>3.18</v>
      </c>
      <c r="H1715" s="3" t="s">
        <v>14</v>
      </c>
      <c r="I1715" s="4" t="n">
        <f aca="false">D1715*F1715</f>
        <v>19.08</v>
      </c>
      <c r="J1715" s="3" t="n">
        <f aca="false">IF(AND(LEFT(A1715,1)&lt;&gt;"C",D1715&gt;0,F1715&gt;0),1,0)</f>
        <v>1</v>
      </c>
      <c r="K1715" s="3" t="n">
        <f aca="false">IF(AND(H1715="United Kingdom",G1715&lt;&gt;"",COUNTIFS($G$2:G1715,G1715,$H$2:H1715,"United Kingdom")=1),1,0)</f>
        <v>0</v>
      </c>
    </row>
    <row r="1716" customFormat="false" ht="15" hidden="false" customHeight="false" outlineLevel="0" collapsed="false">
      <c r="A1716" s="0" t="s">
        <v>402</v>
      </c>
      <c r="B1716" s="0" t="s">
        <v>54</v>
      </c>
      <c r="C1716" s="0" t="s">
        <v>55</v>
      </c>
      <c r="D1716" s="0" t="n">
        <v>3</v>
      </c>
      <c r="E1716" s="2" t="n">
        <v>40711.4854166667</v>
      </c>
      <c r="F1716" s="0" t="n">
        <v>0.99</v>
      </c>
      <c r="H1716" s="3" t="s">
        <v>14</v>
      </c>
      <c r="I1716" s="4" t="n">
        <f aca="false">D1716*F1716</f>
        <v>2.97</v>
      </c>
      <c r="J1716" s="3" t="n">
        <f aca="false">IF(AND(LEFT(A1716,1)&lt;&gt;"C",D1716&gt;0,F1716&gt;0),1,0)</f>
        <v>1</v>
      </c>
      <c r="K1716" s="3" t="n">
        <f aca="false">IF(AND(H1716="United Kingdom",G1716&lt;&gt;"",COUNTIFS($G$2:G1716,G1716,$H$2:H1716,"United Kingdom")=1),1,0)</f>
        <v>0</v>
      </c>
    </row>
    <row r="1717" customFormat="false" ht="15" hidden="false" customHeight="false" outlineLevel="0" collapsed="false">
      <c r="A1717" s="0" t="s">
        <v>402</v>
      </c>
      <c r="B1717" s="0" t="s">
        <v>39</v>
      </c>
      <c r="C1717" s="0" t="s">
        <v>40</v>
      </c>
      <c r="D1717" s="0" t="n">
        <v>4</v>
      </c>
      <c r="E1717" s="2" t="n">
        <v>40711.4854166667</v>
      </c>
      <c r="F1717" s="0" t="n">
        <v>2.58</v>
      </c>
      <c r="H1717" s="3" t="s">
        <v>14</v>
      </c>
      <c r="I1717" s="4" t="n">
        <f aca="false">D1717*F1717</f>
        <v>10.32</v>
      </c>
      <c r="J1717" s="3" t="n">
        <f aca="false">IF(AND(LEFT(A1717,1)&lt;&gt;"C",D1717&gt;0,F1717&gt;0),1,0)</f>
        <v>1</v>
      </c>
      <c r="K1717" s="3" t="n">
        <f aca="false">IF(AND(H1717="United Kingdom",G1717&lt;&gt;"",COUNTIFS($G$2:G1717,G1717,$H$2:H1717,"United Kingdom")=1),1,0)</f>
        <v>0</v>
      </c>
    </row>
    <row r="1718" customFormat="false" ht="15" hidden="false" customHeight="false" outlineLevel="0" collapsed="false">
      <c r="A1718" s="0" t="s">
        <v>402</v>
      </c>
      <c r="B1718" s="0" t="s">
        <v>12</v>
      </c>
      <c r="C1718" s="0" t="s">
        <v>13</v>
      </c>
      <c r="D1718" s="0" t="n">
        <v>8</v>
      </c>
      <c r="E1718" s="2" t="n">
        <v>40711.4854166667</v>
      </c>
      <c r="F1718" s="0" t="n">
        <v>3.33</v>
      </c>
      <c r="H1718" s="3" t="s">
        <v>14</v>
      </c>
      <c r="I1718" s="4" t="n">
        <f aca="false">D1718*F1718</f>
        <v>26.64</v>
      </c>
      <c r="J1718" s="3" t="n">
        <f aca="false">IF(AND(LEFT(A1718,1)&lt;&gt;"C",D1718&gt;0,F1718&gt;0),1,0)</f>
        <v>1</v>
      </c>
      <c r="K1718" s="3" t="n">
        <f aca="false">IF(AND(H1718="United Kingdom",G1718&lt;&gt;"",COUNTIFS($G$2:G1718,G1718,$H$2:H1718,"United Kingdom")=1),1,0)</f>
        <v>0</v>
      </c>
    </row>
    <row r="1719" customFormat="false" ht="15" hidden="false" customHeight="false" outlineLevel="0" collapsed="false">
      <c r="A1719" s="0" t="s">
        <v>402</v>
      </c>
      <c r="B1719" s="0" t="s">
        <v>52</v>
      </c>
      <c r="C1719" s="0" t="s">
        <v>53</v>
      </c>
      <c r="D1719" s="0" t="n">
        <v>3</v>
      </c>
      <c r="E1719" s="2" t="n">
        <v>40711.4854166667</v>
      </c>
      <c r="F1719" s="0" t="n">
        <v>4.16</v>
      </c>
      <c r="H1719" s="3" t="s">
        <v>14</v>
      </c>
      <c r="I1719" s="4" t="n">
        <f aca="false">D1719*F1719</f>
        <v>12.48</v>
      </c>
      <c r="J1719" s="3" t="n">
        <f aca="false">IF(AND(LEFT(A1719,1)&lt;&gt;"C",D1719&gt;0,F1719&gt;0),1,0)</f>
        <v>1</v>
      </c>
      <c r="K1719" s="3" t="n">
        <f aca="false">IF(AND(H1719="United Kingdom",G1719&lt;&gt;"",COUNTIFS($G$2:G1719,G1719,$H$2:H1719,"United Kingdom")=1),1,0)</f>
        <v>0</v>
      </c>
    </row>
    <row r="1720" customFormat="false" ht="15" hidden="false" customHeight="false" outlineLevel="0" collapsed="false">
      <c r="A1720" s="0" t="s">
        <v>402</v>
      </c>
      <c r="B1720" s="0" t="s">
        <v>32</v>
      </c>
      <c r="C1720" s="0" t="s">
        <v>33</v>
      </c>
      <c r="D1720" s="0" t="n">
        <v>6</v>
      </c>
      <c r="E1720" s="2" t="n">
        <v>40711.4854166667</v>
      </c>
      <c r="F1720" s="0" t="n">
        <v>1.19</v>
      </c>
      <c r="H1720" s="3" t="s">
        <v>14</v>
      </c>
      <c r="I1720" s="4" t="n">
        <f aca="false">D1720*F1720</f>
        <v>7.14</v>
      </c>
      <c r="J1720" s="3" t="n">
        <f aca="false">IF(AND(LEFT(A1720,1)&lt;&gt;"C",D1720&gt;0,F1720&gt;0),1,0)</f>
        <v>1</v>
      </c>
      <c r="K1720" s="3" t="n">
        <f aca="false">IF(AND(H1720="United Kingdom",G1720&lt;&gt;"",COUNTIFS($G$2:G1720,G1720,$H$2:H1720,"United Kingdom")=1),1,0)</f>
        <v>0</v>
      </c>
    </row>
    <row r="1721" customFormat="false" ht="15" hidden="false" customHeight="false" outlineLevel="0" collapsed="false">
      <c r="A1721" s="0" t="s">
        <v>402</v>
      </c>
      <c r="B1721" s="0" t="s">
        <v>20</v>
      </c>
      <c r="C1721" s="0" t="s">
        <v>21</v>
      </c>
      <c r="D1721" s="0" t="n">
        <v>1</v>
      </c>
      <c r="E1721" s="2" t="n">
        <v>40711.4854166667</v>
      </c>
      <c r="F1721" s="0" t="n">
        <v>4.24</v>
      </c>
      <c r="H1721" s="3" t="s">
        <v>14</v>
      </c>
      <c r="I1721" s="4" t="n">
        <f aca="false">D1721*F1721</f>
        <v>4.24</v>
      </c>
      <c r="J1721" s="3" t="n">
        <f aca="false">IF(AND(LEFT(A1721,1)&lt;&gt;"C",D1721&gt;0,F1721&gt;0),1,0)</f>
        <v>1</v>
      </c>
      <c r="K1721" s="3" t="n">
        <f aca="false">IF(AND(H1721="United Kingdom",G1721&lt;&gt;"",COUNTIFS($G$2:G1721,G1721,$H$2:H1721,"United Kingdom")=1),1,0)</f>
        <v>0</v>
      </c>
    </row>
    <row r="1722" customFormat="false" ht="15" hidden="false" customHeight="false" outlineLevel="0" collapsed="false">
      <c r="A1722" s="0" t="s">
        <v>402</v>
      </c>
      <c r="B1722" s="0" t="s">
        <v>80</v>
      </c>
      <c r="C1722" s="0" t="s">
        <v>81</v>
      </c>
      <c r="D1722" s="0" t="n">
        <v>8</v>
      </c>
      <c r="E1722" s="2" t="n">
        <v>40711.4854166667</v>
      </c>
      <c r="F1722" s="0" t="n">
        <v>1.53</v>
      </c>
      <c r="H1722" s="3" t="s">
        <v>14</v>
      </c>
      <c r="I1722" s="4" t="n">
        <f aca="false">D1722*F1722</f>
        <v>12.24</v>
      </c>
      <c r="J1722" s="3" t="n">
        <f aca="false">IF(AND(LEFT(A1722,1)&lt;&gt;"C",D1722&gt;0,F1722&gt;0),1,0)</f>
        <v>1</v>
      </c>
      <c r="K1722" s="3" t="n">
        <f aca="false">IF(AND(H1722="United Kingdom",G1722&lt;&gt;"",COUNTIFS($G$2:G1722,G1722,$H$2:H1722,"United Kingdom")=1),1,0)</f>
        <v>0</v>
      </c>
    </row>
    <row r="1723" customFormat="false" ht="15" hidden="false" customHeight="false" outlineLevel="0" collapsed="false">
      <c r="A1723" s="0" t="s">
        <v>402</v>
      </c>
      <c r="B1723" s="0" t="s">
        <v>41</v>
      </c>
      <c r="C1723" s="0" t="s">
        <v>42</v>
      </c>
      <c r="D1723" s="0" t="n">
        <v>4</v>
      </c>
      <c r="E1723" s="2" t="n">
        <v>40711.4854166667</v>
      </c>
      <c r="F1723" s="0" t="n">
        <v>3.28</v>
      </c>
      <c r="H1723" s="3" t="s">
        <v>14</v>
      </c>
      <c r="I1723" s="4" t="n">
        <f aca="false">D1723*F1723</f>
        <v>13.12</v>
      </c>
      <c r="J1723" s="3" t="n">
        <f aca="false">IF(AND(LEFT(A1723,1)&lt;&gt;"C",D1723&gt;0,F1723&gt;0),1,0)</f>
        <v>1</v>
      </c>
      <c r="K1723" s="3" t="n">
        <f aca="false">IF(AND(H1723="United Kingdom",G1723&lt;&gt;"",COUNTIFS($G$2:G1723,G1723,$H$2:H1723,"United Kingdom")=1),1,0)</f>
        <v>0</v>
      </c>
    </row>
    <row r="1724" customFormat="false" ht="15" hidden="false" customHeight="false" outlineLevel="0" collapsed="false">
      <c r="A1724" s="0" t="s">
        <v>402</v>
      </c>
      <c r="B1724" s="0" t="s">
        <v>72</v>
      </c>
      <c r="C1724" s="0" t="s">
        <v>73</v>
      </c>
      <c r="D1724" s="0" t="n">
        <v>2</v>
      </c>
      <c r="E1724" s="2" t="n">
        <v>40711.4854166667</v>
      </c>
      <c r="F1724" s="0" t="n">
        <v>2.69</v>
      </c>
      <c r="H1724" s="3" t="s">
        <v>14</v>
      </c>
      <c r="I1724" s="4" t="n">
        <f aca="false">D1724*F1724</f>
        <v>5.38</v>
      </c>
      <c r="J1724" s="3" t="n">
        <f aca="false">IF(AND(LEFT(A1724,1)&lt;&gt;"C",D1724&gt;0,F1724&gt;0),1,0)</f>
        <v>1</v>
      </c>
      <c r="K1724" s="3" t="n">
        <f aca="false">IF(AND(H1724="United Kingdom",G1724&lt;&gt;"",COUNTIFS($G$2:G1724,G1724,$H$2:H1724,"United Kingdom")=1),1,0)</f>
        <v>0</v>
      </c>
    </row>
    <row r="1725" customFormat="false" ht="15" hidden="false" customHeight="false" outlineLevel="0" collapsed="false">
      <c r="A1725" s="0" t="s">
        <v>403</v>
      </c>
      <c r="B1725" s="0" t="s">
        <v>25</v>
      </c>
      <c r="C1725" s="0" t="s">
        <v>26</v>
      </c>
      <c r="D1725" s="0" t="n">
        <v>6</v>
      </c>
      <c r="E1725" s="2" t="n">
        <v>40712.4618055556</v>
      </c>
      <c r="F1725" s="0" t="n">
        <v>2.21</v>
      </c>
      <c r="G1725" s="0" t="n">
        <v>15278</v>
      </c>
      <c r="H1725" s="3" t="s">
        <v>14</v>
      </c>
      <c r="I1725" s="4" t="n">
        <f aca="false">D1725*F1725</f>
        <v>13.26</v>
      </c>
      <c r="J1725" s="3" t="n">
        <f aca="false">IF(AND(LEFT(A1725,1)&lt;&gt;"C",D1725&gt;0,F1725&gt;0),1,0)</f>
        <v>1</v>
      </c>
      <c r="K1725" s="3" t="n">
        <f aca="false">IF(AND(H1725="United Kingdom",G1725&lt;&gt;"",COUNTIFS($G$2:G1725,G1725,$H$2:H1725,"United Kingdom")=1),1,0)</f>
        <v>0</v>
      </c>
    </row>
    <row r="1726" customFormat="false" ht="15" hidden="false" customHeight="false" outlineLevel="0" collapsed="false">
      <c r="A1726" s="0" t="s">
        <v>403</v>
      </c>
      <c r="B1726" s="0" t="s">
        <v>29</v>
      </c>
      <c r="C1726" s="0" t="s">
        <v>30</v>
      </c>
      <c r="D1726" s="0" t="n">
        <v>12</v>
      </c>
      <c r="E1726" s="2" t="n">
        <v>40712.4618055556</v>
      </c>
      <c r="F1726" s="0" t="n">
        <v>5.79</v>
      </c>
      <c r="G1726" s="0" t="n">
        <v>15278</v>
      </c>
      <c r="H1726" s="3" t="s">
        <v>14</v>
      </c>
      <c r="I1726" s="4" t="n">
        <f aca="false">D1726*F1726</f>
        <v>69.48</v>
      </c>
      <c r="J1726" s="3" t="n">
        <f aca="false">IF(AND(LEFT(A1726,1)&lt;&gt;"C",D1726&gt;0,F1726&gt;0),1,0)</f>
        <v>1</v>
      </c>
      <c r="K1726" s="3" t="n">
        <f aca="false">IF(AND(H1726="United Kingdom",G1726&lt;&gt;"",COUNTIFS($G$2:G1726,G1726,$H$2:H1726,"United Kingdom")=1),1,0)</f>
        <v>0</v>
      </c>
    </row>
    <row r="1727" customFormat="false" ht="15" hidden="false" customHeight="false" outlineLevel="0" collapsed="false">
      <c r="A1727" s="0" t="s">
        <v>404</v>
      </c>
      <c r="B1727" s="0" t="s">
        <v>43</v>
      </c>
      <c r="C1727" s="0" t="s">
        <v>44</v>
      </c>
      <c r="D1727" s="0" t="n">
        <v>12</v>
      </c>
      <c r="E1727" s="2" t="n">
        <v>40713.5638888889</v>
      </c>
      <c r="F1727" s="0" t="n">
        <v>1.35</v>
      </c>
      <c r="G1727" s="0" t="n">
        <v>14919</v>
      </c>
      <c r="H1727" s="3" t="s">
        <v>14</v>
      </c>
      <c r="I1727" s="4" t="n">
        <f aca="false">D1727*F1727</f>
        <v>16.2</v>
      </c>
      <c r="J1727" s="3" t="n">
        <f aca="false">IF(AND(LEFT(A1727,1)&lt;&gt;"C",D1727&gt;0,F1727&gt;0),1,0)</f>
        <v>1</v>
      </c>
      <c r="K1727" s="3" t="n">
        <f aca="false">IF(AND(H1727="United Kingdom",G1727&lt;&gt;"",COUNTIFS($G$2:G1727,G1727,$H$2:H1727,"United Kingdom")=1),1,0)</f>
        <v>0</v>
      </c>
    </row>
    <row r="1728" customFormat="false" ht="15" hidden="false" customHeight="false" outlineLevel="0" collapsed="false">
      <c r="A1728" s="0" t="s">
        <v>404</v>
      </c>
      <c r="B1728" s="0" t="s">
        <v>90</v>
      </c>
      <c r="C1728" s="0" t="s">
        <v>91</v>
      </c>
      <c r="D1728" s="0" t="n">
        <v>4</v>
      </c>
      <c r="E1728" s="2" t="n">
        <v>40713.5638888889</v>
      </c>
      <c r="F1728" s="0" t="n">
        <v>3.04</v>
      </c>
      <c r="G1728" s="0" t="n">
        <v>14919</v>
      </c>
      <c r="H1728" s="3" t="s">
        <v>14</v>
      </c>
      <c r="I1728" s="4" t="n">
        <f aca="false">D1728*F1728</f>
        <v>12.16</v>
      </c>
      <c r="J1728" s="3" t="n">
        <f aca="false">IF(AND(LEFT(A1728,1)&lt;&gt;"C",D1728&gt;0,F1728&gt;0),1,0)</f>
        <v>1</v>
      </c>
      <c r="K1728" s="3" t="n">
        <f aca="false">IF(AND(H1728="United Kingdom",G1728&lt;&gt;"",COUNTIFS($G$2:G1728,G1728,$H$2:H1728,"United Kingdom")=1),1,0)</f>
        <v>0</v>
      </c>
    </row>
    <row r="1729" customFormat="false" ht="15" hidden="false" customHeight="false" outlineLevel="0" collapsed="false">
      <c r="A1729" s="0" t="s">
        <v>404</v>
      </c>
      <c r="B1729" s="0" t="s">
        <v>22</v>
      </c>
      <c r="C1729" s="0" t="s">
        <v>23</v>
      </c>
      <c r="D1729" s="0" t="n">
        <v>2</v>
      </c>
      <c r="E1729" s="2" t="n">
        <v>40713.5638888889</v>
      </c>
      <c r="F1729" s="0" t="n">
        <v>3.18</v>
      </c>
      <c r="G1729" s="0" t="n">
        <v>14919</v>
      </c>
      <c r="H1729" s="3" t="s">
        <v>14</v>
      </c>
      <c r="I1729" s="4" t="n">
        <f aca="false">D1729*F1729</f>
        <v>6.36</v>
      </c>
      <c r="J1729" s="3" t="n">
        <f aca="false">IF(AND(LEFT(A1729,1)&lt;&gt;"C",D1729&gt;0,F1729&gt;0),1,0)</f>
        <v>1</v>
      </c>
      <c r="K1729" s="3" t="n">
        <f aca="false">IF(AND(H1729="United Kingdom",G1729&lt;&gt;"",COUNTIFS($G$2:G1729,G1729,$H$2:H1729,"United Kingdom")=1),1,0)</f>
        <v>0</v>
      </c>
    </row>
    <row r="1730" customFormat="false" ht="15" hidden="false" customHeight="false" outlineLevel="0" collapsed="false">
      <c r="A1730" s="0" t="s">
        <v>404</v>
      </c>
      <c r="B1730" s="0" t="s">
        <v>48</v>
      </c>
      <c r="C1730" s="0" t="s">
        <v>49</v>
      </c>
      <c r="D1730" s="0" t="n">
        <v>12</v>
      </c>
      <c r="E1730" s="2" t="n">
        <v>40713.5638888889</v>
      </c>
      <c r="F1730" s="0" t="n">
        <v>1.35</v>
      </c>
      <c r="G1730" s="0" t="n">
        <v>14919</v>
      </c>
      <c r="H1730" s="3" t="s">
        <v>14</v>
      </c>
      <c r="I1730" s="4" t="n">
        <f aca="false">D1730*F1730</f>
        <v>16.2</v>
      </c>
      <c r="J1730" s="3" t="n">
        <f aca="false">IF(AND(LEFT(A1730,1)&lt;&gt;"C",D1730&gt;0,F1730&gt;0),1,0)</f>
        <v>1</v>
      </c>
      <c r="K1730" s="3" t="n">
        <f aca="false">IF(AND(H1730="United Kingdom",G1730&lt;&gt;"",COUNTIFS($G$2:G1730,G1730,$H$2:H1730,"United Kingdom")=1),1,0)</f>
        <v>0</v>
      </c>
    </row>
    <row r="1731" customFormat="false" ht="15" hidden="false" customHeight="false" outlineLevel="0" collapsed="false">
      <c r="A1731" s="0" t="s">
        <v>405</v>
      </c>
      <c r="B1731" s="0" t="s">
        <v>12</v>
      </c>
      <c r="C1731" s="0" t="s">
        <v>13</v>
      </c>
      <c r="D1731" s="0" t="n">
        <v>24</v>
      </c>
      <c r="E1731" s="2" t="n">
        <v>40715.5145833333</v>
      </c>
      <c r="F1731" s="0" t="n">
        <v>3.33</v>
      </c>
      <c r="G1731" s="0" t="n">
        <v>14264</v>
      </c>
      <c r="H1731" s="3" t="s">
        <v>14</v>
      </c>
      <c r="I1731" s="4" t="n">
        <f aca="false">D1731*F1731</f>
        <v>79.92</v>
      </c>
      <c r="J1731" s="3" t="n">
        <f aca="false">IF(AND(LEFT(A1731,1)&lt;&gt;"C",D1731&gt;0,F1731&gt;0),1,0)</f>
        <v>1</v>
      </c>
      <c r="K1731" s="3" t="n">
        <f aca="false">IF(AND(H1731="United Kingdom",G1731&lt;&gt;"",COUNTIFS($G$2:G1731,G1731,$H$2:H1731,"United Kingdom")=1),1,0)</f>
        <v>0</v>
      </c>
    </row>
    <row r="1732" customFormat="false" ht="15" hidden="false" customHeight="false" outlineLevel="0" collapsed="false">
      <c r="A1732" s="0" t="s">
        <v>405</v>
      </c>
      <c r="B1732" s="0" t="s">
        <v>90</v>
      </c>
      <c r="C1732" s="0" t="s">
        <v>91</v>
      </c>
      <c r="D1732" s="0" t="n">
        <v>2</v>
      </c>
      <c r="E1732" s="2" t="n">
        <v>40715.5145833333</v>
      </c>
      <c r="F1732" s="0" t="n">
        <v>3.04</v>
      </c>
      <c r="G1732" s="0" t="n">
        <v>14264</v>
      </c>
      <c r="H1732" s="3" t="s">
        <v>14</v>
      </c>
      <c r="I1732" s="4" t="n">
        <f aca="false">D1732*F1732</f>
        <v>6.08</v>
      </c>
      <c r="J1732" s="3" t="n">
        <f aca="false">IF(AND(LEFT(A1732,1)&lt;&gt;"C",D1732&gt;0,F1732&gt;0),1,0)</f>
        <v>1</v>
      </c>
      <c r="K1732" s="3" t="n">
        <f aca="false">IF(AND(H1732="United Kingdom",G1732&lt;&gt;"",COUNTIFS($G$2:G1732,G1732,$H$2:H1732,"United Kingdom")=1),1,0)</f>
        <v>0</v>
      </c>
    </row>
    <row r="1733" customFormat="false" ht="15" hidden="false" customHeight="false" outlineLevel="0" collapsed="false">
      <c r="A1733" s="0" t="s">
        <v>405</v>
      </c>
      <c r="B1733" s="0" t="s">
        <v>39</v>
      </c>
      <c r="C1733" s="0" t="s">
        <v>40</v>
      </c>
      <c r="D1733" s="0" t="n">
        <v>4</v>
      </c>
      <c r="E1733" s="2" t="n">
        <v>40715.5145833333</v>
      </c>
      <c r="F1733" s="0" t="n">
        <v>2.58</v>
      </c>
      <c r="G1733" s="0" t="n">
        <v>14264</v>
      </c>
      <c r="H1733" s="3" t="s">
        <v>14</v>
      </c>
      <c r="I1733" s="4" t="n">
        <f aca="false">D1733*F1733</f>
        <v>10.32</v>
      </c>
      <c r="J1733" s="3" t="n">
        <f aca="false">IF(AND(LEFT(A1733,1)&lt;&gt;"C",D1733&gt;0,F1733&gt;0),1,0)</f>
        <v>1</v>
      </c>
      <c r="K1733" s="3" t="n">
        <f aca="false">IF(AND(H1733="United Kingdom",G1733&lt;&gt;"",COUNTIFS($G$2:G1733,G1733,$H$2:H1733,"United Kingdom")=1),1,0)</f>
        <v>0</v>
      </c>
    </row>
    <row r="1734" customFormat="false" ht="15" hidden="false" customHeight="false" outlineLevel="0" collapsed="false">
      <c r="A1734" s="0" t="s">
        <v>405</v>
      </c>
      <c r="B1734" s="0" t="s">
        <v>48</v>
      </c>
      <c r="C1734" s="0" t="s">
        <v>49</v>
      </c>
      <c r="D1734" s="0" t="n">
        <v>1</v>
      </c>
      <c r="E1734" s="2" t="n">
        <v>40715.5145833333</v>
      </c>
      <c r="F1734" s="0" t="n">
        <v>1.35</v>
      </c>
      <c r="G1734" s="0" t="n">
        <v>14264</v>
      </c>
      <c r="H1734" s="3" t="s">
        <v>14</v>
      </c>
      <c r="I1734" s="4" t="n">
        <f aca="false">D1734*F1734</f>
        <v>1.35</v>
      </c>
      <c r="J1734" s="3" t="n">
        <f aca="false">IF(AND(LEFT(A1734,1)&lt;&gt;"C",D1734&gt;0,F1734&gt;0),1,0)</f>
        <v>1</v>
      </c>
      <c r="K1734" s="3" t="n">
        <f aca="false">IF(AND(H1734="United Kingdom",G1734&lt;&gt;"",COUNTIFS($G$2:G1734,G1734,$H$2:H1734,"United Kingdom")=1),1,0)</f>
        <v>0</v>
      </c>
    </row>
    <row r="1735" customFormat="false" ht="15" hidden="false" customHeight="false" outlineLevel="0" collapsed="false">
      <c r="A1735" s="0" t="s">
        <v>405</v>
      </c>
      <c r="B1735" s="0" t="s">
        <v>50</v>
      </c>
      <c r="C1735" s="0" t="s">
        <v>51</v>
      </c>
      <c r="D1735" s="0" t="n">
        <v>2</v>
      </c>
      <c r="E1735" s="2" t="n">
        <v>40715.5145833333</v>
      </c>
      <c r="F1735" s="0" t="n">
        <v>5.41</v>
      </c>
      <c r="G1735" s="0" t="n">
        <v>14264</v>
      </c>
      <c r="H1735" s="3" t="s">
        <v>14</v>
      </c>
      <c r="I1735" s="4" t="n">
        <f aca="false">D1735*F1735</f>
        <v>10.82</v>
      </c>
      <c r="J1735" s="3" t="n">
        <f aca="false">IF(AND(LEFT(A1735,1)&lt;&gt;"C",D1735&gt;0,F1735&gt;0),1,0)</f>
        <v>1</v>
      </c>
      <c r="K1735" s="3" t="n">
        <f aca="false">IF(AND(H1735="United Kingdom",G1735&lt;&gt;"",COUNTIFS($G$2:G1735,G1735,$H$2:H1735,"United Kingdom")=1),1,0)</f>
        <v>0</v>
      </c>
    </row>
    <row r="1736" customFormat="false" ht="15" hidden="false" customHeight="false" outlineLevel="0" collapsed="false">
      <c r="A1736" s="0" t="s">
        <v>405</v>
      </c>
      <c r="B1736" s="0" t="s">
        <v>58</v>
      </c>
      <c r="C1736" s="0" t="s">
        <v>59</v>
      </c>
      <c r="D1736" s="0" t="n">
        <v>6</v>
      </c>
      <c r="E1736" s="2" t="n">
        <v>40715.5145833333</v>
      </c>
      <c r="F1736" s="0" t="n">
        <v>2.16</v>
      </c>
      <c r="G1736" s="0" t="n">
        <v>14264</v>
      </c>
      <c r="H1736" s="3" t="s">
        <v>14</v>
      </c>
      <c r="I1736" s="4" t="n">
        <f aca="false">D1736*F1736</f>
        <v>12.96</v>
      </c>
      <c r="J1736" s="3" t="n">
        <f aca="false">IF(AND(LEFT(A1736,1)&lt;&gt;"C",D1736&gt;0,F1736&gt;0),1,0)</f>
        <v>1</v>
      </c>
      <c r="K1736" s="3" t="n">
        <f aca="false">IF(AND(H1736="United Kingdom",G1736&lt;&gt;"",COUNTIFS($G$2:G1736,G1736,$H$2:H1736,"United Kingdom")=1),1,0)</f>
        <v>0</v>
      </c>
    </row>
    <row r="1737" customFormat="false" ht="15" hidden="false" customHeight="false" outlineLevel="0" collapsed="false">
      <c r="A1737" s="0" t="s">
        <v>405</v>
      </c>
      <c r="B1737" s="0" t="s">
        <v>15</v>
      </c>
      <c r="C1737" s="0" t="s">
        <v>16</v>
      </c>
      <c r="D1737" s="0" t="n">
        <v>6</v>
      </c>
      <c r="E1737" s="2" t="n">
        <v>40715.5145833333</v>
      </c>
      <c r="F1737" s="0" t="n">
        <v>3.18</v>
      </c>
      <c r="G1737" s="0" t="n">
        <v>14264</v>
      </c>
      <c r="H1737" s="3" t="s">
        <v>14</v>
      </c>
      <c r="I1737" s="4" t="n">
        <f aca="false">D1737*F1737</f>
        <v>19.08</v>
      </c>
      <c r="J1737" s="3" t="n">
        <f aca="false">IF(AND(LEFT(A1737,1)&lt;&gt;"C",D1737&gt;0,F1737&gt;0),1,0)</f>
        <v>1</v>
      </c>
      <c r="K1737" s="3" t="n">
        <f aca="false">IF(AND(H1737="United Kingdom",G1737&lt;&gt;"",COUNTIFS($G$2:G1737,G1737,$H$2:H1737,"United Kingdom")=1),1,0)</f>
        <v>0</v>
      </c>
    </row>
    <row r="1738" customFormat="false" ht="15" hidden="false" customHeight="false" outlineLevel="0" collapsed="false">
      <c r="A1738" s="0" t="s">
        <v>405</v>
      </c>
      <c r="B1738" s="0" t="s">
        <v>52</v>
      </c>
      <c r="C1738" s="0" t="s">
        <v>53</v>
      </c>
      <c r="D1738" s="0" t="n">
        <v>1</v>
      </c>
      <c r="E1738" s="2" t="n">
        <v>40715.5145833333</v>
      </c>
      <c r="F1738" s="0" t="n">
        <v>4.16</v>
      </c>
      <c r="G1738" s="0" t="n">
        <v>14264</v>
      </c>
      <c r="H1738" s="3" t="s">
        <v>14</v>
      </c>
      <c r="I1738" s="4" t="n">
        <f aca="false">D1738*F1738</f>
        <v>4.16</v>
      </c>
      <c r="J1738" s="3" t="n">
        <f aca="false">IF(AND(LEFT(A1738,1)&lt;&gt;"C",D1738&gt;0,F1738&gt;0),1,0)</f>
        <v>1</v>
      </c>
      <c r="K1738" s="3" t="n">
        <f aca="false">IF(AND(H1738="United Kingdom",G1738&lt;&gt;"",COUNTIFS($G$2:G1738,G1738,$H$2:H1738,"United Kingdom")=1),1,0)</f>
        <v>0</v>
      </c>
    </row>
    <row r="1739" customFormat="false" ht="15" hidden="false" customHeight="false" outlineLevel="0" collapsed="false">
      <c r="A1739" s="0" t="s">
        <v>405</v>
      </c>
      <c r="B1739" s="0" t="s">
        <v>77</v>
      </c>
      <c r="C1739" s="0" t="s">
        <v>78</v>
      </c>
      <c r="D1739" s="0" t="n">
        <v>2</v>
      </c>
      <c r="E1739" s="2" t="n">
        <v>40715.5145833333</v>
      </c>
      <c r="F1739" s="0" t="n">
        <v>3.41</v>
      </c>
      <c r="G1739" s="0" t="n">
        <v>14264</v>
      </c>
      <c r="H1739" s="3" t="s">
        <v>14</v>
      </c>
      <c r="I1739" s="4" t="n">
        <f aca="false">D1739*F1739</f>
        <v>6.82</v>
      </c>
      <c r="J1739" s="3" t="n">
        <f aca="false">IF(AND(LEFT(A1739,1)&lt;&gt;"C",D1739&gt;0,F1739&gt;0),1,0)</f>
        <v>1</v>
      </c>
      <c r="K1739" s="3" t="n">
        <f aca="false">IF(AND(H1739="United Kingdom",G1739&lt;&gt;"",COUNTIFS($G$2:G1739,G1739,$H$2:H1739,"United Kingdom")=1),1,0)</f>
        <v>0</v>
      </c>
    </row>
    <row r="1740" customFormat="false" ht="15" hidden="false" customHeight="false" outlineLevel="0" collapsed="false">
      <c r="A1740" s="0" t="s">
        <v>405</v>
      </c>
      <c r="B1740" s="0" t="s">
        <v>54</v>
      </c>
      <c r="C1740" s="0" t="s">
        <v>55</v>
      </c>
      <c r="D1740" s="0" t="n">
        <v>4</v>
      </c>
      <c r="E1740" s="2" t="n">
        <v>40715.5145833333</v>
      </c>
      <c r="F1740" s="0" t="n">
        <v>0.99</v>
      </c>
      <c r="G1740" s="0" t="n">
        <v>14264</v>
      </c>
      <c r="H1740" s="3" t="s">
        <v>14</v>
      </c>
      <c r="I1740" s="4" t="n">
        <f aca="false">D1740*F1740</f>
        <v>3.96</v>
      </c>
      <c r="J1740" s="3" t="n">
        <f aca="false">IF(AND(LEFT(A1740,1)&lt;&gt;"C",D1740&gt;0,F1740&gt;0),1,0)</f>
        <v>1</v>
      </c>
      <c r="K1740" s="3" t="n">
        <f aca="false">IF(AND(H1740="United Kingdom",G1740&lt;&gt;"",COUNTIFS($G$2:G1740,G1740,$H$2:H1740,"United Kingdom")=1),1,0)</f>
        <v>0</v>
      </c>
    </row>
    <row r="1741" customFormat="false" ht="15" hidden="false" customHeight="false" outlineLevel="0" collapsed="false">
      <c r="A1741" s="0" t="s">
        <v>405</v>
      </c>
      <c r="B1741" s="0" t="s">
        <v>68</v>
      </c>
      <c r="C1741" s="0" t="s">
        <v>69</v>
      </c>
      <c r="D1741" s="0" t="n">
        <v>12</v>
      </c>
      <c r="E1741" s="2" t="n">
        <v>40715.5145833333</v>
      </c>
      <c r="F1741" s="0" t="n">
        <v>1.26</v>
      </c>
      <c r="G1741" s="0" t="n">
        <v>14264</v>
      </c>
      <c r="H1741" s="3" t="s">
        <v>14</v>
      </c>
      <c r="I1741" s="4" t="n">
        <f aca="false">D1741*F1741</f>
        <v>15.12</v>
      </c>
      <c r="J1741" s="3" t="n">
        <f aca="false">IF(AND(LEFT(A1741,1)&lt;&gt;"C",D1741&gt;0,F1741&gt;0),1,0)</f>
        <v>1</v>
      </c>
      <c r="K1741" s="3" t="n">
        <f aca="false">IF(AND(H1741="United Kingdom",G1741&lt;&gt;"",COUNTIFS($G$2:G1741,G1741,$H$2:H1741,"United Kingdom")=1),1,0)</f>
        <v>0</v>
      </c>
    </row>
    <row r="1742" customFormat="false" ht="15" hidden="false" customHeight="false" outlineLevel="0" collapsed="false">
      <c r="A1742" s="0" t="s">
        <v>405</v>
      </c>
      <c r="B1742" s="0" t="s">
        <v>27</v>
      </c>
      <c r="C1742" s="0" t="s">
        <v>28</v>
      </c>
      <c r="D1742" s="0" t="n">
        <v>2</v>
      </c>
      <c r="E1742" s="2" t="n">
        <v>40715.5145833333</v>
      </c>
      <c r="F1742" s="0" t="n">
        <v>4.55</v>
      </c>
      <c r="G1742" s="0" t="n">
        <v>14264</v>
      </c>
      <c r="H1742" s="3" t="s">
        <v>14</v>
      </c>
      <c r="I1742" s="4" t="n">
        <f aca="false">D1742*F1742</f>
        <v>9.1</v>
      </c>
      <c r="J1742" s="3" t="n">
        <f aca="false">IF(AND(LEFT(A1742,1)&lt;&gt;"C",D1742&gt;0,F1742&gt;0),1,0)</f>
        <v>1</v>
      </c>
      <c r="K1742" s="3" t="n">
        <f aca="false">IF(AND(H1742="United Kingdom",G1742&lt;&gt;"",COUNTIFS($G$2:G1742,G1742,$H$2:H1742,"United Kingdom")=1),1,0)</f>
        <v>0</v>
      </c>
    </row>
    <row r="1743" customFormat="false" ht="15" hidden="false" customHeight="false" outlineLevel="0" collapsed="false">
      <c r="A1743" s="0" t="s">
        <v>405</v>
      </c>
      <c r="B1743" s="0" t="s">
        <v>22</v>
      </c>
      <c r="C1743" s="0" t="s">
        <v>23</v>
      </c>
      <c r="D1743" s="0" t="n">
        <v>12</v>
      </c>
      <c r="E1743" s="2" t="n">
        <v>40715.5145833333</v>
      </c>
      <c r="F1743" s="0" t="n">
        <v>3.18</v>
      </c>
      <c r="G1743" s="0" t="n">
        <v>14264</v>
      </c>
      <c r="H1743" s="3" t="s">
        <v>14</v>
      </c>
      <c r="I1743" s="4" t="n">
        <f aca="false">D1743*F1743</f>
        <v>38.16</v>
      </c>
      <c r="J1743" s="3" t="n">
        <f aca="false">IF(AND(LEFT(A1743,1)&lt;&gt;"C",D1743&gt;0,F1743&gt;0),1,0)</f>
        <v>1</v>
      </c>
      <c r="K1743" s="3" t="n">
        <f aca="false">IF(AND(H1743="United Kingdom",G1743&lt;&gt;"",COUNTIFS($G$2:G1743,G1743,$H$2:H1743,"United Kingdom")=1),1,0)</f>
        <v>0</v>
      </c>
    </row>
    <row r="1744" customFormat="false" ht="15" hidden="false" customHeight="false" outlineLevel="0" collapsed="false">
      <c r="A1744" s="0" t="s">
        <v>405</v>
      </c>
      <c r="B1744" s="0" t="s">
        <v>17</v>
      </c>
      <c r="C1744" s="0" t="s">
        <v>18</v>
      </c>
      <c r="D1744" s="0" t="n">
        <v>12</v>
      </c>
      <c r="E1744" s="2" t="n">
        <v>40715.5145833333</v>
      </c>
      <c r="F1744" s="0" t="n">
        <v>1.92</v>
      </c>
      <c r="G1744" s="0" t="n">
        <v>14264</v>
      </c>
      <c r="H1744" s="3" t="s">
        <v>14</v>
      </c>
      <c r="I1744" s="4" t="n">
        <f aca="false">D1744*F1744</f>
        <v>23.04</v>
      </c>
      <c r="J1744" s="3" t="n">
        <f aca="false">IF(AND(LEFT(A1744,1)&lt;&gt;"C",D1744&gt;0,F1744&gt;0),1,0)</f>
        <v>1</v>
      </c>
      <c r="K1744" s="3" t="n">
        <f aca="false">IF(AND(H1744="United Kingdom",G1744&lt;&gt;"",COUNTIFS($G$2:G1744,G1744,$H$2:H1744,"United Kingdom")=1),1,0)</f>
        <v>0</v>
      </c>
    </row>
    <row r="1745" customFormat="false" ht="15" hidden="false" customHeight="false" outlineLevel="0" collapsed="false">
      <c r="A1745" s="0" t="s">
        <v>405</v>
      </c>
      <c r="B1745" s="0" t="s">
        <v>113</v>
      </c>
      <c r="C1745" s="0" t="s">
        <v>114</v>
      </c>
      <c r="D1745" s="0" t="n">
        <v>8</v>
      </c>
      <c r="E1745" s="2" t="n">
        <v>40715.5145833333</v>
      </c>
      <c r="F1745" s="0" t="n">
        <v>3.57</v>
      </c>
      <c r="G1745" s="0" t="n">
        <v>14264</v>
      </c>
      <c r="H1745" s="3" t="s">
        <v>14</v>
      </c>
      <c r="I1745" s="4" t="n">
        <f aca="false">D1745*F1745</f>
        <v>28.56</v>
      </c>
      <c r="J1745" s="3" t="n">
        <f aca="false">IF(AND(LEFT(A1745,1)&lt;&gt;"C",D1745&gt;0,F1745&gt;0),1,0)</f>
        <v>1</v>
      </c>
      <c r="K1745" s="3" t="n">
        <f aca="false">IF(AND(H1745="United Kingdom",G1745&lt;&gt;"",COUNTIFS($G$2:G1745,G1745,$H$2:H1745,"United Kingdom")=1),1,0)</f>
        <v>0</v>
      </c>
    </row>
    <row r="1746" customFormat="false" ht="15" hidden="false" customHeight="false" outlineLevel="0" collapsed="false">
      <c r="A1746" s="0" t="s">
        <v>405</v>
      </c>
      <c r="B1746" s="0" t="s">
        <v>63</v>
      </c>
      <c r="C1746" s="0" t="s">
        <v>64</v>
      </c>
      <c r="D1746" s="0" t="n">
        <v>3</v>
      </c>
      <c r="E1746" s="2" t="n">
        <v>40715.5145833333</v>
      </c>
      <c r="F1746" s="0" t="n">
        <v>2.43</v>
      </c>
      <c r="G1746" s="0" t="n">
        <v>14264</v>
      </c>
      <c r="H1746" s="3" t="s">
        <v>14</v>
      </c>
      <c r="I1746" s="4" t="n">
        <f aca="false">D1746*F1746</f>
        <v>7.29</v>
      </c>
      <c r="J1746" s="3" t="n">
        <f aca="false">IF(AND(LEFT(A1746,1)&lt;&gt;"C",D1746&gt;0,F1746&gt;0),1,0)</f>
        <v>1</v>
      </c>
      <c r="K1746" s="3" t="n">
        <f aca="false">IF(AND(H1746="United Kingdom",G1746&lt;&gt;"",COUNTIFS($G$2:G1746,G1746,$H$2:H1746,"United Kingdom")=1),1,0)</f>
        <v>0</v>
      </c>
    </row>
    <row r="1747" customFormat="false" ht="15" hidden="false" customHeight="false" outlineLevel="0" collapsed="false">
      <c r="A1747" s="0" t="s">
        <v>405</v>
      </c>
      <c r="B1747" s="0" t="s">
        <v>20</v>
      </c>
      <c r="C1747" s="0" t="s">
        <v>21</v>
      </c>
      <c r="D1747" s="0" t="n">
        <v>12</v>
      </c>
      <c r="E1747" s="2" t="n">
        <v>40715.5145833333</v>
      </c>
      <c r="F1747" s="0" t="n">
        <v>4.24</v>
      </c>
      <c r="G1747" s="0" t="n">
        <v>14264</v>
      </c>
      <c r="H1747" s="3" t="s">
        <v>14</v>
      </c>
      <c r="I1747" s="4" t="n">
        <f aca="false">D1747*F1747</f>
        <v>50.88</v>
      </c>
      <c r="J1747" s="3" t="n">
        <f aca="false">IF(AND(LEFT(A1747,1)&lt;&gt;"C",D1747&gt;0,F1747&gt;0),1,0)</f>
        <v>1</v>
      </c>
      <c r="K1747" s="3" t="n">
        <f aca="false">IF(AND(H1747="United Kingdom",G1747&lt;&gt;"",COUNTIFS($G$2:G1747,G1747,$H$2:H1747,"United Kingdom")=1),1,0)</f>
        <v>0</v>
      </c>
    </row>
    <row r="1748" customFormat="false" ht="15" hidden="false" customHeight="false" outlineLevel="0" collapsed="false">
      <c r="A1748" s="0" t="s">
        <v>405</v>
      </c>
      <c r="B1748" s="0" t="s">
        <v>29</v>
      </c>
      <c r="C1748" s="0" t="s">
        <v>30</v>
      </c>
      <c r="D1748" s="0" t="n">
        <v>6</v>
      </c>
      <c r="E1748" s="2" t="n">
        <v>40715.5145833333</v>
      </c>
      <c r="F1748" s="0" t="n">
        <v>5.79</v>
      </c>
      <c r="G1748" s="0" t="n">
        <v>14264</v>
      </c>
      <c r="H1748" s="3" t="s">
        <v>14</v>
      </c>
      <c r="I1748" s="4" t="n">
        <f aca="false">D1748*F1748</f>
        <v>34.74</v>
      </c>
      <c r="J1748" s="3" t="n">
        <f aca="false">IF(AND(LEFT(A1748,1)&lt;&gt;"C",D1748&gt;0,F1748&gt;0),1,0)</f>
        <v>1</v>
      </c>
      <c r="K1748" s="3" t="n">
        <f aca="false">IF(AND(H1748="United Kingdom",G1748&lt;&gt;"",COUNTIFS($G$2:G1748,G1748,$H$2:H1748,"United Kingdom")=1),1,0)</f>
        <v>0</v>
      </c>
    </row>
    <row r="1749" customFormat="false" ht="15" hidden="false" customHeight="false" outlineLevel="0" collapsed="false">
      <c r="A1749" s="0" t="s">
        <v>405</v>
      </c>
      <c r="B1749" s="0" t="s">
        <v>25</v>
      </c>
      <c r="C1749" s="0" t="s">
        <v>26</v>
      </c>
      <c r="D1749" s="0" t="n">
        <v>24</v>
      </c>
      <c r="E1749" s="2" t="n">
        <v>40715.5145833333</v>
      </c>
      <c r="F1749" s="0" t="n">
        <v>2.21</v>
      </c>
      <c r="G1749" s="0" t="n">
        <v>14264</v>
      </c>
      <c r="H1749" s="3" t="s">
        <v>14</v>
      </c>
      <c r="I1749" s="4" t="n">
        <f aca="false">D1749*F1749</f>
        <v>53.04</v>
      </c>
      <c r="J1749" s="3" t="n">
        <f aca="false">IF(AND(LEFT(A1749,1)&lt;&gt;"C",D1749&gt;0,F1749&gt;0),1,0)</f>
        <v>1</v>
      </c>
      <c r="K1749" s="3" t="n">
        <f aca="false">IF(AND(H1749="United Kingdom",G1749&lt;&gt;"",COUNTIFS($G$2:G1749,G1749,$H$2:H1749,"United Kingdom")=1),1,0)</f>
        <v>0</v>
      </c>
    </row>
    <row r="1750" customFormat="false" ht="15" hidden="false" customHeight="false" outlineLevel="0" collapsed="false">
      <c r="A1750" s="0" t="s">
        <v>405</v>
      </c>
      <c r="B1750" s="0" t="s">
        <v>32</v>
      </c>
      <c r="C1750" s="0" t="s">
        <v>33</v>
      </c>
      <c r="D1750" s="0" t="n">
        <v>8</v>
      </c>
      <c r="E1750" s="2" t="n">
        <v>40715.5145833333</v>
      </c>
      <c r="F1750" s="0" t="n">
        <v>1.19</v>
      </c>
      <c r="G1750" s="0" t="n">
        <v>14264</v>
      </c>
      <c r="H1750" s="3" t="s">
        <v>14</v>
      </c>
      <c r="I1750" s="4" t="n">
        <f aca="false">D1750*F1750</f>
        <v>9.52</v>
      </c>
      <c r="J1750" s="3" t="n">
        <f aca="false">IF(AND(LEFT(A1750,1)&lt;&gt;"C",D1750&gt;0,F1750&gt;0),1,0)</f>
        <v>1</v>
      </c>
      <c r="K1750" s="3" t="n">
        <f aca="false">IF(AND(H1750="United Kingdom",G1750&lt;&gt;"",COUNTIFS($G$2:G1750,G1750,$H$2:H1750,"United Kingdom")=1),1,0)</f>
        <v>0</v>
      </c>
    </row>
    <row r="1751" customFormat="false" ht="15" hidden="false" customHeight="false" outlineLevel="0" collapsed="false">
      <c r="A1751" s="0" t="s">
        <v>406</v>
      </c>
      <c r="B1751" s="0" t="s">
        <v>20</v>
      </c>
      <c r="C1751" s="0" t="s">
        <v>21</v>
      </c>
      <c r="D1751" s="0" t="n">
        <v>6</v>
      </c>
      <c r="E1751" s="2" t="n">
        <v>40715.6256944445</v>
      </c>
      <c r="F1751" s="0" t="n">
        <v>4.24</v>
      </c>
      <c r="G1751" s="0" t="n">
        <v>16964</v>
      </c>
      <c r="H1751" s="3" t="s">
        <v>14</v>
      </c>
      <c r="I1751" s="4" t="n">
        <f aca="false">D1751*F1751</f>
        <v>25.44</v>
      </c>
      <c r="J1751" s="3" t="n">
        <f aca="false">IF(AND(LEFT(A1751,1)&lt;&gt;"C",D1751&gt;0,F1751&gt;0),1,0)</f>
        <v>1</v>
      </c>
      <c r="K1751" s="3" t="n">
        <f aca="false">IF(AND(H1751="United Kingdom",G1751&lt;&gt;"",COUNTIFS($G$2:G1751,G1751,$H$2:H1751,"United Kingdom")=1),1,0)</f>
        <v>1</v>
      </c>
    </row>
    <row r="1752" customFormat="false" ht="15" hidden="false" customHeight="false" outlineLevel="0" collapsed="false">
      <c r="A1752" s="0" t="s">
        <v>406</v>
      </c>
      <c r="B1752" s="0" t="s">
        <v>58</v>
      </c>
      <c r="C1752" s="0" t="s">
        <v>59</v>
      </c>
      <c r="D1752" s="0" t="n">
        <v>8</v>
      </c>
      <c r="E1752" s="2" t="n">
        <v>40715.6256944445</v>
      </c>
      <c r="F1752" s="0" t="n">
        <v>2.16</v>
      </c>
      <c r="G1752" s="0" t="n">
        <v>16964</v>
      </c>
      <c r="H1752" s="3" t="s">
        <v>14</v>
      </c>
      <c r="I1752" s="4" t="n">
        <f aca="false">D1752*F1752</f>
        <v>17.28</v>
      </c>
      <c r="J1752" s="3" t="n">
        <f aca="false">IF(AND(LEFT(A1752,1)&lt;&gt;"C",D1752&gt;0,F1752&gt;0),1,0)</f>
        <v>1</v>
      </c>
      <c r="K1752" s="3" t="n">
        <f aca="false">IF(AND(H1752="United Kingdom",G1752&lt;&gt;"",COUNTIFS($G$2:G1752,G1752,$H$2:H1752,"United Kingdom")=1),1,0)</f>
        <v>0</v>
      </c>
    </row>
    <row r="1753" customFormat="false" ht="15" hidden="false" customHeight="false" outlineLevel="0" collapsed="false">
      <c r="A1753" s="0" t="s">
        <v>406</v>
      </c>
      <c r="B1753" s="0" t="s">
        <v>65</v>
      </c>
      <c r="C1753" s="0" t="s">
        <v>66</v>
      </c>
      <c r="D1753" s="0" t="n">
        <v>1</v>
      </c>
      <c r="E1753" s="2" t="n">
        <v>40715.6256944445</v>
      </c>
      <c r="F1753" s="0" t="n">
        <v>4.75</v>
      </c>
      <c r="G1753" s="0" t="n">
        <v>16964</v>
      </c>
      <c r="H1753" s="3" t="s">
        <v>14</v>
      </c>
      <c r="I1753" s="4" t="n">
        <f aca="false">D1753*F1753</f>
        <v>4.75</v>
      </c>
      <c r="J1753" s="3" t="n">
        <f aca="false">IF(AND(LEFT(A1753,1)&lt;&gt;"C",D1753&gt;0,F1753&gt;0),1,0)</f>
        <v>1</v>
      </c>
      <c r="K1753" s="3" t="n">
        <f aca="false">IF(AND(H1753="United Kingdom",G1753&lt;&gt;"",COUNTIFS($G$2:G1753,G1753,$H$2:H1753,"United Kingdom")=1),1,0)</f>
        <v>0</v>
      </c>
    </row>
    <row r="1754" customFormat="false" ht="15" hidden="false" customHeight="false" outlineLevel="0" collapsed="false">
      <c r="A1754" s="0" t="s">
        <v>406</v>
      </c>
      <c r="B1754" s="0" t="s">
        <v>12</v>
      </c>
      <c r="C1754" s="0" t="s">
        <v>13</v>
      </c>
      <c r="D1754" s="0" t="n">
        <v>1</v>
      </c>
      <c r="E1754" s="2" t="n">
        <v>40715.6256944445</v>
      </c>
      <c r="F1754" s="0" t="n">
        <v>3.33</v>
      </c>
      <c r="G1754" s="0" t="n">
        <v>16964</v>
      </c>
      <c r="H1754" s="3" t="s">
        <v>14</v>
      </c>
      <c r="I1754" s="4" t="n">
        <f aca="false">D1754*F1754</f>
        <v>3.33</v>
      </c>
      <c r="J1754" s="3" t="n">
        <f aca="false">IF(AND(LEFT(A1754,1)&lt;&gt;"C",D1754&gt;0,F1754&gt;0),1,0)</f>
        <v>1</v>
      </c>
      <c r="K1754" s="3" t="n">
        <f aca="false">IF(AND(H1754="United Kingdom",G1754&lt;&gt;"",COUNTIFS($G$2:G1754,G1754,$H$2:H1754,"United Kingdom")=1),1,0)</f>
        <v>0</v>
      </c>
    </row>
    <row r="1755" customFormat="false" ht="15" hidden="false" customHeight="false" outlineLevel="0" collapsed="false">
      <c r="A1755" s="0" t="s">
        <v>406</v>
      </c>
      <c r="B1755" s="0" t="s">
        <v>27</v>
      </c>
      <c r="C1755" s="0" t="s">
        <v>28</v>
      </c>
      <c r="D1755" s="0" t="n">
        <v>3</v>
      </c>
      <c r="E1755" s="2" t="n">
        <v>40715.6256944445</v>
      </c>
      <c r="F1755" s="0" t="n">
        <v>4.55</v>
      </c>
      <c r="G1755" s="0" t="n">
        <v>16964</v>
      </c>
      <c r="H1755" s="3" t="s">
        <v>14</v>
      </c>
      <c r="I1755" s="4" t="n">
        <f aca="false">D1755*F1755</f>
        <v>13.65</v>
      </c>
      <c r="J1755" s="3" t="n">
        <f aca="false">IF(AND(LEFT(A1755,1)&lt;&gt;"C",D1755&gt;0,F1755&gt;0),1,0)</f>
        <v>1</v>
      </c>
      <c r="K1755" s="3" t="n">
        <f aca="false">IF(AND(H1755="United Kingdom",G1755&lt;&gt;"",COUNTIFS($G$2:G1755,G1755,$H$2:H1755,"United Kingdom")=1),1,0)</f>
        <v>0</v>
      </c>
    </row>
    <row r="1756" customFormat="false" ht="15" hidden="false" customHeight="false" outlineLevel="0" collapsed="false">
      <c r="A1756" s="0" t="s">
        <v>406</v>
      </c>
      <c r="B1756" s="0" t="s">
        <v>68</v>
      </c>
      <c r="C1756" s="0" t="s">
        <v>69</v>
      </c>
      <c r="D1756" s="0" t="n">
        <v>4</v>
      </c>
      <c r="E1756" s="2" t="n">
        <v>40715.6256944445</v>
      </c>
      <c r="F1756" s="0" t="n">
        <v>1.26</v>
      </c>
      <c r="G1756" s="0" t="n">
        <v>16964</v>
      </c>
      <c r="H1756" s="3" t="s">
        <v>14</v>
      </c>
      <c r="I1756" s="4" t="n">
        <f aca="false">D1756*F1756</f>
        <v>5.04</v>
      </c>
      <c r="J1756" s="3" t="n">
        <f aca="false">IF(AND(LEFT(A1756,1)&lt;&gt;"C",D1756&gt;0,F1756&gt;0),1,0)</f>
        <v>1</v>
      </c>
      <c r="K1756" s="3" t="n">
        <f aca="false">IF(AND(H1756="United Kingdom",G1756&lt;&gt;"",COUNTIFS($G$2:G1756,G1756,$H$2:H1756,"United Kingdom")=1),1,0)</f>
        <v>0</v>
      </c>
    </row>
    <row r="1757" customFormat="false" ht="15" hidden="false" customHeight="false" outlineLevel="0" collapsed="false">
      <c r="A1757" s="0" t="s">
        <v>406</v>
      </c>
      <c r="B1757" s="0" t="s">
        <v>48</v>
      </c>
      <c r="C1757" s="0" t="s">
        <v>49</v>
      </c>
      <c r="D1757" s="0" t="n">
        <v>6</v>
      </c>
      <c r="E1757" s="2" t="n">
        <v>40715.6256944445</v>
      </c>
      <c r="F1757" s="0" t="n">
        <v>1.35</v>
      </c>
      <c r="G1757" s="0" t="n">
        <v>16964</v>
      </c>
      <c r="H1757" s="3" t="s">
        <v>14</v>
      </c>
      <c r="I1757" s="4" t="n">
        <f aca="false">D1757*F1757</f>
        <v>8.1</v>
      </c>
      <c r="J1757" s="3" t="n">
        <f aca="false">IF(AND(LEFT(A1757,1)&lt;&gt;"C",D1757&gt;0,F1757&gt;0),1,0)</f>
        <v>1</v>
      </c>
      <c r="K1757" s="3" t="n">
        <f aca="false">IF(AND(H1757="United Kingdom",G1757&lt;&gt;"",COUNTIFS($G$2:G1757,G1757,$H$2:H1757,"United Kingdom")=1),1,0)</f>
        <v>0</v>
      </c>
    </row>
    <row r="1758" customFormat="false" ht="15" hidden="false" customHeight="false" outlineLevel="0" collapsed="false">
      <c r="A1758" s="0" t="s">
        <v>406</v>
      </c>
      <c r="B1758" s="0" t="s">
        <v>52</v>
      </c>
      <c r="C1758" s="0" t="s">
        <v>53</v>
      </c>
      <c r="D1758" s="0" t="n">
        <v>4</v>
      </c>
      <c r="E1758" s="2" t="n">
        <v>40715.6256944445</v>
      </c>
      <c r="F1758" s="0" t="n">
        <v>4.16</v>
      </c>
      <c r="G1758" s="0" t="n">
        <v>16964</v>
      </c>
      <c r="H1758" s="3" t="s">
        <v>14</v>
      </c>
      <c r="I1758" s="4" t="n">
        <f aca="false">D1758*F1758</f>
        <v>16.64</v>
      </c>
      <c r="J1758" s="3" t="n">
        <f aca="false">IF(AND(LEFT(A1758,1)&lt;&gt;"C",D1758&gt;0,F1758&gt;0),1,0)</f>
        <v>1</v>
      </c>
      <c r="K1758" s="3" t="n">
        <f aca="false">IF(AND(H1758="United Kingdom",G1758&lt;&gt;"",COUNTIFS($G$2:G1758,G1758,$H$2:H1758,"United Kingdom")=1),1,0)</f>
        <v>0</v>
      </c>
    </row>
    <row r="1759" customFormat="false" ht="15" hidden="false" customHeight="false" outlineLevel="0" collapsed="false">
      <c r="A1759" s="0" t="s">
        <v>407</v>
      </c>
      <c r="B1759" s="0" t="s">
        <v>20</v>
      </c>
      <c r="C1759" s="0" t="s">
        <v>21</v>
      </c>
      <c r="D1759" s="0" t="n">
        <v>2</v>
      </c>
      <c r="E1759" s="2" t="n">
        <v>40718.4423611111</v>
      </c>
      <c r="F1759" s="0" t="n">
        <v>4.24</v>
      </c>
      <c r="G1759" s="0" t="n">
        <v>13777</v>
      </c>
      <c r="H1759" s="3" t="s">
        <v>120</v>
      </c>
      <c r="I1759" s="4" t="n">
        <f aca="false">D1759*F1759</f>
        <v>8.48</v>
      </c>
      <c r="J1759" s="3" t="n">
        <f aca="false">IF(AND(LEFT(A1759,1)&lt;&gt;"C",D1759&gt;0,F1759&gt;0),1,0)</f>
        <v>1</v>
      </c>
      <c r="K1759" s="3" t="n">
        <f aca="false">IF(AND(H1759="United Kingdom",G1759&lt;&gt;"",COUNTIFS($G$2:G1759,G1759,$H$2:H1759,"United Kingdom")=1),1,0)</f>
        <v>0</v>
      </c>
    </row>
    <row r="1760" customFormat="false" ht="15" hidden="false" customHeight="false" outlineLevel="0" collapsed="false">
      <c r="A1760" s="0" t="s">
        <v>407</v>
      </c>
      <c r="B1760" s="0" t="s">
        <v>32</v>
      </c>
      <c r="C1760" s="0" t="s">
        <v>33</v>
      </c>
      <c r="D1760" s="0" t="n">
        <v>15</v>
      </c>
      <c r="E1760" s="2" t="n">
        <v>40718.4423611111</v>
      </c>
      <c r="F1760" s="0" t="n">
        <v>1.19</v>
      </c>
      <c r="G1760" s="0" t="n">
        <v>13777</v>
      </c>
      <c r="H1760" s="3" t="s">
        <v>120</v>
      </c>
      <c r="I1760" s="4" t="n">
        <f aca="false">D1760*F1760</f>
        <v>17.85</v>
      </c>
      <c r="J1760" s="3" t="n">
        <f aca="false">IF(AND(LEFT(A1760,1)&lt;&gt;"C",D1760&gt;0,F1760&gt;0),1,0)</f>
        <v>1</v>
      </c>
      <c r="K1760" s="3" t="n">
        <f aca="false">IF(AND(H1760="United Kingdom",G1760&lt;&gt;"",COUNTIFS($G$2:G1760,G1760,$H$2:H1760,"United Kingdom")=1),1,0)</f>
        <v>0</v>
      </c>
    </row>
    <row r="1761" customFormat="false" ht="15" hidden="false" customHeight="false" outlineLevel="0" collapsed="false">
      <c r="A1761" s="0" t="s">
        <v>408</v>
      </c>
      <c r="B1761" s="0" t="s">
        <v>63</v>
      </c>
      <c r="C1761" s="0" t="s">
        <v>64</v>
      </c>
      <c r="D1761" s="0" t="n">
        <v>1</v>
      </c>
      <c r="E1761" s="2" t="n">
        <v>40718.4763888889</v>
      </c>
      <c r="F1761" s="0" t="n">
        <v>2.43</v>
      </c>
      <c r="H1761" s="3" t="s">
        <v>14</v>
      </c>
      <c r="I1761" s="4" t="n">
        <f aca="false">D1761*F1761</f>
        <v>2.43</v>
      </c>
      <c r="J1761" s="3" t="n">
        <f aca="false">IF(AND(LEFT(A1761,1)&lt;&gt;"C",D1761&gt;0,F1761&gt;0),1,0)</f>
        <v>1</v>
      </c>
      <c r="K1761" s="3" t="n">
        <f aca="false">IF(AND(H1761="United Kingdom",G1761&lt;&gt;"",COUNTIFS($G$2:G1761,G1761,$H$2:H1761,"United Kingdom")=1),1,0)</f>
        <v>0</v>
      </c>
    </row>
    <row r="1762" customFormat="false" ht="15" hidden="false" customHeight="false" outlineLevel="0" collapsed="false">
      <c r="A1762" s="0" t="s">
        <v>408</v>
      </c>
      <c r="B1762" s="0" t="s">
        <v>25</v>
      </c>
      <c r="C1762" s="0" t="s">
        <v>26</v>
      </c>
      <c r="D1762" s="0" t="n">
        <v>4</v>
      </c>
      <c r="E1762" s="2" t="n">
        <v>40718.4763888889</v>
      </c>
      <c r="F1762" s="0" t="n">
        <v>2.21</v>
      </c>
      <c r="H1762" s="3" t="s">
        <v>14</v>
      </c>
      <c r="I1762" s="4" t="n">
        <f aca="false">D1762*F1762</f>
        <v>8.84</v>
      </c>
      <c r="J1762" s="3" t="n">
        <f aca="false">IF(AND(LEFT(A1762,1)&lt;&gt;"C",D1762&gt;0,F1762&gt;0),1,0)</f>
        <v>1</v>
      </c>
      <c r="K1762" s="3" t="n">
        <f aca="false">IF(AND(H1762="United Kingdom",G1762&lt;&gt;"",COUNTIFS($G$2:G1762,G1762,$H$2:H1762,"United Kingdom")=1),1,0)</f>
        <v>0</v>
      </c>
    </row>
    <row r="1763" customFormat="false" ht="15" hidden="false" customHeight="false" outlineLevel="0" collapsed="false">
      <c r="A1763" s="0" t="s">
        <v>408</v>
      </c>
      <c r="B1763" s="0" t="s">
        <v>65</v>
      </c>
      <c r="C1763" s="0" t="s">
        <v>66</v>
      </c>
      <c r="D1763" s="0" t="n">
        <v>4</v>
      </c>
      <c r="E1763" s="2" t="n">
        <v>40718.4763888889</v>
      </c>
      <c r="F1763" s="0" t="n">
        <v>4.75</v>
      </c>
      <c r="H1763" s="3" t="s">
        <v>14</v>
      </c>
      <c r="I1763" s="4" t="n">
        <f aca="false">D1763*F1763</f>
        <v>19</v>
      </c>
      <c r="J1763" s="3" t="n">
        <f aca="false">IF(AND(LEFT(A1763,1)&lt;&gt;"C",D1763&gt;0,F1763&gt;0),1,0)</f>
        <v>1</v>
      </c>
      <c r="K1763" s="3" t="n">
        <f aca="false">IF(AND(H1763="United Kingdom",G1763&lt;&gt;"",COUNTIFS($G$2:G1763,G1763,$H$2:H1763,"United Kingdom")=1),1,0)</f>
        <v>0</v>
      </c>
    </row>
    <row r="1764" customFormat="false" ht="15" hidden="false" customHeight="false" outlineLevel="0" collapsed="false">
      <c r="A1764" s="0" t="s">
        <v>408</v>
      </c>
      <c r="B1764" s="0" t="s">
        <v>72</v>
      </c>
      <c r="C1764" s="0" t="s">
        <v>73</v>
      </c>
      <c r="D1764" s="0" t="n">
        <v>12</v>
      </c>
      <c r="E1764" s="2" t="n">
        <v>40718.4763888889</v>
      </c>
      <c r="F1764" s="0" t="n">
        <v>2.69</v>
      </c>
      <c r="H1764" s="3" t="s">
        <v>14</v>
      </c>
      <c r="I1764" s="4" t="n">
        <f aca="false">D1764*F1764</f>
        <v>32.28</v>
      </c>
      <c r="J1764" s="3" t="n">
        <f aca="false">IF(AND(LEFT(A1764,1)&lt;&gt;"C",D1764&gt;0,F1764&gt;0),1,0)</f>
        <v>1</v>
      </c>
      <c r="K1764" s="3" t="n">
        <f aca="false">IF(AND(H1764="United Kingdom",G1764&lt;&gt;"",COUNTIFS($G$2:G1764,G1764,$H$2:H1764,"United Kingdom")=1),1,0)</f>
        <v>0</v>
      </c>
    </row>
    <row r="1765" customFormat="false" ht="15" hidden="false" customHeight="false" outlineLevel="0" collapsed="false">
      <c r="A1765" s="0" t="s">
        <v>408</v>
      </c>
      <c r="B1765" s="0" t="s">
        <v>50</v>
      </c>
      <c r="C1765" s="0" t="s">
        <v>51</v>
      </c>
      <c r="D1765" s="0" t="n">
        <v>4</v>
      </c>
      <c r="E1765" s="2" t="n">
        <v>40718.4763888889</v>
      </c>
      <c r="F1765" s="0" t="n">
        <v>5.41</v>
      </c>
      <c r="H1765" s="3" t="s">
        <v>14</v>
      </c>
      <c r="I1765" s="4" t="n">
        <f aca="false">D1765*F1765</f>
        <v>21.64</v>
      </c>
      <c r="J1765" s="3" t="n">
        <f aca="false">IF(AND(LEFT(A1765,1)&lt;&gt;"C",D1765&gt;0,F1765&gt;0),1,0)</f>
        <v>1</v>
      </c>
      <c r="K1765" s="3" t="n">
        <f aca="false">IF(AND(H1765="United Kingdom",G1765&lt;&gt;"",COUNTIFS($G$2:G1765,G1765,$H$2:H1765,"United Kingdom")=1),1,0)</f>
        <v>0</v>
      </c>
    </row>
    <row r="1766" customFormat="false" ht="15" hidden="false" customHeight="false" outlineLevel="0" collapsed="false">
      <c r="A1766" s="0" t="s">
        <v>408</v>
      </c>
      <c r="B1766" s="0" t="s">
        <v>32</v>
      </c>
      <c r="C1766" s="0" t="s">
        <v>33</v>
      </c>
      <c r="D1766" s="0" t="n">
        <v>4</v>
      </c>
      <c r="E1766" s="2" t="n">
        <v>40718.4763888889</v>
      </c>
      <c r="F1766" s="0" t="n">
        <v>1.19</v>
      </c>
      <c r="H1766" s="3" t="s">
        <v>14</v>
      </c>
      <c r="I1766" s="4" t="n">
        <f aca="false">D1766*F1766</f>
        <v>4.76</v>
      </c>
      <c r="J1766" s="3" t="n">
        <f aca="false">IF(AND(LEFT(A1766,1)&lt;&gt;"C",D1766&gt;0,F1766&gt;0),1,0)</f>
        <v>1</v>
      </c>
      <c r="K1766" s="3" t="n">
        <f aca="false">IF(AND(H1766="United Kingdom",G1766&lt;&gt;"",COUNTIFS($G$2:G1766,G1766,$H$2:H1766,"United Kingdom")=1),1,0)</f>
        <v>0</v>
      </c>
    </row>
    <row r="1767" customFormat="false" ht="15" hidden="false" customHeight="false" outlineLevel="0" collapsed="false">
      <c r="A1767" s="0" t="s">
        <v>409</v>
      </c>
      <c r="B1767" s="0" t="s">
        <v>20</v>
      </c>
      <c r="C1767" s="0" t="s">
        <v>21</v>
      </c>
      <c r="D1767" s="0" t="n">
        <v>16</v>
      </c>
      <c r="E1767" s="2" t="n">
        <v>40718.5381944445</v>
      </c>
      <c r="F1767" s="0" t="n">
        <v>4.24</v>
      </c>
      <c r="G1767" s="0" t="n">
        <v>14012</v>
      </c>
      <c r="H1767" s="3" t="s">
        <v>97</v>
      </c>
      <c r="I1767" s="4" t="n">
        <f aca="false">D1767*F1767</f>
        <v>67.84</v>
      </c>
      <c r="J1767" s="3" t="n">
        <f aca="false">IF(AND(LEFT(A1767,1)&lt;&gt;"C",D1767&gt;0,F1767&gt;0),1,0)</f>
        <v>1</v>
      </c>
      <c r="K1767" s="3" t="n">
        <f aca="false">IF(AND(H1767="United Kingdom",G1767&lt;&gt;"",COUNTIFS($G$2:G1767,G1767,$H$2:H1767,"United Kingdom")=1),1,0)</f>
        <v>0</v>
      </c>
    </row>
    <row r="1768" customFormat="false" ht="15" hidden="false" customHeight="false" outlineLevel="0" collapsed="false">
      <c r="A1768" s="0" t="s">
        <v>409</v>
      </c>
      <c r="B1768" s="0" t="s">
        <v>37</v>
      </c>
      <c r="C1768" s="0" t="s">
        <v>38</v>
      </c>
      <c r="D1768" s="0" t="n">
        <v>2</v>
      </c>
      <c r="E1768" s="2" t="n">
        <v>40718.5381944445</v>
      </c>
      <c r="F1768" s="0" t="n">
        <v>1.82</v>
      </c>
      <c r="G1768" s="0" t="n">
        <v>14012</v>
      </c>
      <c r="H1768" s="3" t="s">
        <v>97</v>
      </c>
      <c r="I1768" s="4" t="n">
        <f aca="false">D1768*F1768</f>
        <v>3.64</v>
      </c>
      <c r="J1768" s="3" t="n">
        <f aca="false">IF(AND(LEFT(A1768,1)&lt;&gt;"C",D1768&gt;0,F1768&gt;0),1,0)</f>
        <v>1</v>
      </c>
      <c r="K1768" s="3" t="n">
        <f aca="false">IF(AND(H1768="United Kingdom",G1768&lt;&gt;"",COUNTIFS($G$2:G1768,G1768,$H$2:H1768,"United Kingdom")=1),1,0)</f>
        <v>0</v>
      </c>
    </row>
    <row r="1769" customFormat="false" ht="15" hidden="false" customHeight="false" outlineLevel="0" collapsed="false">
      <c r="A1769" s="0" t="s">
        <v>409</v>
      </c>
      <c r="B1769" s="0" t="s">
        <v>12</v>
      </c>
      <c r="C1769" s="0" t="s">
        <v>13</v>
      </c>
      <c r="D1769" s="0" t="n">
        <v>2</v>
      </c>
      <c r="E1769" s="2" t="n">
        <v>40718.5381944445</v>
      </c>
      <c r="F1769" s="0" t="n">
        <v>3.33</v>
      </c>
      <c r="G1769" s="0" t="n">
        <v>14012</v>
      </c>
      <c r="H1769" s="3" t="s">
        <v>97</v>
      </c>
      <c r="I1769" s="4" t="n">
        <f aca="false">D1769*F1769</f>
        <v>6.66</v>
      </c>
      <c r="J1769" s="3" t="n">
        <f aca="false">IF(AND(LEFT(A1769,1)&lt;&gt;"C",D1769&gt;0,F1769&gt;0),1,0)</f>
        <v>1</v>
      </c>
      <c r="K1769" s="3" t="n">
        <f aca="false">IF(AND(H1769="United Kingdom",G1769&lt;&gt;"",COUNTIFS($G$2:G1769,G1769,$H$2:H1769,"United Kingdom")=1),1,0)</f>
        <v>0</v>
      </c>
    </row>
    <row r="1770" customFormat="false" ht="15" hidden="false" customHeight="false" outlineLevel="0" collapsed="false">
      <c r="A1770" s="0" t="s">
        <v>410</v>
      </c>
      <c r="B1770" s="0" t="s">
        <v>34</v>
      </c>
      <c r="C1770" s="0" t="s">
        <v>35</v>
      </c>
      <c r="D1770" s="0" t="n">
        <v>1</v>
      </c>
      <c r="E1770" s="2" t="n">
        <v>40718.6618055556</v>
      </c>
      <c r="F1770" s="0" t="n">
        <v>2.38</v>
      </c>
      <c r="G1770" s="0" t="n">
        <v>17032</v>
      </c>
      <c r="H1770" s="3" t="s">
        <v>14</v>
      </c>
      <c r="I1770" s="4" t="n">
        <f aca="false">D1770*F1770</f>
        <v>2.38</v>
      </c>
      <c r="J1770" s="3" t="n">
        <f aca="false">IF(AND(LEFT(A1770,1)&lt;&gt;"C",D1770&gt;0,F1770&gt;0),1,0)</f>
        <v>1</v>
      </c>
      <c r="K1770" s="3" t="n">
        <f aca="false">IF(AND(H1770="United Kingdom",G1770&lt;&gt;"",COUNTIFS($G$2:G1770,G1770,$H$2:H1770,"United Kingdom")=1),1,0)</f>
        <v>0</v>
      </c>
    </row>
    <row r="1771" customFormat="false" ht="15" hidden="false" customHeight="false" outlineLevel="0" collapsed="false">
      <c r="A1771" s="0" t="s">
        <v>410</v>
      </c>
      <c r="B1771" s="0" t="s">
        <v>43</v>
      </c>
      <c r="C1771" s="0" t="s">
        <v>44</v>
      </c>
      <c r="D1771" s="0" t="n">
        <v>4</v>
      </c>
      <c r="E1771" s="2" t="n">
        <v>40718.6618055556</v>
      </c>
      <c r="F1771" s="0" t="n">
        <v>1.35</v>
      </c>
      <c r="G1771" s="0" t="n">
        <v>17032</v>
      </c>
      <c r="H1771" s="3" t="s">
        <v>14</v>
      </c>
      <c r="I1771" s="4" t="n">
        <f aca="false">D1771*F1771</f>
        <v>5.4</v>
      </c>
      <c r="J1771" s="3" t="n">
        <f aca="false">IF(AND(LEFT(A1771,1)&lt;&gt;"C",D1771&gt;0,F1771&gt;0),1,0)</f>
        <v>1</v>
      </c>
      <c r="K1771" s="3" t="n">
        <f aca="false">IF(AND(H1771="United Kingdom",G1771&lt;&gt;"",COUNTIFS($G$2:G1771,G1771,$H$2:H1771,"United Kingdom")=1),1,0)</f>
        <v>0</v>
      </c>
    </row>
    <row r="1772" customFormat="false" ht="15" hidden="false" customHeight="false" outlineLevel="0" collapsed="false">
      <c r="A1772" s="0" t="s">
        <v>410</v>
      </c>
      <c r="B1772" s="0" t="s">
        <v>41</v>
      </c>
      <c r="C1772" s="0" t="s">
        <v>42</v>
      </c>
      <c r="D1772" s="0" t="n">
        <v>3</v>
      </c>
      <c r="E1772" s="2" t="n">
        <v>40718.6618055556</v>
      </c>
      <c r="F1772" s="0" t="n">
        <v>3.28</v>
      </c>
      <c r="G1772" s="0" t="n">
        <v>17032</v>
      </c>
      <c r="H1772" s="3" t="s">
        <v>14</v>
      </c>
      <c r="I1772" s="4" t="n">
        <f aca="false">D1772*F1772</f>
        <v>9.84</v>
      </c>
      <c r="J1772" s="3" t="n">
        <f aca="false">IF(AND(LEFT(A1772,1)&lt;&gt;"C",D1772&gt;0,F1772&gt;0),1,0)</f>
        <v>1</v>
      </c>
      <c r="K1772" s="3" t="n">
        <f aca="false">IF(AND(H1772="United Kingdom",G1772&lt;&gt;"",COUNTIFS($G$2:G1772,G1772,$H$2:H1772,"United Kingdom")=1),1,0)</f>
        <v>0</v>
      </c>
    </row>
    <row r="1773" customFormat="false" ht="15" hidden="false" customHeight="false" outlineLevel="0" collapsed="false">
      <c r="A1773" s="0" t="s">
        <v>411</v>
      </c>
      <c r="B1773" s="0" t="s">
        <v>52</v>
      </c>
      <c r="C1773" s="0" t="s">
        <v>53</v>
      </c>
      <c r="D1773" s="0" t="n">
        <v>4</v>
      </c>
      <c r="E1773" s="2" t="n">
        <v>40718.7409722222</v>
      </c>
      <c r="F1773" s="0" t="n">
        <v>4.16</v>
      </c>
      <c r="G1773" s="0" t="n">
        <v>16963</v>
      </c>
      <c r="H1773" s="3" t="s">
        <v>14</v>
      </c>
      <c r="I1773" s="4" t="n">
        <f aca="false">D1773*F1773</f>
        <v>16.64</v>
      </c>
      <c r="J1773" s="3" t="n">
        <f aca="false">IF(AND(LEFT(A1773,1)&lt;&gt;"C",D1773&gt;0,F1773&gt;0),1,0)</f>
        <v>1</v>
      </c>
      <c r="K1773" s="3" t="n">
        <f aca="false">IF(AND(H1773="United Kingdom",G1773&lt;&gt;"",COUNTIFS($G$2:G1773,G1773,$H$2:H1773,"United Kingdom")=1),1,0)</f>
        <v>1</v>
      </c>
    </row>
    <row r="1774" customFormat="false" ht="15" hidden="false" customHeight="false" outlineLevel="0" collapsed="false">
      <c r="A1774" s="0" t="s">
        <v>411</v>
      </c>
      <c r="B1774" s="0" t="s">
        <v>58</v>
      </c>
      <c r="C1774" s="0" t="s">
        <v>59</v>
      </c>
      <c r="D1774" s="0" t="n">
        <v>8</v>
      </c>
      <c r="E1774" s="2" t="n">
        <v>40718.7409722222</v>
      </c>
      <c r="F1774" s="0" t="n">
        <v>2.16</v>
      </c>
      <c r="G1774" s="0" t="n">
        <v>16963</v>
      </c>
      <c r="H1774" s="3" t="s">
        <v>14</v>
      </c>
      <c r="I1774" s="4" t="n">
        <f aca="false">D1774*F1774</f>
        <v>17.28</v>
      </c>
      <c r="J1774" s="3" t="n">
        <f aca="false">IF(AND(LEFT(A1774,1)&lt;&gt;"C",D1774&gt;0,F1774&gt;0),1,0)</f>
        <v>1</v>
      </c>
      <c r="K1774" s="3" t="n">
        <f aca="false">IF(AND(H1774="United Kingdom",G1774&lt;&gt;"",COUNTIFS($G$2:G1774,G1774,$H$2:H1774,"United Kingdom")=1),1,0)</f>
        <v>0</v>
      </c>
    </row>
    <row r="1775" customFormat="false" ht="15" hidden="false" customHeight="false" outlineLevel="0" collapsed="false">
      <c r="A1775" s="0" t="s">
        <v>411</v>
      </c>
      <c r="B1775" s="0" t="s">
        <v>41</v>
      </c>
      <c r="C1775" s="0" t="s">
        <v>42</v>
      </c>
      <c r="D1775" s="0" t="n">
        <v>2</v>
      </c>
      <c r="E1775" s="2" t="n">
        <v>40718.7409722222</v>
      </c>
      <c r="F1775" s="0" t="n">
        <v>3.28</v>
      </c>
      <c r="G1775" s="0" t="n">
        <v>16963</v>
      </c>
      <c r="H1775" s="3" t="s">
        <v>14</v>
      </c>
      <c r="I1775" s="4" t="n">
        <f aca="false">D1775*F1775</f>
        <v>6.56</v>
      </c>
      <c r="J1775" s="3" t="n">
        <f aca="false">IF(AND(LEFT(A1775,1)&lt;&gt;"C",D1775&gt;0,F1775&gt;0),1,0)</f>
        <v>1</v>
      </c>
      <c r="K1775" s="3" t="n">
        <f aca="false">IF(AND(H1775="United Kingdom",G1775&lt;&gt;"",COUNTIFS($G$2:G1775,G1775,$H$2:H1775,"United Kingdom")=1),1,0)</f>
        <v>0</v>
      </c>
    </row>
    <row r="1776" customFormat="false" ht="15" hidden="false" customHeight="false" outlineLevel="0" collapsed="false">
      <c r="A1776" s="0" t="s">
        <v>411</v>
      </c>
      <c r="B1776" s="0" t="s">
        <v>43</v>
      </c>
      <c r="C1776" s="0" t="s">
        <v>44</v>
      </c>
      <c r="D1776" s="0" t="n">
        <v>12</v>
      </c>
      <c r="E1776" s="2" t="n">
        <v>40718.7409722222</v>
      </c>
      <c r="F1776" s="0" t="n">
        <v>1.35</v>
      </c>
      <c r="G1776" s="0" t="n">
        <v>16963</v>
      </c>
      <c r="H1776" s="3" t="s">
        <v>14</v>
      </c>
      <c r="I1776" s="4" t="n">
        <f aca="false">D1776*F1776</f>
        <v>16.2</v>
      </c>
      <c r="J1776" s="3" t="n">
        <f aca="false">IF(AND(LEFT(A1776,1)&lt;&gt;"C",D1776&gt;0,F1776&gt;0),1,0)</f>
        <v>1</v>
      </c>
      <c r="K1776" s="3" t="n">
        <f aca="false">IF(AND(H1776="United Kingdom",G1776&lt;&gt;"",COUNTIFS($G$2:G1776,G1776,$H$2:H1776,"United Kingdom")=1),1,0)</f>
        <v>0</v>
      </c>
    </row>
    <row r="1777" customFormat="false" ht="15" hidden="false" customHeight="false" outlineLevel="0" collapsed="false">
      <c r="A1777" s="0" t="s">
        <v>411</v>
      </c>
      <c r="B1777" s="0" t="s">
        <v>80</v>
      </c>
      <c r="C1777" s="0" t="s">
        <v>81</v>
      </c>
      <c r="D1777" s="0" t="n">
        <v>6</v>
      </c>
      <c r="E1777" s="2" t="n">
        <v>40718.7409722222</v>
      </c>
      <c r="F1777" s="0" t="n">
        <v>1.53</v>
      </c>
      <c r="G1777" s="0" t="n">
        <v>16963</v>
      </c>
      <c r="H1777" s="3" t="s">
        <v>14</v>
      </c>
      <c r="I1777" s="4" t="n">
        <f aca="false">D1777*F1777</f>
        <v>9.18</v>
      </c>
      <c r="J1777" s="3" t="n">
        <f aca="false">IF(AND(LEFT(A1777,1)&lt;&gt;"C",D1777&gt;0,F1777&gt;0),1,0)</f>
        <v>1</v>
      </c>
      <c r="K1777" s="3" t="n">
        <f aca="false">IF(AND(H1777="United Kingdom",G1777&lt;&gt;"",COUNTIFS($G$2:G1777,G1777,$H$2:H1777,"United Kingdom")=1),1,0)</f>
        <v>0</v>
      </c>
    </row>
    <row r="1778" customFormat="false" ht="15" hidden="false" customHeight="false" outlineLevel="0" collapsed="false">
      <c r="A1778" s="0" t="s">
        <v>411</v>
      </c>
      <c r="B1778" s="0" t="s">
        <v>54</v>
      </c>
      <c r="C1778" s="0" t="s">
        <v>55</v>
      </c>
      <c r="D1778" s="0" t="n">
        <v>8</v>
      </c>
      <c r="E1778" s="2" t="n">
        <v>40718.7409722222</v>
      </c>
      <c r="F1778" s="0" t="n">
        <v>0.99</v>
      </c>
      <c r="G1778" s="0" t="n">
        <v>16963</v>
      </c>
      <c r="H1778" s="3" t="s">
        <v>14</v>
      </c>
      <c r="I1778" s="4" t="n">
        <f aca="false">D1778*F1778</f>
        <v>7.92</v>
      </c>
      <c r="J1778" s="3" t="n">
        <f aca="false">IF(AND(LEFT(A1778,1)&lt;&gt;"C",D1778&gt;0,F1778&gt;0),1,0)</f>
        <v>1</v>
      </c>
      <c r="K1778" s="3" t="n">
        <f aca="false">IF(AND(H1778="United Kingdom",G1778&lt;&gt;"",COUNTIFS($G$2:G1778,G1778,$H$2:H1778,"United Kingdom")=1),1,0)</f>
        <v>0</v>
      </c>
    </row>
    <row r="1779" customFormat="false" ht="15" hidden="false" customHeight="false" outlineLevel="0" collapsed="false">
      <c r="A1779" s="0" t="s">
        <v>411</v>
      </c>
      <c r="B1779" s="0" t="s">
        <v>63</v>
      </c>
      <c r="C1779" s="0" t="s">
        <v>64</v>
      </c>
      <c r="D1779" s="0" t="n">
        <v>24</v>
      </c>
      <c r="E1779" s="2" t="n">
        <v>40718.7409722222</v>
      </c>
      <c r="F1779" s="0" t="n">
        <v>2.43</v>
      </c>
      <c r="G1779" s="0" t="n">
        <v>16963</v>
      </c>
      <c r="H1779" s="3" t="s">
        <v>14</v>
      </c>
      <c r="I1779" s="4" t="n">
        <f aca="false">D1779*F1779</f>
        <v>58.32</v>
      </c>
      <c r="J1779" s="3" t="n">
        <f aca="false">IF(AND(LEFT(A1779,1)&lt;&gt;"C",D1779&gt;0,F1779&gt;0),1,0)</f>
        <v>1</v>
      </c>
      <c r="K1779" s="3" t="n">
        <f aca="false">IF(AND(H1779="United Kingdom",G1779&lt;&gt;"",COUNTIFS($G$2:G1779,G1779,$H$2:H1779,"United Kingdom")=1),1,0)</f>
        <v>0</v>
      </c>
    </row>
    <row r="1780" customFormat="false" ht="15" hidden="false" customHeight="false" outlineLevel="0" collapsed="false">
      <c r="A1780" s="0" t="s">
        <v>411</v>
      </c>
      <c r="B1780" s="0" t="s">
        <v>48</v>
      </c>
      <c r="C1780" s="0" t="s">
        <v>49</v>
      </c>
      <c r="D1780" s="0" t="n">
        <v>4</v>
      </c>
      <c r="E1780" s="2" t="n">
        <v>40718.7409722222</v>
      </c>
      <c r="F1780" s="0" t="n">
        <v>1.35</v>
      </c>
      <c r="G1780" s="0" t="n">
        <v>16963</v>
      </c>
      <c r="H1780" s="3" t="s">
        <v>14</v>
      </c>
      <c r="I1780" s="4" t="n">
        <f aca="false">D1780*F1780</f>
        <v>5.4</v>
      </c>
      <c r="J1780" s="3" t="n">
        <f aca="false">IF(AND(LEFT(A1780,1)&lt;&gt;"C",D1780&gt;0,F1780&gt;0),1,0)</f>
        <v>1</v>
      </c>
      <c r="K1780" s="3" t="n">
        <f aca="false">IF(AND(H1780="United Kingdom",G1780&lt;&gt;"",COUNTIFS($G$2:G1780,G1780,$H$2:H1780,"United Kingdom")=1),1,0)</f>
        <v>0</v>
      </c>
    </row>
    <row r="1781" customFormat="false" ht="15" hidden="false" customHeight="false" outlineLevel="0" collapsed="false">
      <c r="A1781" s="0" t="s">
        <v>411</v>
      </c>
      <c r="B1781" s="0" t="s">
        <v>77</v>
      </c>
      <c r="C1781" s="0" t="s">
        <v>78</v>
      </c>
      <c r="D1781" s="0" t="n">
        <v>1</v>
      </c>
      <c r="E1781" s="2" t="n">
        <v>40718.7409722222</v>
      </c>
      <c r="F1781" s="0" t="n">
        <v>3.41</v>
      </c>
      <c r="G1781" s="0" t="n">
        <v>16963</v>
      </c>
      <c r="H1781" s="3" t="s">
        <v>14</v>
      </c>
      <c r="I1781" s="4" t="n">
        <f aca="false">D1781*F1781</f>
        <v>3.41</v>
      </c>
      <c r="J1781" s="3" t="n">
        <f aca="false">IF(AND(LEFT(A1781,1)&lt;&gt;"C",D1781&gt;0,F1781&gt;0),1,0)</f>
        <v>1</v>
      </c>
      <c r="K1781" s="3" t="n">
        <f aca="false">IF(AND(H1781="United Kingdom",G1781&lt;&gt;"",COUNTIFS($G$2:G1781,G1781,$H$2:H1781,"United Kingdom")=1),1,0)</f>
        <v>0</v>
      </c>
    </row>
    <row r="1782" customFormat="false" ht="15" hidden="false" customHeight="false" outlineLevel="0" collapsed="false">
      <c r="A1782" s="0" t="s">
        <v>411</v>
      </c>
      <c r="B1782" s="0" t="s">
        <v>22</v>
      </c>
      <c r="C1782" s="0" t="s">
        <v>23</v>
      </c>
      <c r="D1782" s="0" t="n">
        <v>12</v>
      </c>
      <c r="E1782" s="2" t="n">
        <v>40718.7409722222</v>
      </c>
      <c r="F1782" s="0" t="n">
        <v>3.18</v>
      </c>
      <c r="G1782" s="0" t="n">
        <v>16963</v>
      </c>
      <c r="H1782" s="3" t="s">
        <v>14</v>
      </c>
      <c r="I1782" s="4" t="n">
        <f aca="false">D1782*F1782</f>
        <v>38.16</v>
      </c>
      <c r="J1782" s="3" t="n">
        <f aca="false">IF(AND(LEFT(A1782,1)&lt;&gt;"C",D1782&gt;0,F1782&gt;0),1,0)</f>
        <v>1</v>
      </c>
      <c r="K1782" s="3" t="n">
        <f aca="false">IF(AND(H1782="United Kingdom",G1782&lt;&gt;"",COUNTIFS($G$2:G1782,G1782,$H$2:H1782,"United Kingdom")=1),1,0)</f>
        <v>0</v>
      </c>
    </row>
    <row r="1783" customFormat="false" ht="15" hidden="false" customHeight="false" outlineLevel="0" collapsed="false">
      <c r="A1783" s="0" t="s">
        <v>411</v>
      </c>
      <c r="B1783" s="0" t="s">
        <v>37</v>
      </c>
      <c r="C1783" s="0" t="s">
        <v>38</v>
      </c>
      <c r="D1783" s="0" t="n">
        <v>2</v>
      </c>
      <c r="E1783" s="2" t="n">
        <v>40718.7409722222</v>
      </c>
      <c r="F1783" s="0" t="n">
        <v>1.82</v>
      </c>
      <c r="G1783" s="0" t="n">
        <v>16963</v>
      </c>
      <c r="H1783" s="3" t="s">
        <v>14</v>
      </c>
      <c r="I1783" s="4" t="n">
        <f aca="false">D1783*F1783</f>
        <v>3.64</v>
      </c>
      <c r="J1783" s="3" t="n">
        <f aca="false">IF(AND(LEFT(A1783,1)&lt;&gt;"C",D1783&gt;0,F1783&gt;0),1,0)</f>
        <v>1</v>
      </c>
      <c r="K1783" s="3" t="n">
        <f aca="false">IF(AND(H1783="United Kingdom",G1783&lt;&gt;"",COUNTIFS($G$2:G1783,G1783,$H$2:H1783,"United Kingdom")=1),1,0)</f>
        <v>0</v>
      </c>
    </row>
    <row r="1784" customFormat="false" ht="15" hidden="false" customHeight="false" outlineLevel="0" collapsed="false">
      <c r="A1784" s="0" t="s">
        <v>411</v>
      </c>
      <c r="B1784" s="0" t="s">
        <v>60</v>
      </c>
      <c r="C1784" s="0" t="s">
        <v>61</v>
      </c>
      <c r="D1784" s="0" t="n">
        <v>1</v>
      </c>
      <c r="E1784" s="2" t="n">
        <v>40718.7409722222</v>
      </c>
      <c r="F1784" s="0" t="n">
        <v>0.63</v>
      </c>
      <c r="G1784" s="0" t="n">
        <v>16963</v>
      </c>
      <c r="H1784" s="3" t="s">
        <v>14</v>
      </c>
      <c r="I1784" s="4" t="n">
        <f aca="false">D1784*F1784</f>
        <v>0.63</v>
      </c>
      <c r="J1784" s="3" t="n">
        <f aca="false">IF(AND(LEFT(A1784,1)&lt;&gt;"C",D1784&gt;0,F1784&gt;0),1,0)</f>
        <v>1</v>
      </c>
      <c r="K1784" s="3" t="n">
        <f aca="false">IF(AND(H1784="United Kingdom",G1784&lt;&gt;"",COUNTIFS($G$2:G1784,G1784,$H$2:H1784,"United Kingdom")=1),1,0)</f>
        <v>0</v>
      </c>
    </row>
    <row r="1785" customFormat="false" ht="15" hidden="false" customHeight="false" outlineLevel="0" collapsed="false">
      <c r="A1785" s="0" t="s">
        <v>411</v>
      </c>
      <c r="B1785" s="0" t="s">
        <v>113</v>
      </c>
      <c r="C1785" s="0" t="s">
        <v>114</v>
      </c>
      <c r="D1785" s="0" t="n">
        <v>12</v>
      </c>
      <c r="E1785" s="2" t="n">
        <v>40718.7409722222</v>
      </c>
      <c r="F1785" s="0" t="n">
        <v>3.57</v>
      </c>
      <c r="G1785" s="0" t="n">
        <v>16963</v>
      </c>
      <c r="H1785" s="3" t="s">
        <v>14</v>
      </c>
      <c r="I1785" s="4" t="n">
        <f aca="false">D1785*F1785</f>
        <v>42.84</v>
      </c>
      <c r="J1785" s="3" t="n">
        <f aca="false">IF(AND(LEFT(A1785,1)&lt;&gt;"C",D1785&gt;0,F1785&gt;0),1,0)</f>
        <v>1</v>
      </c>
      <c r="K1785" s="3" t="n">
        <f aca="false">IF(AND(H1785="United Kingdom",G1785&lt;&gt;"",COUNTIFS($G$2:G1785,G1785,$H$2:H1785,"United Kingdom")=1),1,0)</f>
        <v>0</v>
      </c>
    </row>
    <row r="1786" customFormat="false" ht="15" hidden="false" customHeight="false" outlineLevel="0" collapsed="false">
      <c r="A1786" s="0" t="s">
        <v>411</v>
      </c>
      <c r="B1786" s="0" t="s">
        <v>12</v>
      </c>
      <c r="C1786" s="0" t="s">
        <v>13</v>
      </c>
      <c r="D1786" s="0" t="n">
        <v>2</v>
      </c>
      <c r="E1786" s="2" t="n">
        <v>40718.7409722222</v>
      </c>
      <c r="F1786" s="0" t="n">
        <v>3.33</v>
      </c>
      <c r="G1786" s="0" t="n">
        <v>16963</v>
      </c>
      <c r="H1786" s="3" t="s">
        <v>14</v>
      </c>
      <c r="I1786" s="4" t="n">
        <f aca="false">D1786*F1786</f>
        <v>6.66</v>
      </c>
      <c r="J1786" s="3" t="n">
        <f aca="false">IF(AND(LEFT(A1786,1)&lt;&gt;"C",D1786&gt;0,F1786&gt;0),1,0)</f>
        <v>1</v>
      </c>
      <c r="K1786" s="3" t="n">
        <f aca="false">IF(AND(H1786="United Kingdom",G1786&lt;&gt;"",COUNTIFS($G$2:G1786,G1786,$H$2:H1786,"United Kingdom")=1),1,0)</f>
        <v>0</v>
      </c>
    </row>
    <row r="1787" customFormat="false" ht="15" hidden="false" customHeight="false" outlineLevel="0" collapsed="false">
      <c r="A1787" s="0" t="s">
        <v>411</v>
      </c>
      <c r="B1787" s="0" t="s">
        <v>29</v>
      </c>
      <c r="C1787" s="0" t="s">
        <v>30</v>
      </c>
      <c r="D1787" s="0" t="n">
        <v>4</v>
      </c>
      <c r="E1787" s="2" t="n">
        <v>40718.7409722222</v>
      </c>
      <c r="F1787" s="0" t="n">
        <v>5.79</v>
      </c>
      <c r="G1787" s="0" t="n">
        <v>16963</v>
      </c>
      <c r="H1787" s="3" t="s">
        <v>14</v>
      </c>
      <c r="I1787" s="4" t="n">
        <f aca="false">D1787*F1787</f>
        <v>23.16</v>
      </c>
      <c r="J1787" s="3" t="n">
        <f aca="false">IF(AND(LEFT(A1787,1)&lt;&gt;"C",D1787&gt;0,F1787&gt;0),1,0)</f>
        <v>1</v>
      </c>
      <c r="K1787" s="3" t="n">
        <f aca="false">IF(AND(H1787="United Kingdom",G1787&lt;&gt;"",COUNTIFS($G$2:G1787,G1787,$H$2:H1787,"United Kingdom")=1),1,0)</f>
        <v>0</v>
      </c>
    </row>
    <row r="1788" customFormat="false" ht="15" hidden="false" customHeight="false" outlineLevel="0" collapsed="false">
      <c r="A1788" s="0" t="s">
        <v>411</v>
      </c>
      <c r="B1788" s="0" t="s">
        <v>68</v>
      </c>
      <c r="C1788" s="0" t="s">
        <v>69</v>
      </c>
      <c r="D1788" s="0" t="n">
        <v>12</v>
      </c>
      <c r="E1788" s="2" t="n">
        <v>40718.7409722222</v>
      </c>
      <c r="F1788" s="0" t="n">
        <v>1.26</v>
      </c>
      <c r="G1788" s="0" t="n">
        <v>16963</v>
      </c>
      <c r="H1788" s="3" t="s">
        <v>14</v>
      </c>
      <c r="I1788" s="4" t="n">
        <f aca="false">D1788*F1788</f>
        <v>15.12</v>
      </c>
      <c r="J1788" s="3" t="n">
        <f aca="false">IF(AND(LEFT(A1788,1)&lt;&gt;"C",D1788&gt;0,F1788&gt;0),1,0)</f>
        <v>1</v>
      </c>
      <c r="K1788" s="3" t="n">
        <f aca="false">IF(AND(H1788="United Kingdom",G1788&lt;&gt;"",COUNTIFS($G$2:G1788,G1788,$H$2:H1788,"United Kingdom")=1),1,0)</f>
        <v>0</v>
      </c>
    </row>
    <row r="1789" customFormat="false" ht="15" hidden="false" customHeight="false" outlineLevel="0" collapsed="false">
      <c r="A1789" s="0" t="s">
        <v>411</v>
      </c>
      <c r="B1789" s="0" t="s">
        <v>50</v>
      </c>
      <c r="C1789" s="0" t="s">
        <v>51</v>
      </c>
      <c r="D1789" s="0" t="n">
        <v>4</v>
      </c>
      <c r="E1789" s="2" t="n">
        <v>40718.7409722222</v>
      </c>
      <c r="F1789" s="0" t="n">
        <v>5.41</v>
      </c>
      <c r="G1789" s="0" t="n">
        <v>16963</v>
      </c>
      <c r="H1789" s="3" t="s">
        <v>14</v>
      </c>
      <c r="I1789" s="4" t="n">
        <f aca="false">D1789*F1789</f>
        <v>21.64</v>
      </c>
      <c r="J1789" s="3" t="n">
        <f aca="false">IF(AND(LEFT(A1789,1)&lt;&gt;"C",D1789&gt;0,F1789&gt;0),1,0)</f>
        <v>1</v>
      </c>
      <c r="K1789" s="3" t="n">
        <f aca="false">IF(AND(H1789="United Kingdom",G1789&lt;&gt;"",COUNTIFS($G$2:G1789,G1789,$H$2:H1789,"United Kingdom")=1),1,0)</f>
        <v>0</v>
      </c>
    </row>
    <row r="1790" customFormat="false" ht="15" hidden="false" customHeight="false" outlineLevel="0" collapsed="false">
      <c r="A1790" s="0" t="s">
        <v>411</v>
      </c>
      <c r="B1790" s="0" t="s">
        <v>17</v>
      </c>
      <c r="C1790" s="0" t="s">
        <v>18</v>
      </c>
      <c r="D1790" s="0" t="n">
        <v>4</v>
      </c>
      <c r="E1790" s="2" t="n">
        <v>40718.7409722222</v>
      </c>
      <c r="F1790" s="0" t="n">
        <v>1.92</v>
      </c>
      <c r="G1790" s="0" t="n">
        <v>16963</v>
      </c>
      <c r="H1790" s="3" t="s">
        <v>14</v>
      </c>
      <c r="I1790" s="4" t="n">
        <f aca="false">D1790*F1790</f>
        <v>7.68</v>
      </c>
      <c r="J1790" s="3" t="n">
        <f aca="false">IF(AND(LEFT(A1790,1)&lt;&gt;"C",D1790&gt;0,F1790&gt;0),1,0)</f>
        <v>1</v>
      </c>
      <c r="K1790" s="3" t="n">
        <f aca="false">IF(AND(H1790="United Kingdom",G1790&lt;&gt;"",COUNTIFS($G$2:G1790,G1790,$H$2:H1790,"United Kingdom")=1),1,0)</f>
        <v>0</v>
      </c>
    </row>
    <row r="1791" customFormat="false" ht="15" hidden="false" customHeight="false" outlineLevel="0" collapsed="false">
      <c r="A1791" s="0" t="s">
        <v>411</v>
      </c>
      <c r="B1791" s="0" t="s">
        <v>75</v>
      </c>
      <c r="C1791" s="0" t="s">
        <v>76</v>
      </c>
      <c r="D1791" s="0" t="n">
        <v>2</v>
      </c>
      <c r="E1791" s="2" t="n">
        <v>40718.7409722222</v>
      </c>
      <c r="F1791" s="0" t="n">
        <v>1.97</v>
      </c>
      <c r="G1791" s="0" t="n">
        <v>16963</v>
      </c>
      <c r="H1791" s="3" t="s">
        <v>14</v>
      </c>
      <c r="I1791" s="4" t="n">
        <f aca="false">D1791*F1791</f>
        <v>3.94</v>
      </c>
      <c r="J1791" s="3" t="n">
        <f aca="false">IF(AND(LEFT(A1791,1)&lt;&gt;"C",D1791&gt;0,F1791&gt;0),1,0)</f>
        <v>1</v>
      </c>
      <c r="K1791" s="3" t="n">
        <f aca="false">IF(AND(H1791="United Kingdom",G1791&lt;&gt;"",COUNTIFS($G$2:G1791,G1791,$H$2:H1791,"United Kingdom")=1),1,0)</f>
        <v>0</v>
      </c>
    </row>
    <row r="1792" customFormat="false" ht="15" hidden="false" customHeight="false" outlineLevel="0" collapsed="false">
      <c r="A1792" s="0" t="s">
        <v>411</v>
      </c>
      <c r="B1792" s="0" t="s">
        <v>45</v>
      </c>
      <c r="C1792" s="0" t="s">
        <v>46</v>
      </c>
      <c r="D1792" s="0" t="n">
        <v>3</v>
      </c>
      <c r="E1792" s="2" t="n">
        <v>40718.7409722222</v>
      </c>
      <c r="F1792" s="0" t="n">
        <v>4.55</v>
      </c>
      <c r="G1792" s="0" t="n">
        <v>16963</v>
      </c>
      <c r="H1792" s="3" t="s">
        <v>14</v>
      </c>
      <c r="I1792" s="4" t="n">
        <f aca="false">D1792*F1792</f>
        <v>13.65</v>
      </c>
      <c r="J1792" s="3" t="n">
        <f aca="false">IF(AND(LEFT(A1792,1)&lt;&gt;"C",D1792&gt;0,F1792&gt;0),1,0)</f>
        <v>1</v>
      </c>
      <c r="K1792" s="3" t="n">
        <f aca="false">IF(AND(H1792="United Kingdom",G1792&lt;&gt;"",COUNTIFS($G$2:G1792,G1792,$H$2:H1792,"United Kingdom")=1),1,0)</f>
        <v>0</v>
      </c>
    </row>
    <row r="1793" customFormat="false" ht="15" hidden="false" customHeight="false" outlineLevel="0" collapsed="false">
      <c r="A1793" s="0" t="s">
        <v>412</v>
      </c>
      <c r="B1793" s="0" t="s">
        <v>22</v>
      </c>
      <c r="C1793" s="0" t="s">
        <v>23</v>
      </c>
      <c r="D1793" s="0" t="n">
        <v>12</v>
      </c>
      <c r="E1793" s="2" t="n">
        <v>40720.4784722222</v>
      </c>
      <c r="F1793" s="0" t="n">
        <v>3.18</v>
      </c>
      <c r="G1793" s="0" t="n">
        <v>14131</v>
      </c>
      <c r="H1793" s="3" t="s">
        <v>14</v>
      </c>
      <c r="I1793" s="4" t="n">
        <f aca="false">D1793*F1793</f>
        <v>38.16</v>
      </c>
      <c r="J1793" s="3" t="n">
        <f aca="false">IF(AND(LEFT(A1793,1)&lt;&gt;"C",D1793&gt;0,F1793&gt;0),1,0)</f>
        <v>1</v>
      </c>
      <c r="K1793" s="3" t="n">
        <f aca="false">IF(AND(H1793="United Kingdom",G1793&lt;&gt;"",COUNTIFS($G$2:G1793,G1793,$H$2:H1793,"United Kingdom")=1),1,0)</f>
        <v>1</v>
      </c>
    </row>
    <row r="1794" customFormat="false" ht="15" hidden="false" customHeight="false" outlineLevel="0" collapsed="false">
      <c r="A1794" s="0" t="s">
        <v>412</v>
      </c>
      <c r="B1794" s="0" t="s">
        <v>25</v>
      </c>
      <c r="C1794" s="0" t="s">
        <v>26</v>
      </c>
      <c r="D1794" s="0" t="n">
        <v>4</v>
      </c>
      <c r="E1794" s="2" t="n">
        <v>40720.4784722222</v>
      </c>
      <c r="F1794" s="0" t="n">
        <v>2.21</v>
      </c>
      <c r="G1794" s="0" t="n">
        <v>14131</v>
      </c>
      <c r="H1794" s="3" t="s">
        <v>14</v>
      </c>
      <c r="I1794" s="4" t="n">
        <f aca="false">D1794*F1794</f>
        <v>8.84</v>
      </c>
      <c r="J1794" s="3" t="n">
        <f aca="false">IF(AND(LEFT(A1794,1)&lt;&gt;"C",D1794&gt;0,F1794&gt;0),1,0)</f>
        <v>1</v>
      </c>
      <c r="K1794" s="3" t="n">
        <f aca="false">IF(AND(H1794="United Kingdom",G1794&lt;&gt;"",COUNTIFS($G$2:G1794,G1794,$H$2:H1794,"United Kingdom")=1),1,0)</f>
        <v>0</v>
      </c>
    </row>
    <row r="1795" customFormat="false" ht="15" hidden="false" customHeight="false" outlineLevel="0" collapsed="false">
      <c r="A1795" s="0" t="s">
        <v>412</v>
      </c>
      <c r="B1795" s="0" t="s">
        <v>39</v>
      </c>
      <c r="C1795" s="0" t="s">
        <v>40</v>
      </c>
      <c r="D1795" s="0" t="n">
        <v>12</v>
      </c>
      <c r="E1795" s="2" t="n">
        <v>40720.4784722222</v>
      </c>
      <c r="F1795" s="0" t="n">
        <v>2.58</v>
      </c>
      <c r="G1795" s="0" t="n">
        <v>14131</v>
      </c>
      <c r="H1795" s="3" t="s">
        <v>14</v>
      </c>
      <c r="I1795" s="4" t="n">
        <f aca="false">D1795*F1795</f>
        <v>30.96</v>
      </c>
      <c r="J1795" s="3" t="n">
        <f aca="false">IF(AND(LEFT(A1795,1)&lt;&gt;"C",D1795&gt;0,F1795&gt;0),1,0)</f>
        <v>1</v>
      </c>
      <c r="K1795" s="3" t="n">
        <f aca="false">IF(AND(H1795="United Kingdom",G1795&lt;&gt;"",COUNTIFS($G$2:G1795,G1795,$H$2:H1795,"United Kingdom")=1),1,0)</f>
        <v>0</v>
      </c>
    </row>
    <row r="1796" customFormat="false" ht="15" hidden="false" customHeight="false" outlineLevel="0" collapsed="false">
      <c r="A1796" s="0" t="s">
        <v>412</v>
      </c>
      <c r="B1796" s="0" t="s">
        <v>80</v>
      </c>
      <c r="C1796" s="0" t="s">
        <v>81</v>
      </c>
      <c r="D1796" s="0" t="n">
        <v>12</v>
      </c>
      <c r="E1796" s="2" t="n">
        <v>40720.4784722222</v>
      </c>
      <c r="F1796" s="0" t="n">
        <v>1.53</v>
      </c>
      <c r="G1796" s="0" t="n">
        <v>14131</v>
      </c>
      <c r="H1796" s="3" t="s">
        <v>14</v>
      </c>
      <c r="I1796" s="4" t="n">
        <f aca="false">D1796*F1796</f>
        <v>18.36</v>
      </c>
      <c r="J1796" s="3" t="n">
        <f aca="false">IF(AND(LEFT(A1796,1)&lt;&gt;"C",D1796&gt;0,F1796&gt;0),1,0)</f>
        <v>1</v>
      </c>
      <c r="K1796" s="3" t="n">
        <f aca="false">IF(AND(H1796="United Kingdom",G1796&lt;&gt;"",COUNTIFS($G$2:G1796,G1796,$H$2:H1796,"United Kingdom")=1),1,0)</f>
        <v>0</v>
      </c>
    </row>
    <row r="1797" customFormat="false" ht="15" hidden="false" customHeight="false" outlineLevel="0" collapsed="false">
      <c r="A1797" s="0" t="s">
        <v>412</v>
      </c>
      <c r="B1797" s="0" t="s">
        <v>41</v>
      </c>
      <c r="C1797" s="0" t="s">
        <v>42</v>
      </c>
      <c r="D1797" s="0" t="n">
        <v>4</v>
      </c>
      <c r="E1797" s="2" t="n">
        <v>40720.4784722222</v>
      </c>
      <c r="F1797" s="0" t="n">
        <v>3.28</v>
      </c>
      <c r="G1797" s="0" t="n">
        <v>14131</v>
      </c>
      <c r="H1797" s="3" t="s">
        <v>14</v>
      </c>
      <c r="I1797" s="4" t="n">
        <f aca="false">D1797*F1797</f>
        <v>13.12</v>
      </c>
      <c r="J1797" s="3" t="n">
        <f aca="false">IF(AND(LEFT(A1797,1)&lt;&gt;"C",D1797&gt;0,F1797&gt;0),1,0)</f>
        <v>1</v>
      </c>
      <c r="K1797" s="3" t="n">
        <f aca="false">IF(AND(H1797="United Kingdom",G1797&lt;&gt;"",COUNTIFS($G$2:G1797,G1797,$H$2:H1797,"United Kingdom")=1),1,0)</f>
        <v>0</v>
      </c>
    </row>
    <row r="1798" customFormat="false" ht="15" hidden="false" customHeight="false" outlineLevel="0" collapsed="false">
      <c r="A1798" s="0" t="s">
        <v>413</v>
      </c>
      <c r="B1798" s="0" t="s">
        <v>34</v>
      </c>
      <c r="C1798" s="0" t="s">
        <v>35</v>
      </c>
      <c r="D1798" s="0" t="n">
        <v>12</v>
      </c>
      <c r="E1798" s="2" t="n">
        <v>40720.7631944444</v>
      </c>
      <c r="F1798" s="0" t="n">
        <v>2.38</v>
      </c>
      <c r="G1798" s="0" t="n">
        <v>14318</v>
      </c>
      <c r="H1798" s="3" t="s">
        <v>14</v>
      </c>
      <c r="I1798" s="4" t="n">
        <f aca="false">D1798*F1798</f>
        <v>28.56</v>
      </c>
      <c r="J1798" s="3" t="n">
        <f aca="false">IF(AND(LEFT(A1798,1)&lt;&gt;"C",D1798&gt;0,F1798&gt;0),1,0)</f>
        <v>1</v>
      </c>
      <c r="K1798" s="3" t="n">
        <f aca="false">IF(AND(H1798="United Kingdom",G1798&lt;&gt;"",COUNTIFS($G$2:G1798,G1798,$H$2:H1798,"United Kingdom")=1),1,0)</f>
        <v>0</v>
      </c>
    </row>
    <row r="1799" customFormat="false" ht="15" hidden="false" customHeight="false" outlineLevel="0" collapsed="false">
      <c r="A1799" s="0" t="s">
        <v>413</v>
      </c>
      <c r="B1799" s="0" t="s">
        <v>15</v>
      </c>
      <c r="C1799" s="0" t="s">
        <v>16</v>
      </c>
      <c r="D1799" s="0" t="n">
        <v>1</v>
      </c>
      <c r="E1799" s="2" t="n">
        <v>40720.7631944444</v>
      </c>
      <c r="F1799" s="0" t="n">
        <v>3.18</v>
      </c>
      <c r="G1799" s="0" t="n">
        <v>14318</v>
      </c>
      <c r="H1799" s="3" t="s">
        <v>14</v>
      </c>
      <c r="I1799" s="4" t="n">
        <f aca="false">D1799*F1799</f>
        <v>3.18</v>
      </c>
      <c r="J1799" s="3" t="n">
        <f aca="false">IF(AND(LEFT(A1799,1)&lt;&gt;"C",D1799&gt;0,F1799&gt;0),1,0)</f>
        <v>1</v>
      </c>
      <c r="K1799" s="3" t="n">
        <f aca="false">IF(AND(H1799="United Kingdom",G1799&lt;&gt;"",COUNTIFS($G$2:G1799,G1799,$H$2:H1799,"United Kingdom")=1),1,0)</f>
        <v>0</v>
      </c>
    </row>
    <row r="1800" customFormat="false" ht="15" hidden="false" customHeight="false" outlineLevel="0" collapsed="false">
      <c r="A1800" s="0" t="s">
        <v>413</v>
      </c>
      <c r="B1800" s="0" t="s">
        <v>54</v>
      </c>
      <c r="C1800" s="0" t="s">
        <v>55</v>
      </c>
      <c r="D1800" s="0" t="n">
        <v>2</v>
      </c>
      <c r="E1800" s="2" t="n">
        <v>40720.7631944444</v>
      </c>
      <c r="F1800" s="0" t="n">
        <v>0.99</v>
      </c>
      <c r="G1800" s="0" t="n">
        <v>14318</v>
      </c>
      <c r="H1800" s="3" t="s">
        <v>14</v>
      </c>
      <c r="I1800" s="4" t="n">
        <f aca="false">D1800*F1800</f>
        <v>1.98</v>
      </c>
      <c r="J1800" s="3" t="n">
        <f aca="false">IF(AND(LEFT(A1800,1)&lt;&gt;"C",D1800&gt;0,F1800&gt;0),1,0)</f>
        <v>1</v>
      </c>
      <c r="K1800" s="3" t="n">
        <f aca="false">IF(AND(H1800="United Kingdom",G1800&lt;&gt;"",COUNTIFS($G$2:G1800,G1800,$H$2:H1800,"United Kingdom")=1),1,0)</f>
        <v>0</v>
      </c>
    </row>
    <row r="1801" customFormat="false" ht="15" hidden="false" customHeight="false" outlineLevel="0" collapsed="false">
      <c r="A1801" s="0" t="s">
        <v>414</v>
      </c>
      <c r="B1801" s="0" t="s">
        <v>17</v>
      </c>
      <c r="C1801" s="0" t="s">
        <v>18</v>
      </c>
      <c r="D1801" s="0" t="n">
        <v>4</v>
      </c>
      <c r="E1801" s="2" t="n">
        <v>40721.61875</v>
      </c>
      <c r="F1801" s="0" t="n">
        <v>1.92</v>
      </c>
      <c r="G1801" s="0" t="n">
        <v>17669</v>
      </c>
      <c r="H1801" s="3" t="s">
        <v>14</v>
      </c>
      <c r="I1801" s="4" t="n">
        <f aca="false">D1801*F1801</f>
        <v>7.68</v>
      </c>
      <c r="J1801" s="3" t="n">
        <f aca="false">IF(AND(LEFT(A1801,1)&lt;&gt;"C",D1801&gt;0,F1801&gt;0),1,0)</f>
        <v>1</v>
      </c>
      <c r="K1801" s="3" t="n">
        <f aca="false">IF(AND(H1801="United Kingdom",G1801&lt;&gt;"",COUNTIFS($G$2:G1801,G1801,$H$2:H1801,"United Kingdom")=1),1,0)</f>
        <v>0</v>
      </c>
    </row>
    <row r="1802" customFormat="false" ht="15" hidden="false" customHeight="false" outlineLevel="0" collapsed="false">
      <c r="A1802" s="0" t="s">
        <v>414</v>
      </c>
      <c r="B1802" s="0" t="s">
        <v>39</v>
      </c>
      <c r="C1802" s="0" t="s">
        <v>40</v>
      </c>
      <c r="D1802" s="0" t="n">
        <v>4</v>
      </c>
      <c r="E1802" s="2" t="n">
        <v>40721.61875</v>
      </c>
      <c r="F1802" s="0" t="n">
        <v>2.58</v>
      </c>
      <c r="G1802" s="0" t="n">
        <v>17669</v>
      </c>
      <c r="H1802" s="3" t="s">
        <v>14</v>
      </c>
      <c r="I1802" s="4" t="n">
        <f aca="false">D1802*F1802</f>
        <v>10.32</v>
      </c>
      <c r="J1802" s="3" t="n">
        <f aca="false">IF(AND(LEFT(A1802,1)&lt;&gt;"C",D1802&gt;0,F1802&gt;0),1,0)</f>
        <v>1</v>
      </c>
      <c r="K1802" s="3" t="n">
        <f aca="false">IF(AND(H1802="United Kingdom",G1802&lt;&gt;"",COUNTIFS($G$2:G1802,G1802,$H$2:H1802,"United Kingdom")=1),1,0)</f>
        <v>0</v>
      </c>
    </row>
    <row r="1803" customFormat="false" ht="15" hidden="false" customHeight="false" outlineLevel="0" collapsed="false">
      <c r="A1803" s="0" t="s">
        <v>414</v>
      </c>
      <c r="B1803" s="0" t="s">
        <v>52</v>
      </c>
      <c r="C1803" s="0" t="s">
        <v>53</v>
      </c>
      <c r="D1803" s="0" t="n">
        <v>16</v>
      </c>
      <c r="E1803" s="2" t="n">
        <v>40721.61875</v>
      </c>
      <c r="F1803" s="0" t="n">
        <v>4.16</v>
      </c>
      <c r="G1803" s="0" t="n">
        <v>17669</v>
      </c>
      <c r="H1803" s="3" t="s">
        <v>14</v>
      </c>
      <c r="I1803" s="4" t="n">
        <f aca="false">D1803*F1803</f>
        <v>66.56</v>
      </c>
      <c r="J1803" s="3" t="n">
        <f aca="false">IF(AND(LEFT(A1803,1)&lt;&gt;"C",D1803&gt;0,F1803&gt;0),1,0)</f>
        <v>1</v>
      </c>
      <c r="K1803" s="3" t="n">
        <f aca="false">IF(AND(H1803="United Kingdom",G1803&lt;&gt;"",COUNTIFS($G$2:G1803,G1803,$H$2:H1803,"United Kingdom")=1),1,0)</f>
        <v>0</v>
      </c>
    </row>
    <row r="1804" customFormat="false" ht="15" hidden="false" customHeight="false" outlineLevel="0" collapsed="false">
      <c r="A1804" s="0" t="s">
        <v>414</v>
      </c>
      <c r="B1804" s="0" t="s">
        <v>90</v>
      </c>
      <c r="C1804" s="0" t="s">
        <v>91</v>
      </c>
      <c r="D1804" s="0" t="n">
        <v>1</v>
      </c>
      <c r="E1804" s="2" t="n">
        <v>40721.61875</v>
      </c>
      <c r="F1804" s="0" t="n">
        <v>3.04</v>
      </c>
      <c r="G1804" s="0" t="n">
        <v>17669</v>
      </c>
      <c r="H1804" s="3" t="s">
        <v>14</v>
      </c>
      <c r="I1804" s="4" t="n">
        <f aca="false">D1804*F1804</f>
        <v>3.04</v>
      </c>
      <c r="J1804" s="3" t="n">
        <f aca="false">IF(AND(LEFT(A1804,1)&lt;&gt;"C",D1804&gt;0,F1804&gt;0),1,0)</f>
        <v>1</v>
      </c>
      <c r="K1804" s="3" t="n">
        <f aca="false">IF(AND(H1804="United Kingdom",G1804&lt;&gt;"",COUNTIFS($G$2:G1804,G1804,$H$2:H1804,"United Kingdom")=1),1,0)</f>
        <v>0</v>
      </c>
    </row>
    <row r="1805" customFormat="false" ht="15" hidden="false" customHeight="false" outlineLevel="0" collapsed="false">
      <c r="A1805" s="0" t="s">
        <v>414</v>
      </c>
      <c r="B1805" s="0" t="s">
        <v>75</v>
      </c>
      <c r="C1805" s="0" t="s">
        <v>76</v>
      </c>
      <c r="D1805" s="0" t="n">
        <v>1</v>
      </c>
      <c r="E1805" s="2" t="n">
        <v>40721.61875</v>
      </c>
      <c r="F1805" s="0" t="n">
        <v>1.97</v>
      </c>
      <c r="G1805" s="0" t="n">
        <v>17669</v>
      </c>
      <c r="H1805" s="3" t="s">
        <v>14</v>
      </c>
      <c r="I1805" s="4" t="n">
        <f aca="false">D1805*F1805</f>
        <v>1.97</v>
      </c>
      <c r="J1805" s="3" t="n">
        <f aca="false">IF(AND(LEFT(A1805,1)&lt;&gt;"C",D1805&gt;0,F1805&gt;0),1,0)</f>
        <v>1</v>
      </c>
      <c r="K1805" s="3" t="n">
        <f aca="false">IF(AND(H1805="United Kingdom",G1805&lt;&gt;"",COUNTIFS($G$2:G1805,G1805,$H$2:H1805,"United Kingdom")=1),1,0)</f>
        <v>0</v>
      </c>
    </row>
    <row r="1806" customFormat="false" ht="15" hidden="false" customHeight="false" outlineLevel="0" collapsed="false">
      <c r="A1806" s="0" t="s">
        <v>414</v>
      </c>
      <c r="B1806" s="0" t="s">
        <v>25</v>
      </c>
      <c r="C1806" s="0" t="s">
        <v>26</v>
      </c>
      <c r="D1806" s="0" t="n">
        <v>1</v>
      </c>
      <c r="E1806" s="2" t="n">
        <v>40721.61875</v>
      </c>
      <c r="F1806" s="0" t="n">
        <v>2.21</v>
      </c>
      <c r="G1806" s="0" t="n">
        <v>17669</v>
      </c>
      <c r="H1806" s="3" t="s">
        <v>14</v>
      </c>
      <c r="I1806" s="4" t="n">
        <f aca="false">D1806*F1806</f>
        <v>2.21</v>
      </c>
      <c r="J1806" s="3" t="n">
        <f aca="false">IF(AND(LEFT(A1806,1)&lt;&gt;"C",D1806&gt;0,F1806&gt;0),1,0)</f>
        <v>1</v>
      </c>
      <c r="K1806" s="3" t="n">
        <f aca="false">IF(AND(H1806="United Kingdom",G1806&lt;&gt;"",COUNTIFS($G$2:G1806,G1806,$H$2:H1806,"United Kingdom")=1),1,0)</f>
        <v>0</v>
      </c>
    </row>
    <row r="1807" customFormat="false" ht="15" hidden="false" customHeight="false" outlineLevel="0" collapsed="false">
      <c r="A1807" s="0" t="s">
        <v>414</v>
      </c>
      <c r="B1807" s="0" t="s">
        <v>58</v>
      </c>
      <c r="C1807" s="0" t="s">
        <v>59</v>
      </c>
      <c r="D1807" s="0" t="n">
        <v>12</v>
      </c>
      <c r="E1807" s="2" t="n">
        <v>40721.61875</v>
      </c>
      <c r="F1807" s="0" t="n">
        <v>2.16</v>
      </c>
      <c r="G1807" s="0" t="n">
        <v>17669</v>
      </c>
      <c r="H1807" s="3" t="s">
        <v>14</v>
      </c>
      <c r="I1807" s="4" t="n">
        <f aca="false">D1807*F1807</f>
        <v>25.92</v>
      </c>
      <c r="J1807" s="3" t="n">
        <f aca="false">IF(AND(LEFT(A1807,1)&lt;&gt;"C",D1807&gt;0,F1807&gt;0),1,0)</f>
        <v>1</v>
      </c>
      <c r="K1807" s="3" t="n">
        <f aca="false">IF(AND(H1807="United Kingdom",G1807&lt;&gt;"",COUNTIFS($G$2:G1807,G1807,$H$2:H1807,"United Kingdom")=1),1,0)</f>
        <v>0</v>
      </c>
    </row>
    <row r="1808" customFormat="false" ht="15" hidden="false" customHeight="false" outlineLevel="0" collapsed="false">
      <c r="A1808" s="0" t="s">
        <v>415</v>
      </c>
      <c r="B1808" s="0" t="s">
        <v>72</v>
      </c>
      <c r="C1808" s="0" t="s">
        <v>73</v>
      </c>
      <c r="D1808" s="0" t="n">
        <v>2</v>
      </c>
      <c r="E1808" s="2" t="n">
        <v>40722.4166666667</v>
      </c>
      <c r="F1808" s="0" t="n">
        <v>2.69</v>
      </c>
      <c r="G1808" s="0" t="n">
        <v>14600</v>
      </c>
      <c r="H1808" s="3" t="s">
        <v>120</v>
      </c>
      <c r="I1808" s="4" t="n">
        <f aca="false">D1808*F1808</f>
        <v>5.38</v>
      </c>
      <c r="J1808" s="3" t="n">
        <f aca="false">IF(AND(LEFT(A1808,1)&lt;&gt;"C",D1808&gt;0,F1808&gt;0),1,0)</f>
        <v>1</v>
      </c>
      <c r="K1808" s="3" t="n">
        <f aca="false">IF(AND(H1808="United Kingdom",G1808&lt;&gt;"",COUNTIFS($G$2:G1808,G1808,$H$2:H1808,"United Kingdom")=1),1,0)</f>
        <v>0</v>
      </c>
    </row>
    <row r="1809" customFormat="false" ht="15" hidden="false" customHeight="false" outlineLevel="0" collapsed="false">
      <c r="A1809" s="0" t="s">
        <v>415</v>
      </c>
      <c r="B1809" s="0" t="s">
        <v>52</v>
      </c>
      <c r="C1809" s="0" t="s">
        <v>53</v>
      </c>
      <c r="D1809" s="0" t="n">
        <v>7</v>
      </c>
      <c r="E1809" s="2" t="n">
        <v>40722.4166666667</v>
      </c>
      <c r="F1809" s="0" t="n">
        <v>4.16</v>
      </c>
      <c r="G1809" s="0" t="n">
        <v>14600</v>
      </c>
      <c r="H1809" s="3" t="s">
        <v>120</v>
      </c>
      <c r="I1809" s="4" t="n">
        <f aca="false">D1809*F1809</f>
        <v>29.12</v>
      </c>
      <c r="J1809" s="3" t="n">
        <f aca="false">IF(AND(LEFT(A1809,1)&lt;&gt;"C",D1809&gt;0,F1809&gt;0),1,0)</f>
        <v>1</v>
      </c>
      <c r="K1809" s="3" t="n">
        <f aca="false">IF(AND(H1809="United Kingdom",G1809&lt;&gt;"",COUNTIFS($G$2:G1809,G1809,$H$2:H1809,"United Kingdom")=1),1,0)</f>
        <v>0</v>
      </c>
    </row>
    <row r="1810" customFormat="false" ht="15" hidden="false" customHeight="false" outlineLevel="0" collapsed="false">
      <c r="A1810" s="0" t="s">
        <v>415</v>
      </c>
      <c r="B1810" s="0" t="s">
        <v>22</v>
      </c>
      <c r="C1810" s="0" t="s">
        <v>23</v>
      </c>
      <c r="D1810" s="0" t="n">
        <v>1</v>
      </c>
      <c r="E1810" s="2" t="n">
        <v>40722.4166666667</v>
      </c>
      <c r="F1810" s="0" t="n">
        <v>3.18</v>
      </c>
      <c r="G1810" s="0" t="n">
        <v>14600</v>
      </c>
      <c r="H1810" s="3" t="s">
        <v>120</v>
      </c>
      <c r="I1810" s="4" t="n">
        <f aca="false">D1810*F1810</f>
        <v>3.18</v>
      </c>
      <c r="J1810" s="3" t="n">
        <f aca="false">IF(AND(LEFT(A1810,1)&lt;&gt;"C",D1810&gt;0,F1810&gt;0),1,0)</f>
        <v>1</v>
      </c>
      <c r="K1810" s="3" t="n">
        <f aca="false">IF(AND(H1810="United Kingdom",G1810&lt;&gt;"",COUNTIFS($G$2:G1810,G1810,$H$2:H1810,"United Kingdom")=1),1,0)</f>
        <v>0</v>
      </c>
    </row>
    <row r="1811" customFormat="false" ht="15" hidden="false" customHeight="false" outlineLevel="0" collapsed="false">
      <c r="A1811" s="0" t="s">
        <v>416</v>
      </c>
      <c r="B1811" s="0" t="s">
        <v>20</v>
      </c>
      <c r="C1811" s="0" t="s">
        <v>21</v>
      </c>
      <c r="D1811" s="0" t="n">
        <v>12</v>
      </c>
      <c r="E1811" s="2" t="n">
        <v>40723.3368055556</v>
      </c>
      <c r="F1811" s="0" t="n">
        <v>4.24</v>
      </c>
      <c r="G1811" s="0" t="n">
        <v>14880</v>
      </c>
      <c r="H1811" s="3" t="s">
        <v>14</v>
      </c>
      <c r="I1811" s="4" t="n">
        <f aca="false">D1811*F1811</f>
        <v>50.88</v>
      </c>
      <c r="J1811" s="3" t="n">
        <f aca="false">IF(AND(LEFT(A1811,1)&lt;&gt;"C",D1811&gt;0,F1811&gt;0),1,0)</f>
        <v>1</v>
      </c>
      <c r="K1811" s="3" t="n">
        <f aca="false">IF(AND(H1811="United Kingdom",G1811&lt;&gt;"",COUNTIFS($G$2:G1811,G1811,$H$2:H1811,"United Kingdom")=1),1,0)</f>
        <v>0</v>
      </c>
    </row>
    <row r="1812" customFormat="false" ht="15" hidden="false" customHeight="false" outlineLevel="0" collapsed="false">
      <c r="A1812" s="0" t="s">
        <v>417</v>
      </c>
      <c r="B1812" s="0" t="s">
        <v>15</v>
      </c>
      <c r="C1812" s="0" t="s">
        <v>16</v>
      </c>
      <c r="D1812" s="0" t="n">
        <v>9</v>
      </c>
      <c r="E1812" s="2" t="n">
        <v>40723.5159722222</v>
      </c>
      <c r="F1812" s="0" t="n">
        <v>3.18</v>
      </c>
      <c r="G1812" s="0" t="n">
        <v>17364</v>
      </c>
      <c r="H1812" s="3" t="s">
        <v>57</v>
      </c>
      <c r="I1812" s="4" t="n">
        <f aca="false">D1812*F1812</f>
        <v>28.62</v>
      </c>
      <c r="J1812" s="3" t="n">
        <f aca="false">IF(AND(LEFT(A1812,1)&lt;&gt;"C",D1812&gt;0,F1812&gt;0),1,0)</f>
        <v>1</v>
      </c>
      <c r="K1812" s="3" t="n">
        <f aca="false">IF(AND(H1812="United Kingdom",G1812&lt;&gt;"",COUNTIFS($G$2:G1812,G1812,$H$2:H1812,"United Kingdom")=1),1,0)</f>
        <v>0</v>
      </c>
    </row>
    <row r="1813" customFormat="false" ht="15" hidden="false" customHeight="false" outlineLevel="0" collapsed="false">
      <c r="A1813" s="0" t="s">
        <v>417</v>
      </c>
      <c r="B1813" s="0" t="s">
        <v>45</v>
      </c>
      <c r="C1813" s="0" t="s">
        <v>46</v>
      </c>
      <c r="D1813" s="0" t="n">
        <v>19</v>
      </c>
      <c r="E1813" s="2" t="n">
        <v>40723.5159722222</v>
      </c>
      <c r="F1813" s="0" t="n">
        <v>4.55</v>
      </c>
      <c r="G1813" s="0" t="n">
        <v>17364</v>
      </c>
      <c r="H1813" s="3" t="s">
        <v>57</v>
      </c>
      <c r="I1813" s="4" t="n">
        <f aca="false">D1813*F1813</f>
        <v>86.45</v>
      </c>
      <c r="J1813" s="3" t="n">
        <f aca="false">IF(AND(LEFT(A1813,1)&lt;&gt;"C",D1813&gt;0,F1813&gt;0),1,0)</f>
        <v>1</v>
      </c>
      <c r="K1813" s="3" t="n">
        <f aca="false">IF(AND(H1813="United Kingdom",G1813&lt;&gt;"",COUNTIFS($G$2:G1813,G1813,$H$2:H1813,"United Kingdom")=1),1,0)</f>
        <v>0</v>
      </c>
    </row>
    <row r="1814" customFormat="false" ht="15" hidden="false" customHeight="false" outlineLevel="0" collapsed="false">
      <c r="A1814" s="0" t="s">
        <v>417</v>
      </c>
      <c r="B1814" s="0" t="s">
        <v>75</v>
      </c>
      <c r="C1814" s="0" t="s">
        <v>76</v>
      </c>
      <c r="D1814" s="0" t="n">
        <v>3</v>
      </c>
      <c r="E1814" s="2" t="n">
        <v>40723.5159722222</v>
      </c>
      <c r="F1814" s="0" t="n">
        <v>1.97</v>
      </c>
      <c r="G1814" s="0" t="n">
        <v>17364</v>
      </c>
      <c r="H1814" s="3" t="s">
        <v>57</v>
      </c>
      <c r="I1814" s="4" t="n">
        <f aca="false">D1814*F1814</f>
        <v>5.91</v>
      </c>
      <c r="J1814" s="3" t="n">
        <f aca="false">IF(AND(LEFT(A1814,1)&lt;&gt;"C",D1814&gt;0,F1814&gt;0),1,0)</f>
        <v>1</v>
      </c>
      <c r="K1814" s="3" t="n">
        <f aca="false">IF(AND(H1814="United Kingdom",G1814&lt;&gt;"",COUNTIFS($G$2:G1814,G1814,$H$2:H1814,"United Kingdom")=1),1,0)</f>
        <v>0</v>
      </c>
    </row>
    <row r="1815" customFormat="false" ht="15" hidden="false" customHeight="false" outlineLevel="0" collapsed="false">
      <c r="A1815" s="0" t="s">
        <v>418</v>
      </c>
      <c r="B1815" s="0" t="s">
        <v>58</v>
      </c>
      <c r="C1815" s="0" t="s">
        <v>59</v>
      </c>
      <c r="D1815" s="0" t="n">
        <v>16</v>
      </c>
      <c r="E1815" s="2" t="n">
        <v>40724.3527777778</v>
      </c>
      <c r="F1815" s="0" t="n">
        <v>2.16</v>
      </c>
      <c r="G1815" s="0" t="n">
        <v>15884</v>
      </c>
      <c r="H1815" s="3" t="s">
        <v>14</v>
      </c>
      <c r="I1815" s="4" t="n">
        <f aca="false">D1815*F1815</f>
        <v>34.56</v>
      </c>
      <c r="J1815" s="3" t="n">
        <f aca="false">IF(AND(LEFT(A1815,1)&lt;&gt;"C",D1815&gt;0,F1815&gt;0),1,0)</f>
        <v>1</v>
      </c>
      <c r="K1815" s="3" t="n">
        <f aca="false">IF(AND(H1815="United Kingdom",G1815&lt;&gt;"",COUNTIFS($G$2:G1815,G1815,$H$2:H1815,"United Kingdom")=1),1,0)</f>
        <v>1</v>
      </c>
    </row>
    <row r="1816" customFormat="false" ht="15" hidden="false" customHeight="false" outlineLevel="0" collapsed="false">
      <c r="A1816" s="0" t="s">
        <v>418</v>
      </c>
      <c r="B1816" s="0" t="s">
        <v>22</v>
      </c>
      <c r="C1816" s="0" t="s">
        <v>23</v>
      </c>
      <c r="D1816" s="0" t="n">
        <v>2</v>
      </c>
      <c r="E1816" s="2" t="n">
        <v>40724.3527777778</v>
      </c>
      <c r="F1816" s="0" t="n">
        <v>3.18</v>
      </c>
      <c r="G1816" s="0" t="n">
        <v>15884</v>
      </c>
      <c r="H1816" s="3" t="s">
        <v>14</v>
      </c>
      <c r="I1816" s="4" t="n">
        <f aca="false">D1816*F1816</f>
        <v>6.36</v>
      </c>
      <c r="J1816" s="3" t="n">
        <f aca="false">IF(AND(LEFT(A1816,1)&lt;&gt;"C",D1816&gt;0,F1816&gt;0),1,0)</f>
        <v>1</v>
      </c>
      <c r="K1816" s="3" t="n">
        <f aca="false">IF(AND(H1816="United Kingdom",G1816&lt;&gt;"",COUNTIFS($G$2:G1816,G1816,$H$2:H1816,"United Kingdom")=1),1,0)</f>
        <v>0</v>
      </c>
    </row>
    <row r="1817" customFormat="false" ht="15" hidden="false" customHeight="false" outlineLevel="0" collapsed="false">
      <c r="A1817" s="0" t="s">
        <v>419</v>
      </c>
      <c r="B1817" s="0" t="s">
        <v>32</v>
      </c>
      <c r="C1817" s="0" t="s">
        <v>33</v>
      </c>
      <c r="D1817" s="0" t="n">
        <v>2</v>
      </c>
      <c r="E1817" s="2" t="n">
        <v>40724.5013888889</v>
      </c>
      <c r="F1817" s="0" t="n">
        <v>1.19</v>
      </c>
      <c r="G1817" s="0" t="n">
        <v>12480</v>
      </c>
      <c r="H1817" s="3" t="s">
        <v>14</v>
      </c>
      <c r="I1817" s="4" t="n">
        <f aca="false">D1817*F1817</f>
        <v>2.38</v>
      </c>
      <c r="J1817" s="3" t="n">
        <f aca="false">IF(AND(LEFT(A1817,1)&lt;&gt;"C",D1817&gt;0,F1817&gt;0),1,0)</f>
        <v>1</v>
      </c>
      <c r="K1817" s="3" t="n">
        <f aca="false">IF(AND(H1817="United Kingdom",G1817&lt;&gt;"",COUNTIFS($G$2:G1817,G1817,$H$2:H1817,"United Kingdom")=1),1,0)</f>
        <v>0</v>
      </c>
    </row>
    <row r="1818" customFormat="false" ht="15" hidden="false" customHeight="false" outlineLevel="0" collapsed="false">
      <c r="A1818" s="0" t="s">
        <v>420</v>
      </c>
      <c r="B1818" s="0" t="s">
        <v>113</v>
      </c>
      <c r="C1818" s="0" t="s">
        <v>114</v>
      </c>
      <c r="D1818" s="0" t="n">
        <v>3</v>
      </c>
      <c r="E1818" s="2" t="n">
        <v>40724.5604166667</v>
      </c>
      <c r="F1818" s="0" t="n">
        <v>3.57</v>
      </c>
      <c r="G1818" s="0" t="n">
        <v>12549</v>
      </c>
      <c r="H1818" s="3" t="s">
        <v>14</v>
      </c>
      <c r="I1818" s="4" t="n">
        <f aca="false">D1818*F1818</f>
        <v>10.71</v>
      </c>
      <c r="J1818" s="3" t="n">
        <f aca="false">IF(AND(LEFT(A1818,1)&lt;&gt;"C",D1818&gt;0,F1818&gt;0),1,0)</f>
        <v>1</v>
      </c>
      <c r="K1818" s="3" t="n">
        <f aca="false">IF(AND(H1818="United Kingdom",G1818&lt;&gt;"",COUNTIFS($G$2:G1818,G1818,$H$2:H1818,"United Kingdom")=1),1,0)</f>
        <v>0</v>
      </c>
    </row>
    <row r="1819" customFormat="false" ht="15" hidden="false" customHeight="false" outlineLevel="0" collapsed="false">
      <c r="A1819" s="0" t="s">
        <v>420</v>
      </c>
      <c r="B1819" s="0" t="s">
        <v>25</v>
      </c>
      <c r="C1819" s="0" t="s">
        <v>26</v>
      </c>
      <c r="D1819" s="0" t="n">
        <v>8</v>
      </c>
      <c r="E1819" s="2" t="n">
        <v>40724.5604166667</v>
      </c>
      <c r="F1819" s="0" t="n">
        <v>2.21</v>
      </c>
      <c r="G1819" s="0" t="n">
        <v>12549</v>
      </c>
      <c r="H1819" s="3" t="s">
        <v>14</v>
      </c>
      <c r="I1819" s="4" t="n">
        <f aca="false">D1819*F1819</f>
        <v>17.68</v>
      </c>
      <c r="J1819" s="3" t="n">
        <f aca="false">IF(AND(LEFT(A1819,1)&lt;&gt;"C",D1819&gt;0,F1819&gt;0),1,0)</f>
        <v>1</v>
      </c>
      <c r="K1819" s="3" t="n">
        <f aca="false">IF(AND(H1819="United Kingdom",G1819&lt;&gt;"",COUNTIFS($G$2:G1819,G1819,$H$2:H1819,"United Kingdom")=1),1,0)</f>
        <v>0</v>
      </c>
    </row>
    <row r="1820" customFormat="false" ht="15" hidden="false" customHeight="false" outlineLevel="0" collapsed="false">
      <c r="A1820" s="0" t="s">
        <v>420</v>
      </c>
      <c r="B1820" s="0" t="s">
        <v>65</v>
      </c>
      <c r="C1820" s="0" t="s">
        <v>66</v>
      </c>
      <c r="D1820" s="0" t="n">
        <v>24</v>
      </c>
      <c r="E1820" s="2" t="n">
        <v>40724.5604166667</v>
      </c>
      <c r="F1820" s="0" t="n">
        <v>4.75</v>
      </c>
      <c r="G1820" s="0" t="n">
        <v>12549</v>
      </c>
      <c r="H1820" s="3" t="s">
        <v>14</v>
      </c>
      <c r="I1820" s="4" t="n">
        <f aca="false">D1820*F1820</f>
        <v>114</v>
      </c>
      <c r="J1820" s="3" t="n">
        <f aca="false">IF(AND(LEFT(A1820,1)&lt;&gt;"C",D1820&gt;0,F1820&gt;0),1,0)</f>
        <v>1</v>
      </c>
      <c r="K1820" s="3" t="n">
        <f aca="false">IF(AND(H1820="United Kingdom",G1820&lt;&gt;"",COUNTIFS($G$2:G1820,G1820,$H$2:H1820,"United Kingdom")=1),1,0)</f>
        <v>0</v>
      </c>
    </row>
    <row r="1821" customFormat="false" ht="15" hidden="false" customHeight="false" outlineLevel="0" collapsed="false">
      <c r="A1821" s="0" t="s">
        <v>420</v>
      </c>
      <c r="B1821" s="0" t="s">
        <v>15</v>
      </c>
      <c r="C1821" s="0" t="s">
        <v>16</v>
      </c>
      <c r="D1821" s="0" t="n">
        <v>2</v>
      </c>
      <c r="E1821" s="2" t="n">
        <v>40724.5604166667</v>
      </c>
      <c r="F1821" s="0" t="n">
        <v>3.18</v>
      </c>
      <c r="G1821" s="0" t="n">
        <v>12549</v>
      </c>
      <c r="H1821" s="3" t="s">
        <v>14</v>
      </c>
      <c r="I1821" s="4" t="n">
        <f aca="false">D1821*F1821</f>
        <v>6.36</v>
      </c>
      <c r="J1821" s="3" t="n">
        <f aca="false">IF(AND(LEFT(A1821,1)&lt;&gt;"C",D1821&gt;0,F1821&gt;0),1,0)</f>
        <v>1</v>
      </c>
      <c r="K1821" s="3" t="n">
        <f aca="false">IF(AND(H1821="United Kingdom",G1821&lt;&gt;"",COUNTIFS($G$2:G1821,G1821,$H$2:H1821,"United Kingdom")=1),1,0)</f>
        <v>0</v>
      </c>
    </row>
    <row r="1822" customFormat="false" ht="15" hidden="false" customHeight="false" outlineLevel="0" collapsed="false">
      <c r="A1822" s="0" t="s">
        <v>421</v>
      </c>
      <c r="B1822" s="0" t="s">
        <v>45</v>
      </c>
      <c r="C1822" s="0" t="s">
        <v>46</v>
      </c>
      <c r="D1822" s="0" t="n">
        <v>4</v>
      </c>
      <c r="E1822" s="2" t="n">
        <v>40725.4</v>
      </c>
      <c r="F1822" s="0" t="n">
        <v>4.55</v>
      </c>
      <c r="G1822" s="0" t="n">
        <v>16177</v>
      </c>
      <c r="H1822" s="3" t="s">
        <v>14</v>
      </c>
      <c r="I1822" s="4" t="n">
        <f aca="false">D1822*F1822</f>
        <v>18.2</v>
      </c>
      <c r="J1822" s="3" t="n">
        <f aca="false">IF(AND(LEFT(A1822,1)&lt;&gt;"C",D1822&gt;0,F1822&gt;0),1,0)</f>
        <v>1</v>
      </c>
      <c r="K1822" s="3" t="n">
        <f aca="false">IF(AND(H1822="United Kingdom",G1822&lt;&gt;"",COUNTIFS($G$2:G1822,G1822,$H$2:H1822,"United Kingdom")=1),1,0)</f>
        <v>0</v>
      </c>
    </row>
    <row r="1823" customFormat="false" ht="15" hidden="false" customHeight="false" outlineLevel="0" collapsed="false">
      <c r="A1823" s="0" t="s">
        <v>421</v>
      </c>
      <c r="B1823" s="0" t="s">
        <v>17</v>
      </c>
      <c r="C1823" s="0" t="s">
        <v>18</v>
      </c>
      <c r="D1823" s="0" t="n">
        <v>3</v>
      </c>
      <c r="E1823" s="2" t="n">
        <v>40725.4</v>
      </c>
      <c r="F1823" s="0" t="n">
        <v>1.92</v>
      </c>
      <c r="G1823" s="0" t="n">
        <v>16177</v>
      </c>
      <c r="H1823" s="3" t="s">
        <v>14</v>
      </c>
      <c r="I1823" s="4" t="n">
        <f aca="false">D1823*F1823</f>
        <v>5.76</v>
      </c>
      <c r="J1823" s="3" t="n">
        <f aca="false">IF(AND(LEFT(A1823,1)&lt;&gt;"C",D1823&gt;0,F1823&gt;0),1,0)</f>
        <v>1</v>
      </c>
      <c r="K1823" s="3" t="n">
        <f aca="false">IF(AND(H1823="United Kingdom",G1823&lt;&gt;"",COUNTIFS($G$2:G1823,G1823,$H$2:H1823,"United Kingdom")=1),1,0)</f>
        <v>0</v>
      </c>
    </row>
    <row r="1824" customFormat="false" ht="15" hidden="false" customHeight="false" outlineLevel="0" collapsed="false">
      <c r="A1824" s="0" t="s">
        <v>421</v>
      </c>
      <c r="B1824" s="0" t="s">
        <v>25</v>
      </c>
      <c r="C1824" s="0" t="s">
        <v>26</v>
      </c>
      <c r="D1824" s="0" t="n">
        <v>4</v>
      </c>
      <c r="E1824" s="2" t="n">
        <v>40725.4</v>
      </c>
      <c r="F1824" s="0" t="n">
        <v>2.21</v>
      </c>
      <c r="G1824" s="0" t="n">
        <v>16177</v>
      </c>
      <c r="H1824" s="3" t="s">
        <v>14</v>
      </c>
      <c r="I1824" s="4" t="n">
        <f aca="false">D1824*F1824</f>
        <v>8.84</v>
      </c>
      <c r="J1824" s="3" t="n">
        <f aca="false">IF(AND(LEFT(A1824,1)&lt;&gt;"C",D1824&gt;0,F1824&gt;0),1,0)</f>
        <v>1</v>
      </c>
      <c r="K1824" s="3" t="n">
        <f aca="false">IF(AND(H1824="United Kingdom",G1824&lt;&gt;"",COUNTIFS($G$2:G1824,G1824,$H$2:H1824,"United Kingdom")=1),1,0)</f>
        <v>0</v>
      </c>
    </row>
    <row r="1825" customFormat="false" ht="15" hidden="false" customHeight="false" outlineLevel="0" collapsed="false">
      <c r="A1825" s="0" t="s">
        <v>421</v>
      </c>
      <c r="B1825" s="0" t="s">
        <v>32</v>
      </c>
      <c r="C1825" s="0" t="s">
        <v>33</v>
      </c>
      <c r="D1825" s="0" t="n">
        <v>2</v>
      </c>
      <c r="E1825" s="2" t="n">
        <v>40725.4</v>
      </c>
      <c r="F1825" s="0" t="n">
        <v>1.19</v>
      </c>
      <c r="G1825" s="0" t="n">
        <v>16177</v>
      </c>
      <c r="H1825" s="3" t="s">
        <v>14</v>
      </c>
      <c r="I1825" s="4" t="n">
        <f aca="false">D1825*F1825</f>
        <v>2.38</v>
      </c>
      <c r="J1825" s="3" t="n">
        <f aca="false">IF(AND(LEFT(A1825,1)&lt;&gt;"C",D1825&gt;0,F1825&gt;0),1,0)</f>
        <v>1</v>
      </c>
      <c r="K1825" s="3" t="n">
        <f aca="false">IF(AND(H1825="United Kingdom",G1825&lt;&gt;"",COUNTIFS($G$2:G1825,G1825,$H$2:H1825,"United Kingdom")=1),1,0)</f>
        <v>0</v>
      </c>
    </row>
    <row r="1826" customFormat="false" ht="15" hidden="false" customHeight="false" outlineLevel="0" collapsed="false">
      <c r="A1826" s="0" t="s">
        <v>421</v>
      </c>
      <c r="B1826" s="0" t="s">
        <v>34</v>
      </c>
      <c r="C1826" s="0" t="s">
        <v>35</v>
      </c>
      <c r="D1826" s="0" t="n">
        <v>8</v>
      </c>
      <c r="E1826" s="2" t="n">
        <v>40725.4</v>
      </c>
      <c r="F1826" s="0" t="n">
        <v>2.38</v>
      </c>
      <c r="G1826" s="0" t="n">
        <v>16177</v>
      </c>
      <c r="H1826" s="3" t="s">
        <v>14</v>
      </c>
      <c r="I1826" s="4" t="n">
        <f aca="false">D1826*F1826</f>
        <v>19.04</v>
      </c>
      <c r="J1826" s="3" t="n">
        <f aca="false">IF(AND(LEFT(A1826,1)&lt;&gt;"C",D1826&gt;0,F1826&gt;0),1,0)</f>
        <v>1</v>
      </c>
      <c r="K1826" s="3" t="n">
        <f aca="false">IF(AND(H1826="United Kingdom",G1826&lt;&gt;"",COUNTIFS($G$2:G1826,G1826,$H$2:H1826,"United Kingdom")=1),1,0)</f>
        <v>0</v>
      </c>
    </row>
    <row r="1827" customFormat="false" ht="15" hidden="false" customHeight="false" outlineLevel="0" collapsed="false">
      <c r="A1827" s="0" t="s">
        <v>421</v>
      </c>
      <c r="B1827" s="0" t="s">
        <v>113</v>
      </c>
      <c r="C1827" s="0" t="s">
        <v>114</v>
      </c>
      <c r="D1827" s="0" t="n">
        <v>8</v>
      </c>
      <c r="E1827" s="2" t="n">
        <v>40725.4</v>
      </c>
      <c r="F1827" s="0" t="n">
        <v>3.57</v>
      </c>
      <c r="G1827" s="0" t="n">
        <v>16177</v>
      </c>
      <c r="H1827" s="3" t="s">
        <v>14</v>
      </c>
      <c r="I1827" s="4" t="n">
        <f aca="false">D1827*F1827</f>
        <v>28.56</v>
      </c>
      <c r="J1827" s="3" t="n">
        <f aca="false">IF(AND(LEFT(A1827,1)&lt;&gt;"C",D1827&gt;0,F1827&gt;0),1,0)</f>
        <v>1</v>
      </c>
      <c r="K1827" s="3" t="n">
        <f aca="false">IF(AND(H1827="United Kingdom",G1827&lt;&gt;"",COUNTIFS($G$2:G1827,G1827,$H$2:H1827,"United Kingdom")=1),1,0)</f>
        <v>0</v>
      </c>
    </row>
    <row r="1828" customFormat="false" ht="15" hidden="false" customHeight="false" outlineLevel="0" collapsed="false">
      <c r="A1828" s="0" t="s">
        <v>421</v>
      </c>
      <c r="B1828" s="0" t="s">
        <v>60</v>
      </c>
      <c r="C1828" s="0" t="s">
        <v>61</v>
      </c>
      <c r="D1828" s="0" t="n">
        <v>2</v>
      </c>
      <c r="E1828" s="2" t="n">
        <v>40725.4</v>
      </c>
      <c r="F1828" s="0" t="n">
        <v>0.63</v>
      </c>
      <c r="G1828" s="0" t="n">
        <v>16177</v>
      </c>
      <c r="H1828" s="3" t="s">
        <v>14</v>
      </c>
      <c r="I1828" s="4" t="n">
        <f aca="false">D1828*F1828</f>
        <v>1.26</v>
      </c>
      <c r="J1828" s="3" t="n">
        <f aca="false">IF(AND(LEFT(A1828,1)&lt;&gt;"C",D1828&gt;0,F1828&gt;0),1,0)</f>
        <v>1</v>
      </c>
      <c r="K1828" s="3" t="n">
        <f aca="false">IF(AND(H1828="United Kingdom",G1828&lt;&gt;"",COUNTIFS($G$2:G1828,G1828,$H$2:H1828,"United Kingdom")=1),1,0)</f>
        <v>0</v>
      </c>
    </row>
    <row r="1829" customFormat="false" ht="15" hidden="false" customHeight="false" outlineLevel="0" collapsed="false">
      <c r="A1829" s="0" t="s">
        <v>422</v>
      </c>
      <c r="B1829" s="0" t="s">
        <v>22</v>
      </c>
      <c r="C1829" s="0" t="s">
        <v>23</v>
      </c>
      <c r="D1829" s="0" t="n">
        <v>4</v>
      </c>
      <c r="E1829" s="2" t="n">
        <v>40725.7319444444</v>
      </c>
      <c r="F1829" s="0" t="n">
        <v>3.18</v>
      </c>
      <c r="G1829" s="0" t="n">
        <v>16963</v>
      </c>
      <c r="H1829" s="3" t="s">
        <v>14</v>
      </c>
      <c r="I1829" s="4" t="n">
        <f aca="false">D1829*F1829</f>
        <v>12.72</v>
      </c>
      <c r="J1829" s="3" t="n">
        <f aca="false">IF(AND(LEFT(A1829,1)&lt;&gt;"C",D1829&gt;0,F1829&gt;0),1,0)</f>
        <v>1</v>
      </c>
      <c r="K1829" s="3" t="n">
        <f aca="false">IF(AND(H1829="United Kingdom",G1829&lt;&gt;"",COUNTIFS($G$2:G1829,G1829,$H$2:H1829,"United Kingdom")=1),1,0)</f>
        <v>0</v>
      </c>
    </row>
    <row r="1830" customFormat="false" ht="15" hidden="false" customHeight="false" outlineLevel="0" collapsed="false">
      <c r="A1830" s="0" t="s">
        <v>422</v>
      </c>
      <c r="B1830" s="0" t="s">
        <v>20</v>
      </c>
      <c r="C1830" s="0" t="s">
        <v>21</v>
      </c>
      <c r="D1830" s="0" t="n">
        <v>12</v>
      </c>
      <c r="E1830" s="2" t="n">
        <v>40725.7319444444</v>
      </c>
      <c r="F1830" s="0" t="n">
        <v>4.24</v>
      </c>
      <c r="G1830" s="0" t="n">
        <v>16963</v>
      </c>
      <c r="H1830" s="3" t="s">
        <v>14</v>
      </c>
      <c r="I1830" s="4" t="n">
        <f aca="false">D1830*F1830</f>
        <v>50.88</v>
      </c>
      <c r="J1830" s="3" t="n">
        <f aca="false">IF(AND(LEFT(A1830,1)&lt;&gt;"C",D1830&gt;0,F1830&gt;0),1,0)</f>
        <v>1</v>
      </c>
      <c r="K1830" s="3" t="n">
        <f aca="false">IF(AND(H1830="United Kingdom",G1830&lt;&gt;"",COUNTIFS($G$2:G1830,G1830,$H$2:H1830,"United Kingdom")=1),1,0)</f>
        <v>0</v>
      </c>
    </row>
    <row r="1831" customFormat="false" ht="15" hidden="false" customHeight="false" outlineLevel="0" collapsed="false">
      <c r="A1831" s="0" t="s">
        <v>423</v>
      </c>
      <c r="B1831" s="0" t="s">
        <v>90</v>
      </c>
      <c r="C1831" s="0" t="s">
        <v>91</v>
      </c>
      <c r="D1831" s="0" t="n">
        <v>6</v>
      </c>
      <c r="E1831" s="2" t="n">
        <v>40727.45</v>
      </c>
      <c r="F1831" s="0" t="n">
        <v>3.04</v>
      </c>
      <c r="G1831" s="0" t="n">
        <v>15321</v>
      </c>
      <c r="H1831" s="3" t="s">
        <v>124</v>
      </c>
      <c r="I1831" s="4" t="n">
        <f aca="false">D1831*F1831</f>
        <v>18.24</v>
      </c>
      <c r="J1831" s="3" t="n">
        <f aca="false">IF(AND(LEFT(A1831,1)&lt;&gt;"C",D1831&gt;0,F1831&gt;0),1,0)</f>
        <v>1</v>
      </c>
      <c r="K1831" s="3" t="n">
        <f aca="false">IF(AND(H1831="United Kingdom",G1831&lt;&gt;"",COUNTIFS($G$2:G1831,G1831,$H$2:H1831,"United Kingdom")=1),1,0)</f>
        <v>0</v>
      </c>
    </row>
    <row r="1832" customFormat="false" ht="15" hidden="false" customHeight="false" outlineLevel="0" collapsed="false">
      <c r="A1832" s="0" t="s">
        <v>423</v>
      </c>
      <c r="B1832" s="0" t="s">
        <v>75</v>
      </c>
      <c r="C1832" s="0" t="s">
        <v>76</v>
      </c>
      <c r="D1832" s="0" t="n">
        <v>72</v>
      </c>
      <c r="E1832" s="2" t="n">
        <v>40727.45</v>
      </c>
      <c r="F1832" s="0" t="n">
        <v>1.97</v>
      </c>
      <c r="G1832" s="0" t="n">
        <v>15321</v>
      </c>
      <c r="H1832" s="3" t="s">
        <v>124</v>
      </c>
      <c r="I1832" s="4" t="n">
        <f aca="false">D1832*F1832</f>
        <v>141.84</v>
      </c>
      <c r="J1832" s="3" t="n">
        <f aca="false">IF(AND(LEFT(A1832,1)&lt;&gt;"C",D1832&gt;0,F1832&gt;0),1,0)</f>
        <v>1</v>
      </c>
      <c r="K1832" s="3" t="n">
        <f aca="false">IF(AND(H1832="United Kingdom",G1832&lt;&gt;"",COUNTIFS($G$2:G1832,G1832,$H$2:H1832,"United Kingdom")=1),1,0)</f>
        <v>0</v>
      </c>
    </row>
    <row r="1833" customFormat="false" ht="15" hidden="false" customHeight="false" outlineLevel="0" collapsed="false">
      <c r="A1833" s="0" t="s">
        <v>423</v>
      </c>
      <c r="B1833" s="0" t="s">
        <v>15</v>
      </c>
      <c r="C1833" s="0" t="s">
        <v>16</v>
      </c>
      <c r="D1833" s="0" t="n">
        <v>12</v>
      </c>
      <c r="E1833" s="2" t="n">
        <v>40727.45</v>
      </c>
      <c r="F1833" s="0" t="n">
        <v>3.18</v>
      </c>
      <c r="G1833" s="0" t="n">
        <v>15321</v>
      </c>
      <c r="H1833" s="3" t="s">
        <v>124</v>
      </c>
      <c r="I1833" s="4" t="n">
        <f aca="false">D1833*F1833</f>
        <v>38.16</v>
      </c>
      <c r="J1833" s="3" t="n">
        <f aca="false">IF(AND(LEFT(A1833,1)&lt;&gt;"C",D1833&gt;0,F1833&gt;0),1,0)</f>
        <v>1</v>
      </c>
      <c r="K1833" s="3" t="n">
        <f aca="false">IF(AND(H1833="United Kingdom",G1833&lt;&gt;"",COUNTIFS($G$2:G1833,G1833,$H$2:H1833,"United Kingdom")=1),1,0)</f>
        <v>0</v>
      </c>
    </row>
    <row r="1834" customFormat="false" ht="15" hidden="false" customHeight="false" outlineLevel="0" collapsed="false">
      <c r="A1834" s="0" t="s">
        <v>423</v>
      </c>
      <c r="B1834" s="0" t="s">
        <v>25</v>
      </c>
      <c r="C1834" s="0" t="s">
        <v>26</v>
      </c>
      <c r="D1834" s="0" t="n">
        <v>3</v>
      </c>
      <c r="E1834" s="2" t="n">
        <v>40727.45</v>
      </c>
      <c r="F1834" s="0" t="n">
        <v>2.21</v>
      </c>
      <c r="G1834" s="0" t="n">
        <v>15321</v>
      </c>
      <c r="H1834" s="3" t="s">
        <v>124</v>
      </c>
      <c r="I1834" s="4" t="n">
        <f aca="false">D1834*F1834</f>
        <v>6.63</v>
      </c>
      <c r="J1834" s="3" t="n">
        <f aca="false">IF(AND(LEFT(A1834,1)&lt;&gt;"C",D1834&gt;0,F1834&gt;0),1,0)</f>
        <v>1</v>
      </c>
      <c r="K1834" s="3" t="n">
        <f aca="false">IF(AND(H1834="United Kingdom",G1834&lt;&gt;"",COUNTIFS($G$2:G1834,G1834,$H$2:H1834,"United Kingdom")=1),1,0)</f>
        <v>0</v>
      </c>
    </row>
    <row r="1835" customFormat="false" ht="15" hidden="false" customHeight="false" outlineLevel="0" collapsed="false">
      <c r="A1835" s="0" t="s">
        <v>423</v>
      </c>
      <c r="B1835" s="0" t="s">
        <v>77</v>
      </c>
      <c r="C1835" s="0" t="s">
        <v>78</v>
      </c>
      <c r="D1835" s="0" t="n">
        <v>3</v>
      </c>
      <c r="E1835" s="2" t="n">
        <v>40727.45</v>
      </c>
      <c r="F1835" s="0" t="n">
        <v>3.41</v>
      </c>
      <c r="G1835" s="0" t="n">
        <v>15321</v>
      </c>
      <c r="H1835" s="3" t="s">
        <v>124</v>
      </c>
      <c r="I1835" s="4" t="n">
        <f aca="false">D1835*F1835</f>
        <v>10.23</v>
      </c>
      <c r="J1835" s="3" t="n">
        <f aca="false">IF(AND(LEFT(A1835,1)&lt;&gt;"C",D1835&gt;0,F1835&gt;0),1,0)</f>
        <v>1</v>
      </c>
      <c r="K1835" s="3" t="n">
        <f aca="false">IF(AND(H1835="United Kingdom",G1835&lt;&gt;"",COUNTIFS($G$2:G1835,G1835,$H$2:H1835,"United Kingdom")=1),1,0)</f>
        <v>0</v>
      </c>
    </row>
    <row r="1836" customFormat="false" ht="15" hidden="false" customHeight="false" outlineLevel="0" collapsed="false">
      <c r="A1836" s="0" t="s">
        <v>423</v>
      </c>
      <c r="B1836" s="0" t="s">
        <v>17</v>
      </c>
      <c r="C1836" s="0" t="s">
        <v>18</v>
      </c>
      <c r="D1836" s="0" t="n">
        <v>3</v>
      </c>
      <c r="E1836" s="2" t="n">
        <v>40727.45</v>
      </c>
      <c r="F1836" s="0" t="n">
        <v>1.92</v>
      </c>
      <c r="G1836" s="0" t="n">
        <v>15321</v>
      </c>
      <c r="H1836" s="3" t="s">
        <v>124</v>
      </c>
      <c r="I1836" s="4" t="n">
        <f aca="false">D1836*F1836</f>
        <v>5.76</v>
      </c>
      <c r="J1836" s="3" t="n">
        <f aca="false">IF(AND(LEFT(A1836,1)&lt;&gt;"C",D1836&gt;0,F1836&gt;0),1,0)</f>
        <v>1</v>
      </c>
      <c r="K1836" s="3" t="n">
        <f aca="false">IF(AND(H1836="United Kingdom",G1836&lt;&gt;"",COUNTIFS($G$2:G1836,G1836,$H$2:H1836,"United Kingdom")=1),1,0)</f>
        <v>0</v>
      </c>
    </row>
    <row r="1837" customFormat="false" ht="15" hidden="false" customHeight="false" outlineLevel="0" collapsed="false">
      <c r="A1837" s="0" t="s">
        <v>423</v>
      </c>
      <c r="B1837" s="0" t="s">
        <v>41</v>
      </c>
      <c r="C1837" s="0" t="s">
        <v>42</v>
      </c>
      <c r="D1837" s="0" t="n">
        <v>6</v>
      </c>
      <c r="E1837" s="2" t="n">
        <v>40727.45</v>
      </c>
      <c r="F1837" s="0" t="n">
        <v>3.28</v>
      </c>
      <c r="G1837" s="0" t="n">
        <v>15321</v>
      </c>
      <c r="H1837" s="3" t="s">
        <v>124</v>
      </c>
      <c r="I1837" s="4" t="n">
        <f aca="false">D1837*F1837</f>
        <v>19.68</v>
      </c>
      <c r="J1837" s="3" t="n">
        <f aca="false">IF(AND(LEFT(A1837,1)&lt;&gt;"C",D1837&gt;0,F1837&gt;0),1,0)</f>
        <v>1</v>
      </c>
      <c r="K1837" s="3" t="n">
        <f aca="false">IF(AND(H1837="United Kingdom",G1837&lt;&gt;"",COUNTIFS($G$2:G1837,G1837,$H$2:H1837,"United Kingdom")=1),1,0)</f>
        <v>0</v>
      </c>
    </row>
    <row r="1838" customFormat="false" ht="15" hidden="false" customHeight="false" outlineLevel="0" collapsed="false">
      <c r="A1838" s="0" t="s">
        <v>423</v>
      </c>
      <c r="B1838" s="0" t="s">
        <v>43</v>
      </c>
      <c r="C1838" s="0" t="s">
        <v>44</v>
      </c>
      <c r="D1838" s="0" t="n">
        <v>24</v>
      </c>
      <c r="E1838" s="2" t="n">
        <v>40727.45</v>
      </c>
      <c r="F1838" s="0" t="n">
        <v>1.35</v>
      </c>
      <c r="G1838" s="0" t="n">
        <v>15321</v>
      </c>
      <c r="H1838" s="3" t="s">
        <v>124</v>
      </c>
      <c r="I1838" s="4" t="n">
        <f aca="false">D1838*F1838</f>
        <v>32.4</v>
      </c>
      <c r="J1838" s="3" t="n">
        <f aca="false">IF(AND(LEFT(A1838,1)&lt;&gt;"C",D1838&gt;0,F1838&gt;0),1,0)</f>
        <v>1</v>
      </c>
      <c r="K1838" s="3" t="n">
        <f aca="false">IF(AND(H1838="United Kingdom",G1838&lt;&gt;"",COUNTIFS($G$2:G1838,G1838,$H$2:H1838,"United Kingdom")=1),1,0)</f>
        <v>0</v>
      </c>
    </row>
    <row r="1839" customFormat="false" ht="15" hidden="false" customHeight="false" outlineLevel="0" collapsed="false">
      <c r="A1839" s="0" t="s">
        <v>424</v>
      </c>
      <c r="B1839" s="0" t="s">
        <v>90</v>
      </c>
      <c r="C1839" s="0" t="s">
        <v>91</v>
      </c>
      <c r="D1839" s="0" t="n">
        <v>10</v>
      </c>
      <c r="E1839" s="2" t="n">
        <v>40727.7527777778</v>
      </c>
      <c r="F1839" s="0" t="n">
        <v>3.04</v>
      </c>
      <c r="G1839" s="0" t="n">
        <v>12377</v>
      </c>
      <c r="H1839" s="3" t="s">
        <v>120</v>
      </c>
      <c r="I1839" s="4" t="n">
        <f aca="false">D1839*F1839</f>
        <v>30.4</v>
      </c>
      <c r="J1839" s="3" t="n">
        <f aca="false">IF(AND(LEFT(A1839,1)&lt;&gt;"C",D1839&gt;0,F1839&gt;0),1,0)</f>
        <v>1</v>
      </c>
      <c r="K1839" s="3" t="n">
        <f aca="false">IF(AND(H1839="United Kingdom",G1839&lt;&gt;"",COUNTIFS($G$2:G1839,G1839,$H$2:H1839,"United Kingdom")=1),1,0)</f>
        <v>0</v>
      </c>
    </row>
    <row r="1840" customFormat="false" ht="15" hidden="false" customHeight="false" outlineLevel="0" collapsed="false">
      <c r="A1840" s="0" t="s">
        <v>424</v>
      </c>
      <c r="B1840" s="0" t="s">
        <v>27</v>
      </c>
      <c r="C1840" s="0" t="s">
        <v>28</v>
      </c>
      <c r="D1840" s="0" t="n">
        <v>7</v>
      </c>
      <c r="E1840" s="2" t="n">
        <v>40727.7527777778</v>
      </c>
      <c r="F1840" s="0" t="n">
        <v>4.55</v>
      </c>
      <c r="G1840" s="0" t="n">
        <v>12377</v>
      </c>
      <c r="H1840" s="3" t="s">
        <v>120</v>
      </c>
      <c r="I1840" s="4" t="n">
        <f aca="false">D1840*F1840</f>
        <v>31.85</v>
      </c>
      <c r="J1840" s="3" t="n">
        <f aca="false">IF(AND(LEFT(A1840,1)&lt;&gt;"C",D1840&gt;0,F1840&gt;0),1,0)</f>
        <v>1</v>
      </c>
      <c r="K1840" s="3" t="n">
        <f aca="false">IF(AND(H1840="United Kingdom",G1840&lt;&gt;"",COUNTIFS($G$2:G1840,G1840,$H$2:H1840,"United Kingdom")=1),1,0)</f>
        <v>0</v>
      </c>
    </row>
    <row r="1841" customFormat="false" ht="15" hidden="false" customHeight="false" outlineLevel="0" collapsed="false">
      <c r="A1841" s="0" t="s">
        <v>424</v>
      </c>
      <c r="B1841" s="0" t="s">
        <v>80</v>
      </c>
      <c r="C1841" s="0" t="s">
        <v>81</v>
      </c>
      <c r="D1841" s="0" t="n">
        <v>5</v>
      </c>
      <c r="E1841" s="2" t="n">
        <v>40727.7527777778</v>
      </c>
      <c r="F1841" s="0" t="n">
        <v>1.53</v>
      </c>
      <c r="G1841" s="0" t="n">
        <v>12377</v>
      </c>
      <c r="H1841" s="3" t="s">
        <v>120</v>
      </c>
      <c r="I1841" s="4" t="n">
        <f aca="false">D1841*F1841</f>
        <v>7.65</v>
      </c>
      <c r="J1841" s="3" t="n">
        <f aca="false">IF(AND(LEFT(A1841,1)&lt;&gt;"C",D1841&gt;0,F1841&gt;0),1,0)</f>
        <v>1</v>
      </c>
      <c r="K1841" s="3" t="n">
        <f aca="false">IF(AND(H1841="United Kingdom",G1841&lt;&gt;"",COUNTIFS($G$2:G1841,G1841,$H$2:H1841,"United Kingdom")=1),1,0)</f>
        <v>0</v>
      </c>
    </row>
    <row r="1842" customFormat="false" ht="15" hidden="false" customHeight="false" outlineLevel="0" collapsed="false">
      <c r="A1842" s="0" t="s">
        <v>424</v>
      </c>
      <c r="B1842" s="0" t="s">
        <v>58</v>
      </c>
      <c r="C1842" s="0" t="s">
        <v>59</v>
      </c>
      <c r="D1842" s="0" t="n">
        <v>2</v>
      </c>
      <c r="E1842" s="2" t="n">
        <v>40727.7527777778</v>
      </c>
      <c r="F1842" s="0" t="n">
        <v>2.16</v>
      </c>
      <c r="G1842" s="0" t="n">
        <v>12377</v>
      </c>
      <c r="H1842" s="3" t="s">
        <v>120</v>
      </c>
      <c r="I1842" s="4" t="n">
        <f aca="false">D1842*F1842</f>
        <v>4.32</v>
      </c>
      <c r="J1842" s="3" t="n">
        <f aca="false">IF(AND(LEFT(A1842,1)&lt;&gt;"C",D1842&gt;0,F1842&gt;0),1,0)</f>
        <v>1</v>
      </c>
      <c r="K1842" s="3" t="n">
        <f aca="false">IF(AND(H1842="United Kingdom",G1842&lt;&gt;"",COUNTIFS($G$2:G1842,G1842,$H$2:H1842,"United Kingdom")=1),1,0)</f>
        <v>0</v>
      </c>
    </row>
    <row r="1843" customFormat="false" ht="15" hidden="false" customHeight="false" outlineLevel="0" collapsed="false">
      <c r="A1843" s="0" t="s">
        <v>424</v>
      </c>
      <c r="B1843" s="0" t="s">
        <v>75</v>
      </c>
      <c r="C1843" s="0" t="s">
        <v>76</v>
      </c>
      <c r="D1843" s="0" t="n">
        <v>10</v>
      </c>
      <c r="E1843" s="2" t="n">
        <v>40727.7527777778</v>
      </c>
      <c r="F1843" s="0" t="n">
        <v>1.97</v>
      </c>
      <c r="G1843" s="0" t="n">
        <v>12377</v>
      </c>
      <c r="H1843" s="3" t="s">
        <v>120</v>
      </c>
      <c r="I1843" s="4" t="n">
        <f aca="false">D1843*F1843</f>
        <v>19.7</v>
      </c>
      <c r="J1843" s="3" t="n">
        <f aca="false">IF(AND(LEFT(A1843,1)&lt;&gt;"C",D1843&gt;0,F1843&gt;0),1,0)</f>
        <v>1</v>
      </c>
      <c r="K1843" s="3" t="n">
        <f aca="false">IF(AND(H1843="United Kingdom",G1843&lt;&gt;"",COUNTIFS($G$2:G1843,G1843,$H$2:H1843,"United Kingdom")=1),1,0)</f>
        <v>0</v>
      </c>
    </row>
    <row r="1844" customFormat="false" ht="15" hidden="false" customHeight="false" outlineLevel="0" collapsed="false">
      <c r="A1844" s="0" t="s">
        <v>424</v>
      </c>
      <c r="B1844" s="0" t="s">
        <v>25</v>
      </c>
      <c r="C1844" s="0" t="s">
        <v>26</v>
      </c>
      <c r="D1844" s="0" t="n">
        <v>7</v>
      </c>
      <c r="E1844" s="2" t="n">
        <v>40727.7527777778</v>
      </c>
      <c r="F1844" s="0" t="n">
        <v>2.21</v>
      </c>
      <c r="G1844" s="0" t="n">
        <v>12377</v>
      </c>
      <c r="H1844" s="3" t="s">
        <v>120</v>
      </c>
      <c r="I1844" s="4" t="n">
        <f aca="false">D1844*F1844</f>
        <v>15.47</v>
      </c>
      <c r="J1844" s="3" t="n">
        <f aca="false">IF(AND(LEFT(A1844,1)&lt;&gt;"C",D1844&gt;0,F1844&gt;0),1,0)</f>
        <v>1</v>
      </c>
      <c r="K1844" s="3" t="n">
        <f aca="false">IF(AND(H1844="United Kingdom",G1844&lt;&gt;"",COUNTIFS($G$2:G1844,G1844,$H$2:H1844,"United Kingdom")=1),1,0)</f>
        <v>0</v>
      </c>
    </row>
    <row r="1845" customFormat="false" ht="15" hidden="false" customHeight="false" outlineLevel="0" collapsed="false">
      <c r="A1845" s="0" t="s">
        <v>424</v>
      </c>
      <c r="B1845" s="0" t="s">
        <v>113</v>
      </c>
      <c r="C1845" s="0" t="s">
        <v>114</v>
      </c>
      <c r="D1845" s="0" t="n">
        <v>5</v>
      </c>
      <c r="E1845" s="2" t="n">
        <v>40727.7527777778</v>
      </c>
      <c r="F1845" s="0" t="n">
        <v>3.57</v>
      </c>
      <c r="G1845" s="0" t="n">
        <v>12377</v>
      </c>
      <c r="H1845" s="3" t="s">
        <v>120</v>
      </c>
      <c r="I1845" s="4" t="n">
        <f aca="false">D1845*F1845</f>
        <v>17.85</v>
      </c>
      <c r="J1845" s="3" t="n">
        <f aca="false">IF(AND(LEFT(A1845,1)&lt;&gt;"C",D1845&gt;0,F1845&gt;0),1,0)</f>
        <v>1</v>
      </c>
      <c r="K1845" s="3" t="n">
        <f aca="false">IF(AND(H1845="United Kingdom",G1845&lt;&gt;"",COUNTIFS($G$2:G1845,G1845,$H$2:H1845,"United Kingdom")=1),1,0)</f>
        <v>0</v>
      </c>
    </row>
    <row r="1846" customFormat="false" ht="15" hidden="false" customHeight="false" outlineLevel="0" collapsed="false">
      <c r="A1846" s="0" t="s">
        <v>424</v>
      </c>
      <c r="B1846" s="0" t="s">
        <v>60</v>
      </c>
      <c r="C1846" s="0" t="s">
        <v>61</v>
      </c>
      <c r="D1846" s="0" t="n">
        <v>5</v>
      </c>
      <c r="E1846" s="2" t="n">
        <v>40727.7527777778</v>
      </c>
      <c r="F1846" s="0" t="n">
        <v>0.63</v>
      </c>
      <c r="G1846" s="0" t="n">
        <v>12377</v>
      </c>
      <c r="H1846" s="3" t="s">
        <v>120</v>
      </c>
      <c r="I1846" s="4" t="n">
        <f aca="false">D1846*F1846</f>
        <v>3.15</v>
      </c>
      <c r="J1846" s="3" t="n">
        <f aca="false">IF(AND(LEFT(A1846,1)&lt;&gt;"C",D1846&gt;0,F1846&gt;0),1,0)</f>
        <v>1</v>
      </c>
      <c r="K1846" s="3" t="n">
        <f aca="false">IF(AND(H1846="United Kingdom",G1846&lt;&gt;"",COUNTIFS($G$2:G1846,G1846,$H$2:H1846,"United Kingdom")=1),1,0)</f>
        <v>0</v>
      </c>
    </row>
    <row r="1847" customFormat="false" ht="15" hidden="false" customHeight="false" outlineLevel="0" collapsed="false">
      <c r="A1847" s="0" t="s">
        <v>424</v>
      </c>
      <c r="B1847" s="0" t="s">
        <v>41</v>
      </c>
      <c r="C1847" s="0" t="s">
        <v>42</v>
      </c>
      <c r="D1847" s="0" t="n">
        <v>2</v>
      </c>
      <c r="E1847" s="2" t="n">
        <v>40727.7527777778</v>
      </c>
      <c r="F1847" s="0" t="n">
        <v>3.28</v>
      </c>
      <c r="G1847" s="0" t="n">
        <v>12377</v>
      </c>
      <c r="H1847" s="3" t="s">
        <v>120</v>
      </c>
      <c r="I1847" s="4" t="n">
        <f aca="false">D1847*F1847</f>
        <v>6.56</v>
      </c>
      <c r="J1847" s="3" t="n">
        <f aca="false">IF(AND(LEFT(A1847,1)&lt;&gt;"C",D1847&gt;0,F1847&gt;0),1,0)</f>
        <v>1</v>
      </c>
      <c r="K1847" s="3" t="n">
        <f aca="false">IF(AND(H1847="United Kingdom",G1847&lt;&gt;"",COUNTIFS($G$2:G1847,G1847,$H$2:H1847,"United Kingdom")=1),1,0)</f>
        <v>0</v>
      </c>
    </row>
    <row r="1848" customFormat="false" ht="15" hidden="false" customHeight="false" outlineLevel="0" collapsed="false">
      <c r="A1848" s="0" t="s">
        <v>424</v>
      </c>
      <c r="B1848" s="0" t="s">
        <v>65</v>
      </c>
      <c r="C1848" s="0" t="s">
        <v>66</v>
      </c>
      <c r="D1848" s="0" t="n">
        <v>5</v>
      </c>
      <c r="E1848" s="2" t="n">
        <v>40727.7527777778</v>
      </c>
      <c r="F1848" s="0" t="n">
        <v>4.75</v>
      </c>
      <c r="G1848" s="0" t="n">
        <v>12377</v>
      </c>
      <c r="H1848" s="3" t="s">
        <v>120</v>
      </c>
      <c r="I1848" s="4" t="n">
        <f aca="false">D1848*F1848</f>
        <v>23.75</v>
      </c>
      <c r="J1848" s="3" t="n">
        <f aca="false">IF(AND(LEFT(A1848,1)&lt;&gt;"C",D1848&gt;0,F1848&gt;0),1,0)</f>
        <v>1</v>
      </c>
      <c r="K1848" s="3" t="n">
        <f aca="false">IF(AND(H1848="United Kingdom",G1848&lt;&gt;"",COUNTIFS($G$2:G1848,G1848,$H$2:H1848,"United Kingdom")=1),1,0)</f>
        <v>0</v>
      </c>
    </row>
    <row r="1849" customFormat="false" ht="15" hidden="false" customHeight="false" outlineLevel="0" collapsed="false">
      <c r="A1849" s="0" t="s">
        <v>425</v>
      </c>
      <c r="B1849" s="0" t="s">
        <v>34</v>
      </c>
      <c r="C1849" s="0" t="s">
        <v>35</v>
      </c>
      <c r="D1849" s="0" t="n">
        <v>8</v>
      </c>
      <c r="E1849" s="2" t="n">
        <v>40728.4020833333</v>
      </c>
      <c r="F1849" s="0" t="n">
        <v>2.38</v>
      </c>
      <c r="G1849" s="0" t="n">
        <v>17597</v>
      </c>
      <c r="H1849" s="3" t="s">
        <v>14</v>
      </c>
      <c r="I1849" s="4" t="n">
        <f aca="false">D1849*F1849</f>
        <v>19.04</v>
      </c>
      <c r="J1849" s="3" t="n">
        <f aca="false">IF(AND(LEFT(A1849,1)&lt;&gt;"C",D1849&gt;0,F1849&gt;0),1,0)</f>
        <v>1</v>
      </c>
      <c r="K1849" s="3" t="n">
        <f aca="false">IF(AND(H1849="United Kingdom",G1849&lt;&gt;"",COUNTIFS($G$2:G1849,G1849,$H$2:H1849,"United Kingdom")=1),1,0)</f>
        <v>1</v>
      </c>
    </row>
    <row r="1850" customFormat="false" ht="15" hidden="false" customHeight="false" outlineLevel="0" collapsed="false">
      <c r="A1850" s="0" t="s">
        <v>425</v>
      </c>
      <c r="B1850" s="0" t="s">
        <v>27</v>
      </c>
      <c r="C1850" s="0" t="s">
        <v>28</v>
      </c>
      <c r="D1850" s="0" t="n">
        <v>12</v>
      </c>
      <c r="E1850" s="2" t="n">
        <v>40728.4020833333</v>
      </c>
      <c r="F1850" s="0" t="n">
        <v>4.55</v>
      </c>
      <c r="G1850" s="0" t="n">
        <v>17597</v>
      </c>
      <c r="H1850" s="3" t="s">
        <v>14</v>
      </c>
      <c r="I1850" s="4" t="n">
        <f aca="false">D1850*F1850</f>
        <v>54.6</v>
      </c>
      <c r="J1850" s="3" t="n">
        <f aca="false">IF(AND(LEFT(A1850,1)&lt;&gt;"C",D1850&gt;0,F1850&gt;0),1,0)</f>
        <v>1</v>
      </c>
      <c r="K1850" s="3" t="n">
        <f aca="false">IF(AND(H1850="United Kingdom",G1850&lt;&gt;"",COUNTIFS($G$2:G1850,G1850,$H$2:H1850,"United Kingdom")=1),1,0)</f>
        <v>0</v>
      </c>
    </row>
    <row r="1851" customFormat="false" ht="15" hidden="false" customHeight="false" outlineLevel="0" collapsed="false">
      <c r="A1851" s="0" t="s">
        <v>425</v>
      </c>
      <c r="B1851" s="0" t="s">
        <v>50</v>
      </c>
      <c r="C1851" s="0" t="s">
        <v>51</v>
      </c>
      <c r="D1851" s="0" t="n">
        <v>6</v>
      </c>
      <c r="E1851" s="2" t="n">
        <v>40728.4020833333</v>
      </c>
      <c r="F1851" s="0" t="n">
        <v>5.41</v>
      </c>
      <c r="G1851" s="0" t="n">
        <v>17597</v>
      </c>
      <c r="H1851" s="3" t="s">
        <v>14</v>
      </c>
      <c r="I1851" s="4" t="n">
        <f aca="false">D1851*F1851</f>
        <v>32.46</v>
      </c>
      <c r="J1851" s="3" t="n">
        <f aca="false">IF(AND(LEFT(A1851,1)&lt;&gt;"C",D1851&gt;0,F1851&gt;0),1,0)</f>
        <v>1</v>
      </c>
      <c r="K1851" s="3" t="n">
        <f aca="false">IF(AND(H1851="United Kingdom",G1851&lt;&gt;"",COUNTIFS($G$2:G1851,G1851,$H$2:H1851,"United Kingdom")=1),1,0)</f>
        <v>0</v>
      </c>
    </row>
    <row r="1852" customFormat="false" ht="15" hidden="false" customHeight="false" outlineLevel="0" collapsed="false">
      <c r="A1852" s="0" t="s">
        <v>425</v>
      </c>
      <c r="B1852" s="0" t="s">
        <v>52</v>
      </c>
      <c r="C1852" s="0" t="s">
        <v>53</v>
      </c>
      <c r="D1852" s="0" t="n">
        <v>3</v>
      </c>
      <c r="E1852" s="2" t="n">
        <v>40728.4020833333</v>
      </c>
      <c r="F1852" s="0" t="n">
        <v>4.16</v>
      </c>
      <c r="G1852" s="0" t="n">
        <v>17597</v>
      </c>
      <c r="H1852" s="3" t="s">
        <v>14</v>
      </c>
      <c r="I1852" s="4" t="n">
        <f aca="false">D1852*F1852</f>
        <v>12.48</v>
      </c>
      <c r="J1852" s="3" t="n">
        <f aca="false">IF(AND(LEFT(A1852,1)&lt;&gt;"C",D1852&gt;0,F1852&gt;0),1,0)</f>
        <v>1</v>
      </c>
      <c r="K1852" s="3" t="n">
        <f aca="false">IF(AND(H1852="United Kingdom",G1852&lt;&gt;"",COUNTIFS($G$2:G1852,G1852,$H$2:H1852,"United Kingdom")=1),1,0)</f>
        <v>0</v>
      </c>
    </row>
    <row r="1853" customFormat="false" ht="15" hidden="false" customHeight="false" outlineLevel="0" collapsed="false">
      <c r="A1853" s="0" t="s">
        <v>425</v>
      </c>
      <c r="B1853" s="0" t="s">
        <v>32</v>
      </c>
      <c r="C1853" s="0" t="s">
        <v>33</v>
      </c>
      <c r="D1853" s="0" t="n">
        <v>24</v>
      </c>
      <c r="E1853" s="2" t="n">
        <v>40728.4020833333</v>
      </c>
      <c r="F1853" s="0" t="n">
        <v>1.19</v>
      </c>
      <c r="G1853" s="0" t="n">
        <v>17597</v>
      </c>
      <c r="H1853" s="3" t="s">
        <v>14</v>
      </c>
      <c r="I1853" s="4" t="n">
        <f aca="false">D1853*F1853</f>
        <v>28.56</v>
      </c>
      <c r="J1853" s="3" t="n">
        <f aca="false">IF(AND(LEFT(A1853,1)&lt;&gt;"C",D1853&gt;0,F1853&gt;0),1,0)</f>
        <v>1</v>
      </c>
      <c r="K1853" s="3" t="n">
        <f aca="false">IF(AND(H1853="United Kingdom",G1853&lt;&gt;"",COUNTIFS($G$2:G1853,G1853,$H$2:H1853,"United Kingdom")=1),1,0)</f>
        <v>0</v>
      </c>
    </row>
    <row r="1854" customFormat="false" ht="15" hidden="false" customHeight="false" outlineLevel="0" collapsed="false">
      <c r="A1854" s="0" t="s">
        <v>426</v>
      </c>
      <c r="B1854" s="0" t="s">
        <v>15</v>
      </c>
      <c r="C1854" s="0" t="s">
        <v>16</v>
      </c>
      <c r="D1854" s="0" t="n">
        <v>6</v>
      </c>
      <c r="E1854" s="2" t="n">
        <v>40728.6826388889</v>
      </c>
      <c r="F1854" s="0" t="n">
        <v>3.18</v>
      </c>
      <c r="G1854" s="0" t="n">
        <v>14910</v>
      </c>
      <c r="H1854" s="3" t="s">
        <v>14</v>
      </c>
      <c r="I1854" s="4" t="n">
        <f aca="false">D1854*F1854</f>
        <v>19.08</v>
      </c>
      <c r="J1854" s="3" t="n">
        <f aca="false">IF(AND(LEFT(A1854,1)&lt;&gt;"C",D1854&gt;0,F1854&gt;0),1,0)</f>
        <v>1</v>
      </c>
      <c r="K1854" s="3" t="n">
        <f aca="false">IF(AND(H1854="United Kingdom",G1854&lt;&gt;"",COUNTIFS($G$2:G1854,G1854,$H$2:H1854,"United Kingdom")=1),1,0)</f>
        <v>0</v>
      </c>
    </row>
    <row r="1855" customFormat="false" ht="15" hidden="false" customHeight="false" outlineLevel="0" collapsed="false">
      <c r="A1855" s="0" t="s">
        <v>426</v>
      </c>
      <c r="B1855" s="0" t="s">
        <v>90</v>
      </c>
      <c r="C1855" s="0" t="s">
        <v>91</v>
      </c>
      <c r="D1855" s="0" t="n">
        <v>1</v>
      </c>
      <c r="E1855" s="2" t="n">
        <v>40728.6826388889</v>
      </c>
      <c r="F1855" s="0" t="n">
        <v>3.04</v>
      </c>
      <c r="G1855" s="0" t="n">
        <v>14910</v>
      </c>
      <c r="H1855" s="3" t="s">
        <v>14</v>
      </c>
      <c r="I1855" s="4" t="n">
        <f aca="false">D1855*F1855</f>
        <v>3.04</v>
      </c>
      <c r="J1855" s="3" t="n">
        <f aca="false">IF(AND(LEFT(A1855,1)&lt;&gt;"C",D1855&gt;0,F1855&gt;0),1,0)</f>
        <v>1</v>
      </c>
      <c r="K1855" s="3" t="n">
        <f aca="false">IF(AND(H1855="United Kingdom",G1855&lt;&gt;"",COUNTIFS($G$2:G1855,G1855,$H$2:H1855,"United Kingdom")=1),1,0)</f>
        <v>0</v>
      </c>
    </row>
    <row r="1856" customFormat="false" ht="15" hidden="false" customHeight="false" outlineLevel="0" collapsed="false">
      <c r="A1856" s="0" t="s">
        <v>426</v>
      </c>
      <c r="B1856" s="0" t="s">
        <v>39</v>
      </c>
      <c r="C1856" s="0" t="s">
        <v>40</v>
      </c>
      <c r="D1856" s="0" t="n">
        <v>4</v>
      </c>
      <c r="E1856" s="2" t="n">
        <v>40728.6826388889</v>
      </c>
      <c r="F1856" s="0" t="n">
        <v>2.58</v>
      </c>
      <c r="G1856" s="0" t="n">
        <v>14910</v>
      </c>
      <c r="H1856" s="3" t="s">
        <v>14</v>
      </c>
      <c r="I1856" s="4" t="n">
        <f aca="false">D1856*F1856</f>
        <v>10.32</v>
      </c>
      <c r="J1856" s="3" t="n">
        <f aca="false">IF(AND(LEFT(A1856,1)&lt;&gt;"C",D1856&gt;0,F1856&gt;0),1,0)</f>
        <v>1</v>
      </c>
      <c r="K1856" s="3" t="n">
        <f aca="false">IF(AND(H1856="United Kingdom",G1856&lt;&gt;"",COUNTIFS($G$2:G1856,G1856,$H$2:H1856,"United Kingdom")=1),1,0)</f>
        <v>0</v>
      </c>
    </row>
    <row r="1857" customFormat="false" ht="15" hidden="false" customHeight="false" outlineLevel="0" collapsed="false">
      <c r="A1857" s="0" t="s">
        <v>426</v>
      </c>
      <c r="B1857" s="0" t="s">
        <v>54</v>
      </c>
      <c r="C1857" s="0" t="s">
        <v>55</v>
      </c>
      <c r="D1857" s="0" t="n">
        <v>24</v>
      </c>
      <c r="E1857" s="2" t="n">
        <v>40728.6826388889</v>
      </c>
      <c r="F1857" s="0" t="n">
        <v>0.99</v>
      </c>
      <c r="G1857" s="0" t="n">
        <v>14910</v>
      </c>
      <c r="H1857" s="3" t="s">
        <v>14</v>
      </c>
      <c r="I1857" s="4" t="n">
        <f aca="false">D1857*F1857</f>
        <v>23.76</v>
      </c>
      <c r="J1857" s="3" t="n">
        <f aca="false">IF(AND(LEFT(A1857,1)&lt;&gt;"C",D1857&gt;0,F1857&gt;0),1,0)</f>
        <v>1</v>
      </c>
      <c r="K1857" s="3" t="n">
        <f aca="false">IF(AND(H1857="United Kingdom",G1857&lt;&gt;"",COUNTIFS($G$2:G1857,G1857,$H$2:H1857,"United Kingdom")=1),1,0)</f>
        <v>0</v>
      </c>
    </row>
    <row r="1858" customFormat="false" ht="15" hidden="false" customHeight="false" outlineLevel="0" collapsed="false">
      <c r="A1858" s="0" t="s">
        <v>426</v>
      </c>
      <c r="B1858" s="0" t="s">
        <v>25</v>
      </c>
      <c r="C1858" s="0" t="s">
        <v>26</v>
      </c>
      <c r="D1858" s="0" t="n">
        <v>2</v>
      </c>
      <c r="E1858" s="2" t="n">
        <v>40728.6826388889</v>
      </c>
      <c r="F1858" s="0" t="n">
        <v>2.21</v>
      </c>
      <c r="G1858" s="0" t="n">
        <v>14910</v>
      </c>
      <c r="H1858" s="3" t="s">
        <v>14</v>
      </c>
      <c r="I1858" s="4" t="n">
        <f aca="false">D1858*F1858</f>
        <v>4.42</v>
      </c>
      <c r="J1858" s="3" t="n">
        <f aca="false">IF(AND(LEFT(A1858,1)&lt;&gt;"C",D1858&gt;0,F1858&gt;0),1,0)</f>
        <v>1</v>
      </c>
      <c r="K1858" s="3" t="n">
        <f aca="false">IF(AND(H1858="United Kingdom",G1858&lt;&gt;"",COUNTIFS($G$2:G1858,G1858,$H$2:H1858,"United Kingdom")=1),1,0)</f>
        <v>0</v>
      </c>
    </row>
    <row r="1859" customFormat="false" ht="15" hidden="false" customHeight="false" outlineLevel="0" collapsed="false">
      <c r="A1859" s="0" t="s">
        <v>426</v>
      </c>
      <c r="B1859" s="0" t="s">
        <v>48</v>
      </c>
      <c r="C1859" s="0" t="s">
        <v>49</v>
      </c>
      <c r="D1859" s="0" t="n">
        <v>2</v>
      </c>
      <c r="E1859" s="2" t="n">
        <v>40728.6826388889</v>
      </c>
      <c r="F1859" s="0" t="n">
        <v>1.35</v>
      </c>
      <c r="G1859" s="0" t="n">
        <v>14910</v>
      </c>
      <c r="H1859" s="3" t="s">
        <v>14</v>
      </c>
      <c r="I1859" s="4" t="n">
        <f aca="false">D1859*F1859</f>
        <v>2.7</v>
      </c>
      <c r="J1859" s="3" t="n">
        <f aca="false">IF(AND(LEFT(A1859,1)&lt;&gt;"C",D1859&gt;0,F1859&gt;0),1,0)</f>
        <v>1</v>
      </c>
      <c r="K1859" s="3" t="n">
        <f aca="false">IF(AND(H1859="United Kingdom",G1859&lt;&gt;"",COUNTIFS($G$2:G1859,G1859,$H$2:H1859,"United Kingdom")=1),1,0)</f>
        <v>0</v>
      </c>
    </row>
    <row r="1860" customFormat="false" ht="15" hidden="false" customHeight="false" outlineLevel="0" collapsed="false">
      <c r="A1860" s="0" t="s">
        <v>426</v>
      </c>
      <c r="B1860" s="0" t="s">
        <v>17</v>
      </c>
      <c r="C1860" s="0" t="s">
        <v>18</v>
      </c>
      <c r="D1860" s="0" t="n">
        <v>6</v>
      </c>
      <c r="E1860" s="2" t="n">
        <v>40728.6826388889</v>
      </c>
      <c r="F1860" s="0" t="n">
        <v>1.92</v>
      </c>
      <c r="G1860" s="0" t="n">
        <v>14910</v>
      </c>
      <c r="H1860" s="3" t="s">
        <v>14</v>
      </c>
      <c r="I1860" s="4" t="n">
        <f aca="false">D1860*F1860</f>
        <v>11.52</v>
      </c>
      <c r="J1860" s="3" t="n">
        <f aca="false">IF(AND(LEFT(A1860,1)&lt;&gt;"C",D1860&gt;0,F1860&gt;0),1,0)</f>
        <v>1</v>
      </c>
      <c r="K1860" s="3" t="n">
        <f aca="false">IF(AND(H1860="United Kingdom",G1860&lt;&gt;"",COUNTIFS($G$2:G1860,G1860,$H$2:H1860,"United Kingdom")=1),1,0)</f>
        <v>0</v>
      </c>
    </row>
    <row r="1861" customFormat="false" ht="15" hidden="false" customHeight="false" outlineLevel="0" collapsed="false">
      <c r="A1861" s="0" t="s">
        <v>426</v>
      </c>
      <c r="B1861" s="0" t="s">
        <v>12</v>
      </c>
      <c r="C1861" s="0" t="s">
        <v>13</v>
      </c>
      <c r="D1861" s="0" t="n">
        <v>8</v>
      </c>
      <c r="E1861" s="2" t="n">
        <v>40728.6826388889</v>
      </c>
      <c r="F1861" s="0" t="n">
        <v>3.33</v>
      </c>
      <c r="G1861" s="0" t="n">
        <v>14910</v>
      </c>
      <c r="H1861" s="3" t="s">
        <v>14</v>
      </c>
      <c r="I1861" s="4" t="n">
        <f aca="false">D1861*F1861</f>
        <v>26.64</v>
      </c>
      <c r="J1861" s="3" t="n">
        <f aca="false">IF(AND(LEFT(A1861,1)&lt;&gt;"C",D1861&gt;0,F1861&gt;0),1,0)</f>
        <v>1</v>
      </c>
      <c r="K1861" s="3" t="n">
        <f aca="false">IF(AND(H1861="United Kingdom",G1861&lt;&gt;"",COUNTIFS($G$2:G1861,G1861,$H$2:H1861,"United Kingdom")=1),1,0)</f>
        <v>0</v>
      </c>
    </row>
    <row r="1862" customFormat="false" ht="15" hidden="false" customHeight="false" outlineLevel="0" collapsed="false">
      <c r="A1862" s="0" t="s">
        <v>426</v>
      </c>
      <c r="B1862" s="0" t="s">
        <v>80</v>
      </c>
      <c r="C1862" s="0" t="s">
        <v>81</v>
      </c>
      <c r="D1862" s="0" t="n">
        <v>3</v>
      </c>
      <c r="E1862" s="2" t="n">
        <v>40728.6826388889</v>
      </c>
      <c r="F1862" s="0" t="n">
        <v>1.53</v>
      </c>
      <c r="G1862" s="0" t="n">
        <v>14910</v>
      </c>
      <c r="H1862" s="3" t="s">
        <v>14</v>
      </c>
      <c r="I1862" s="4" t="n">
        <f aca="false">D1862*F1862</f>
        <v>4.59</v>
      </c>
      <c r="J1862" s="3" t="n">
        <f aca="false">IF(AND(LEFT(A1862,1)&lt;&gt;"C",D1862&gt;0,F1862&gt;0),1,0)</f>
        <v>1</v>
      </c>
      <c r="K1862" s="3" t="n">
        <f aca="false">IF(AND(H1862="United Kingdom",G1862&lt;&gt;"",COUNTIFS($G$2:G1862,G1862,$H$2:H1862,"United Kingdom")=1),1,0)</f>
        <v>0</v>
      </c>
    </row>
    <row r="1863" customFormat="false" ht="15" hidden="false" customHeight="false" outlineLevel="0" collapsed="false">
      <c r="A1863" s="0" t="s">
        <v>426</v>
      </c>
      <c r="B1863" s="0" t="s">
        <v>65</v>
      </c>
      <c r="C1863" s="0" t="s">
        <v>66</v>
      </c>
      <c r="D1863" s="0" t="n">
        <v>3</v>
      </c>
      <c r="E1863" s="2" t="n">
        <v>40728.6826388889</v>
      </c>
      <c r="F1863" s="0" t="n">
        <v>4.75</v>
      </c>
      <c r="G1863" s="0" t="n">
        <v>14910</v>
      </c>
      <c r="H1863" s="3" t="s">
        <v>14</v>
      </c>
      <c r="I1863" s="4" t="n">
        <f aca="false">D1863*F1863</f>
        <v>14.25</v>
      </c>
      <c r="J1863" s="3" t="n">
        <f aca="false">IF(AND(LEFT(A1863,1)&lt;&gt;"C",D1863&gt;0,F1863&gt;0),1,0)</f>
        <v>1</v>
      </c>
      <c r="K1863" s="3" t="n">
        <f aca="false">IF(AND(H1863="United Kingdom",G1863&lt;&gt;"",COUNTIFS($G$2:G1863,G1863,$H$2:H1863,"United Kingdom")=1),1,0)</f>
        <v>0</v>
      </c>
    </row>
    <row r="1864" customFormat="false" ht="15" hidden="false" customHeight="false" outlineLevel="0" collapsed="false">
      <c r="A1864" s="0" t="s">
        <v>426</v>
      </c>
      <c r="B1864" s="0" t="s">
        <v>34</v>
      </c>
      <c r="C1864" s="0" t="s">
        <v>35</v>
      </c>
      <c r="D1864" s="0" t="n">
        <v>24</v>
      </c>
      <c r="E1864" s="2" t="n">
        <v>40728.6826388889</v>
      </c>
      <c r="F1864" s="0" t="n">
        <v>2.38</v>
      </c>
      <c r="G1864" s="0" t="n">
        <v>14910</v>
      </c>
      <c r="H1864" s="3" t="s">
        <v>14</v>
      </c>
      <c r="I1864" s="4" t="n">
        <f aca="false">D1864*F1864</f>
        <v>57.12</v>
      </c>
      <c r="J1864" s="3" t="n">
        <f aca="false">IF(AND(LEFT(A1864,1)&lt;&gt;"C",D1864&gt;0,F1864&gt;0),1,0)</f>
        <v>1</v>
      </c>
      <c r="K1864" s="3" t="n">
        <f aca="false">IF(AND(H1864="United Kingdom",G1864&lt;&gt;"",COUNTIFS($G$2:G1864,G1864,$H$2:H1864,"United Kingdom")=1),1,0)</f>
        <v>0</v>
      </c>
    </row>
    <row r="1865" customFormat="false" ht="15" hidden="false" customHeight="false" outlineLevel="0" collapsed="false">
      <c r="A1865" s="0" t="s">
        <v>426</v>
      </c>
      <c r="B1865" s="0" t="s">
        <v>60</v>
      </c>
      <c r="C1865" s="0" t="s">
        <v>61</v>
      </c>
      <c r="D1865" s="0" t="n">
        <v>2</v>
      </c>
      <c r="E1865" s="2" t="n">
        <v>40728.6826388889</v>
      </c>
      <c r="F1865" s="0" t="n">
        <v>0.63</v>
      </c>
      <c r="G1865" s="0" t="n">
        <v>14910</v>
      </c>
      <c r="H1865" s="3" t="s">
        <v>14</v>
      </c>
      <c r="I1865" s="4" t="n">
        <f aca="false">D1865*F1865</f>
        <v>1.26</v>
      </c>
      <c r="J1865" s="3" t="n">
        <f aca="false">IF(AND(LEFT(A1865,1)&lt;&gt;"C",D1865&gt;0,F1865&gt;0),1,0)</f>
        <v>1</v>
      </c>
      <c r="K1865" s="3" t="n">
        <f aca="false">IF(AND(H1865="United Kingdom",G1865&lt;&gt;"",COUNTIFS($G$2:G1865,G1865,$H$2:H1865,"United Kingdom")=1),1,0)</f>
        <v>0</v>
      </c>
    </row>
    <row r="1866" customFormat="false" ht="15" hidden="false" customHeight="false" outlineLevel="0" collapsed="false">
      <c r="A1866" s="0" t="s">
        <v>426</v>
      </c>
      <c r="B1866" s="0" t="s">
        <v>37</v>
      </c>
      <c r="C1866" s="0" t="s">
        <v>38</v>
      </c>
      <c r="D1866" s="0" t="n">
        <v>8</v>
      </c>
      <c r="E1866" s="2" t="n">
        <v>40728.6826388889</v>
      </c>
      <c r="F1866" s="0" t="n">
        <v>1.82</v>
      </c>
      <c r="G1866" s="0" t="n">
        <v>14910</v>
      </c>
      <c r="H1866" s="3" t="s">
        <v>14</v>
      </c>
      <c r="I1866" s="4" t="n">
        <f aca="false">D1866*F1866</f>
        <v>14.56</v>
      </c>
      <c r="J1866" s="3" t="n">
        <f aca="false">IF(AND(LEFT(A1866,1)&lt;&gt;"C",D1866&gt;0,F1866&gt;0),1,0)</f>
        <v>1</v>
      </c>
      <c r="K1866" s="3" t="n">
        <f aca="false">IF(AND(H1866="United Kingdom",G1866&lt;&gt;"",COUNTIFS($G$2:G1866,G1866,$H$2:H1866,"United Kingdom")=1),1,0)</f>
        <v>0</v>
      </c>
    </row>
    <row r="1867" customFormat="false" ht="15" hidden="false" customHeight="false" outlineLevel="0" collapsed="false">
      <c r="A1867" s="0" t="s">
        <v>426</v>
      </c>
      <c r="B1867" s="0" t="s">
        <v>32</v>
      </c>
      <c r="C1867" s="0" t="s">
        <v>33</v>
      </c>
      <c r="D1867" s="0" t="n">
        <v>3</v>
      </c>
      <c r="E1867" s="2" t="n">
        <v>40728.6826388889</v>
      </c>
      <c r="F1867" s="0" t="n">
        <v>1.19</v>
      </c>
      <c r="G1867" s="0" t="n">
        <v>14910</v>
      </c>
      <c r="H1867" s="3" t="s">
        <v>14</v>
      </c>
      <c r="I1867" s="4" t="n">
        <f aca="false">D1867*F1867</f>
        <v>3.57</v>
      </c>
      <c r="J1867" s="3" t="n">
        <f aca="false">IF(AND(LEFT(A1867,1)&lt;&gt;"C",D1867&gt;0,F1867&gt;0),1,0)</f>
        <v>1</v>
      </c>
      <c r="K1867" s="3" t="n">
        <f aca="false">IF(AND(H1867="United Kingdom",G1867&lt;&gt;"",COUNTIFS($G$2:G1867,G1867,$H$2:H1867,"United Kingdom")=1),1,0)</f>
        <v>0</v>
      </c>
    </row>
    <row r="1868" customFormat="false" ht="15" hidden="false" customHeight="false" outlineLevel="0" collapsed="false">
      <c r="A1868" s="0" t="s">
        <v>426</v>
      </c>
      <c r="B1868" s="0" t="s">
        <v>29</v>
      </c>
      <c r="C1868" s="0" t="s">
        <v>30</v>
      </c>
      <c r="D1868" s="0" t="n">
        <v>4</v>
      </c>
      <c r="E1868" s="2" t="n">
        <v>40728.6826388889</v>
      </c>
      <c r="F1868" s="0" t="n">
        <v>5.79</v>
      </c>
      <c r="G1868" s="0" t="n">
        <v>14910</v>
      </c>
      <c r="H1868" s="3" t="s">
        <v>14</v>
      </c>
      <c r="I1868" s="4" t="n">
        <f aca="false">D1868*F1868</f>
        <v>23.16</v>
      </c>
      <c r="J1868" s="3" t="n">
        <f aca="false">IF(AND(LEFT(A1868,1)&lt;&gt;"C",D1868&gt;0,F1868&gt;0),1,0)</f>
        <v>1</v>
      </c>
      <c r="K1868" s="3" t="n">
        <f aca="false">IF(AND(H1868="United Kingdom",G1868&lt;&gt;"",COUNTIFS($G$2:G1868,G1868,$H$2:H1868,"United Kingdom")=1),1,0)</f>
        <v>0</v>
      </c>
    </row>
    <row r="1869" customFormat="false" ht="15" hidden="false" customHeight="false" outlineLevel="0" collapsed="false">
      <c r="A1869" s="0" t="s">
        <v>426</v>
      </c>
      <c r="B1869" s="0" t="s">
        <v>20</v>
      </c>
      <c r="C1869" s="0" t="s">
        <v>21</v>
      </c>
      <c r="D1869" s="0" t="n">
        <v>4</v>
      </c>
      <c r="E1869" s="2" t="n">
        <v>40728.6826388889</v>
      </c>
      <c r="F1869" s="0" t="n">
        <v>4.24</v>
      </c>
      <c r="G1869" s="0" t="n">
        <v>14910</v>
      </c>
      <c r="H1869" s="3" t="s">
        <v>14</v>
      </c>
      <c r="I1869" s="4" t="n">
        <f aca="false">D1869*F1869</f>
        <v>16.96</v>
      </c>
      <c r="J1869" s="3" t="n">
        <f aca="false">IF(AND(LEFT(A1869,1)&lt;&gt;"C",D1869&gt;0,F1869&gt;0),1,0)</f>
        <v>1</v>
      </c>
      <c r="K1869" s="3" t="n">
        <f aca="false">IF(AND(H1869="United Kingdom",G1869&lt;&gt;"",COUNTIFS($G$2:G1869,G1869,$H$2:H1869,"United Kingdom")=1),1,0)</f>
        <v>0</v>
      </c>
    </row>
    <row r="1870" customFormat="false" ht="15" hidden="false" customHeight="false" outlineLevel="0" collapsed="false">
      <c r="A1870" s="0" t="s">
        <v>426</v>
      </c>
      <c r="B1870" s="0" t="s">
        <v>45</v>
      </c>
      <c r="C1870" s="0" t="s">
        <v>46</v>
      </c>
      <c r="D1870" s="0" t="n">
        <v>8</v>
      </c>
      <c r="E1870" s="2" t="n">
        <v>40728.6826388889</v>
      </c>
      <c r="F1870" s="0" t="n">
        <v>4.55</v>
      </c>
      <c r="G1870" s="0" t="n">
        <v>14910</v>
      </c>
      <c r="H1870" s="3" t="s">
        <v>14</v>
      </c>
      <c r="I1870" s="4" t="n">
        <f aca="false">D1870*F1870</f>
        <v>36.4</v>
      </c>
      <c r="J1870" s="3" t="n">
        <f aca="false">IF(AND(LEFT(A1870,1)&lt;&gt;"C",D1870&gt;0,F1870&gt;0),1,0)</f>
        <v>1</v>
      </c>
      <c r="K1870" s="3" t="n">
        <f aca="false">IF(AND(H1870="United Kingdom",G1870&lt;&gt;"",COUNTIFS($G$2:G1870,G1870,$H$2:H1870,"United Kingdom")=1),1,0)</f>
        <v>0</v>
      </c>
    </row>
    <row r="1871" customFormat="false" ht="15" hidden="false" customHeight="false" outlineLevel="0" collapsed="false">
      <c r="A1871" s="0" t="s">
        <v>426</v>
      </c>
      <c r="B1871" s="0" t="s">
        <v>68</v>
      </c>
      <c r="C1871" s="0" t="s">
        <v>69</v>
      </c>
      <c r="D1871" s="0" t="n">
        <v>1</v>
      </c>
      <c r="E1871" s="2" t="n">
        <v>40728.6826388889</v>
      </c>
      <c r="F1871" s="0" t="n">
        <v>1.26</v>
      </c>
      <c r="G1871" s="0" t="n">
        <v>14910</v>
      </c>
      <c r="H1871" s="3" t="s">
        <v>14</v>
      </c>
      <c r="I1871" s="4" t="n">
        <f aca="false">D1871*F1871</f>
        <v>1.26</v>
      </c>
      <c r="J1871" s="3" t="n">
        <f aca="false">IF(AND(LEFT(A1871,1)&lt;&gt;"C",D1871&gt;0,F1871&gt;0),1,0)</f>
        <v>1</v>
      </c>
      <c r="K1871" s="3" t="n">
        <f aca="false">IF(AND(H1871="United Kingdom",G1871&lt;&gt;"",COUNTIFS($G$2:G1871,G1871,$H$2:H1871,"United Kingdom")=1),1,0)</f>
        <v>0</v>
      </c>
    </row>
    <row r="1872" customFormat="false" ht="15" hidden="false" customHeight="false" outlineLevel="0" collapsed="false">
      <c r="A1872" s="0" t="s">
        <v>426</v>
      </c>
      <c r="B1872" s="0" t="s">
        <v>50</v>
      </c>
      <c r="C1872" s="0" t="s">
        <v>51</v>
      </c>
      <c r="D1872" s="0" t="n">
        <v>6</v>
      </c>
      <c r="E1872" s="2" t="n">
        <v>40728.6826388889</v>
      </c>
      <c r="F1872" s="0" t="n">
        <v>5.41</v>
      </c>
      <c r="G1872" s="0" t="n">
        <v>14910</v>
      </c>
      <c r="H1872" s="3" t="s">
        <v>14</v>
      </c>
      <c r="I1872" s="4" t="n">
        <f aca="false">D1872*F1872</f>
        <v>32.46</v>
      </c>
      <c r="J1872" s="3" t="n">
        <f aca="false">IF(AND(LEFT(A1872,1)&lt;&gt;"C",D1872&gt;0,F1872&gt;0),1,0)</f>
        <v>1</v>
      </c>
      <c r="K1872" s="3" t="n">
        <f aca="false">IF(AND(H1872="United Kingdom",G1872&lt;&gt;"",COUNTIFS($G$2:G1872,G1872,$H$2:H1872,"United Kingdom")=1),1,0)</f>
        <v>0</v>
      </c>
    </row>
    <row r="1873" customFormat="false" ht="15" hidden="false" customHeight="false" outlineLevel="0" collapsed="false">
      <c r="A1873" s="0" t="s">
        <v>426</v>
      </c>
      <c r="B1873" s="0" t="s">
        <v>52</v>
      </c>
      <c r="C1873" s="0" t="s">
        <v>53</v>
      </c>
      <c r="D1873" s="0" t="n">
        <v>4</v>
      </c>
      <c r="E1873" s="2" t="n">
        <v>40728.6826388889</v>
      </c>
      <c r="F1873" s="0" t="n">
        <v>4.16</v>
      </c>
      <c r="G1873" s="0" t="n">
        <v>14910</v>
      </c>
      <c r="H1873" s="3" t="s">
        <v>14</v>
      </c>
      <c r="I1873" s="4" t="n">
        <f aca="false">D1873*F1873</f>
        <v>16.64</v>
      </c>
      <c r="J1873" s="3" t="n">
        <f aca="false">IF(AND(LEFT(A1873,1)&lt;&gt;"C",D1873&gt;0,F1873&gt;0),1,0)</f>
        <v>1</v>
      </c>
      <c r="K1873" s="3" t="n">
        <f aca="false">IF(AND(H1873="United Kingdom",G1873&lt;&gt;"",COUNTIFS($G$2:G1873,G1873,$H$2:H1873,"United Kingdom")=1),1,0)</f>
        <v>0</v>
      </c>
    </row>
    <row r="1874" customFormat="false" ht="15" hidden="false" customHeight="false" outlineLevel="0" collapsed="false">
      <c r="A1874" s="0" t="s">
        <v>426</v>
      </c>
      <c r="B1874" s="0" t="s">
        <v>58</v>
      </c>
      <c r="C1874" s="0" t="s">
        <v>59</v>
      </c>
      <c r="D1874" s="0" t="n">
        <v>4</v>
      </c>
      <c r="E1874" s="2" t="n">
        <v>40728.6826388889</v>
      </c>
      <c r="F1874" s="0" t="n">
        <v>2.16</v>
      </c>
      <c r="G1874" s="0" t="n">
        <v>14910</v>
      </c>
      <c r="H1874" s="3" t="s">
        <v>14</v>
      </c>
      <c r="I1874" s="4" t="n">
        <f aca="false">D1874*F1874</f>
        <v>8.64</v>
      </c>
      <c r="J1874" s="3" t="n">
        <f aca="false">IF(AND(LEFT(A1874,1)&lt;&gt;"C",D1874&gt;0,F1874&gt;0),1,0)</f>
        <v>1</v>
      </c>
      <c r="K1874" s="3" t="n">
        <f aca="false">IF(AND(H1874="United Kingdom",G1874&lt;&gt;"",COUNTIFS($G$2:G1874,G1874,$H$2:H1874,"United Kingdom")=1),1,0)</f>
        <v>0</v>
      </c>
    </row>
    <row r="1875" customFormat="false" ht="15" hidden="false" customHeight="false" outlineLevel="0" collapsed="false">
      <c r="A1875" s="0" t="s">
        <v>426</v>
      </c>
      <c r="B1875" s="0" t="s">
        <v>63</v>
      </c>
      <c r="C1875" s="0" t="s">
        <v>64</v>
      </c>
      <c r="D1875" s="0" t="n">
        <v>3</v>
      </c>
      <c r="E1875" s="2" t="n">
        <v>40728.6826388889</v>
      </c>
      <c r="F1875" s="0" t="n">
        <v>2.43</v>
      </c>
      <c r="G1875" s="0" t="n">
        <v>14910</v>
      </c>
      <c r="H1875" s="3" t="s">
        <v>14</v>
      </c>
      <c r="I1875" s="4" t="n">
        <f aca="false">D1875*F1875</f>
        <v>7.29</v>
      </c>
      <c r="J1875" s="3" t="n">
        <f aca="false">IF(AND(LEFT(A1875,1)&lt;&gt;"C",D1875&gt;0,F1875&gt;0),1,0)</f>
        <v>1</v>
      </c>
      <c r="K1875" s="3" t="n">
        <f aca="false">IF(AND(H1875="United Kingdom",G1875&lt;&gt;"",COUNTIFS($G$2:G1875,G1875,$H$2:H1875,"United Kingdom")=1),1,0)</f>
        <v>0</v>
      </c>
    </row>
    <row r="1876" customFormat="false" ht="15" hidden="false" customHeight="false" outlineLevel="0" collapsed="false">
      <c r="A1876" s="0" t="s">
        <v>426</v>
      </c>
      <c r="B1876" s="0" t="s">
        <v>75</v>
      </c>
      <c r="C1876" s="0" t="s">
        <v>76</v>
      </c>
      <c r="D1876" s="0" t="n">
        <v>1</v>
      </c>
      <c r="E1876" s="2" t="n">
        <v>40728.6826388889</v>
      </c>
      <c r="F1876" s="0" t="n">
        <v>1.97</v>
      </c>
      <c r="G1876" s="0" t="n">
        <v>14910</v>
      </c>
      <c r="H1876" s="3" t="s">
        <v>14</v>
      </c>
      <c r="I1876" s="4" t="n">
        <f aca="false">D1876*F1876</f>
        <v>1.97</v>
      </c>
      <c r="J1876" s="3" t="n">
        <f aca="false">IF(AND(LEFT(A1876,1)&lt;&gt;"C",D1876&gt;0,F1876&gt;0),1,0)</f>
        <v>1</v>
      </c>
      <c r="K1876" s="3" t="n">
        <f aca="false">IF(AND(H1876="United Kingdom",G1876&lt;&gt;"",COUNTIFS($G$2:G1876,G1876,$H$2:H1876,"United Kingdom")=1),1,0)</f>
        <v>0</v>
      </c>
    </row>
    <row r="1877" customFormat="false" ht="15" hidden="false" customHeight="false" outlineLevel="0" collapsed="false">
      <c r="A1877" s="0" t="s">
        <v>426</v>
      </c>
      <c r="B1877" s="0" t="s">
        <v>72</v>
      </c>
      <c r="C1877" s="0" t="s">
        <v>73</v>
      </c>
      <c r="D1877" s="0" t="n">
        <v>2</v>
      </c>
      <c r="E1877" s="2" t="n">
        <v>40728.6826388889</v>
      </c>
      <c r="F1877" s="0" t="n">
        <v>2.69</v>
      </c>
      <c r="G1877" s="0" t="n">
        <v>14910</v>
      </c>
      <c r="H1877" s="3" t="s">
        <v>14</v>
      </c>
      <c r="I1877" s="4" t="n">
        <f aca="false">D1877*F1877</f>
        <v>5.38</v>
      </c>
      <c r="J1877" s="3" t="n">
        <f aca="false">IF(AND(LEFT(A1877,1)&lt;&gt;"C",D1877&gt;0,F1877&gt;0),1,0)</f>
        <v>1</v>
      </c>
      <c r="K1877" s="3" t="n">
        <f aca="false">IF(AND(H1877="United Kingdom",G1877&lt;&gt;"",COUNTIFS($G$2:G1877,G1877,$H$2:H1877,"United Kingdom")=1),1,0)</f>
        <v>0</v>
      </c>
    </row>
    <row r="1878" customFormat="false" ht="15" hidden="false" customHeight="false" outlineLevel="0" collapsed="false">
      <c r="A1878" s="0" t="s">
        <v>426</v>
      </c>
      <c r="B1878" s="0" t="s">
        <v>41</v>
      </c>
      <c r="C1878" s="0" t="s">
        <v>42</v>
      </c>
      <c r="D1878" s="0" t="n">
        <v>16</v>
      </c>
      <c r="E1878" s="2" t="n">
        <v>40728.6826388889</v>
      </c>
      <c r="F1878" s="0" t="n">
        <v>3.28</v>
      </c>
      <c r="G1878" s="0" t="n">
        <v>14910</v>
      </c>
      <c r="H1878" s="3" t="s">
        <v>14</v>
      </c>
      <c r="I1878" s="4" t="n">
        <f aca="false">D1878*F1878</f>
        <v>52.48</v>
      </c>
      <c r="J1878" s="3" t="n">
        <f aca="false">IF(AND(LEFT(A1878,1)&lt;&gt;"C",D1878&gt;0,F1878&gt;0),1,0)</f>
        <v>1</v>
      </c>
      <c r="K1878" s="3" t="n">
        <f aca="false">IF(AND(H1878="United Kingdom",G1878&lt;&gt;"",COUNTIFS($G$2:G1878,G1878,$H$2:H1878,"United Kingdom")=1),1,0)</f>
        <v>0</v>
      </c>
    </row>
    <row r="1879" customFormat="false" ht="15" hidden="false" customHeight="false" outlineLevel="0" collapsed="false">
      <c r="A1879" s="0" t="s">
        <v>427</v>
      </c>
      <c r="B1879" s="0" t="s">
        <v>39</v>
      </c>
      <c r="C1879" s="0" t="s">
        <v>40</v>
      </c>
      <c r="D1879" s="0" t="n">
        <v>24</v>
      </c>
      <c r="E1879" s="2" t="n">
        <v>40728.7201388889</v>
      </c>
      <c r="F1879" s="0" t="n">
        <v>2.58</v>
      </c>
      <c r="G1879" s="0" t="n">
        <v>16058</v>
      </c>
      <c r="H1879" s="3" t="s">
        <v>14</v>
      </c>
      <c r="I1879" s="4" t="n">
        <f aca="false">D1879*F1879</f>
        <v>61.92</v>
      </c>
      <c r="J1879" s="3" t="n">
        <f aca="false">IF(AND(LEFT(A1879,1)&lt;&gt;"C",D1879&gt;0,F1879&gt;0),1,0)</f>
        <v>1</v>
      </c>
      <c r="K1879" s="3" t="n">
        <f aca="false">IF(AND(H1879="United Kingdom",G1879&lt;&gt;"",COUNTIFS($G$2:G1879,G1879,$H$2:H1879,"United Kingdom")=1),1,0)</f>
        <v>0</v>
      </c>
    </row>
    <row r="1880" customFormat="false" ht="15" hidden="false" customHeight="false" outlineLevel="0" collapsed="false">
      <c r="A1880" s="0" t="s">
        <v>427</v>
      </c>
      <c r="B1880" s="0" t="s">
        <v>113</v>
      </c>
      <c r="C1880" s="0" t="s">
        <v>114</v>
      </c>
      <c r="D1880" s="0" t="n">
        <v>72</v>
      </c>
      <c r="E1880" s="2" t="n">
        <v>40728.7201388889</v>
      </c>
      <c r="F1880" s="0" t="n">
        <v>3.57</v>
      </c>
      <c r="G1880" s="0" t="n">
        <v>16058</v>
      </c>
      <c r="H1880" s="3" t="s">
        <v>14</v>
      </c>
      <c r="I1880" s="4" t="n">
        <f aca="false">D1880*F1880</f>
        <v>257.04</v>
      </c>
      <c r="J1880" s="3" t="n">
        <f aca="false">IF(AND(LEFT(A1880,1)&lt;&gt;"C",D1880&gt;0,F1880&gt;0),1,0)</f>
        <v>1</v>
      </c>
      <c r="K1880" s="3" t="n">
        <f aca="false">IF(AND(H1880="United Kingdom",G1880&lt;&gt;"",COUNTIFS($G$2:G1880,G1880,$H$2:H1880,"United Kingdom")=1),1,0)</f>
        <v>0</v>
      </c>
    </row>
    <row r="1881" customFormat="false" ht="15" hidden="false" customHeight="false" outlineLevel="0" collapsed="false">
      <c r="A1881" s="0" t="s">
        <v>427</v>
      </c>
      <c r="B1881" s="0" t="s">
        <v>77</v>
      </c>
      <c r="C1881" s="0" t="s">
        <v>78</v>
      </c>
      <c r="D1881" s="0" t="n">
        <v>864</v>
      </c>
      <c r="E1881" s="2" t="n">
        <v>40728.7201388889</v>
      </c>
      <c r="F1881" s="0" t="n">
        <v>3.41</v>
      </c>
      <c r="G1881" s="0" t="n">
        <v>16058</v>
      </c>
      <c r="H1881" s="3" t="s">
        <v>14</v>
      </c>
      <c r="I1881" s="4" t="n">
        <f aca="false">D1881*F1881</f>
        <v>2946.24</v>
      </c>
      <c r="J1881" s="3" t="n">
        <f aca="false">IF(AND(LEFT(A1881,1)&lt;&gt;"C",D1881&gt;0,F1881&gt;0),1,0)</f>
        <v>1</v>
      </c>
      <c r="K1881" s="3" t="n">
        <f aca="false">IF(AND(H1881="United Kingdom",G1881&lt;&gt;"",COUNTIFS($G$2:G1881,G1881,$H$2:H1881,"United Kingdom")=1),1,0)</f>
        <v>0</v>
      </c>
    </row>
    <row r="1882" customFormat="false" ht="15" hidden="false" customHeight="false" outlineLevel="0" collapsed="false">
      <c r="A1882" s="0" t="s">
        <v>428</v>
      </c>
      <c r="B1882" s="0" t="s">
        <v>68</v>
      </c>
      <c r="C1882" s="0" t="s">
        <v>69</v>
      </c>
      <c r="D1882" s="0" t="n">
        <v>3</v>
      </c>
      <c r="E1882" s="2" t="n">
        <v>40729.3909722222</v>
      </c>
      <c r="F1882" s="0" t="n">
        <v>1.26</v>
      </c>
      <c r="G1882" s="0" t="n">
        <v>16243</v>
      </c>
      <c r="H1882" s="3" t="s">
        <v>14</v>
      </c>
      <c r="I1882" s="4" t="n">
        <f aca="false">D1882*F1882</f>
        <v>3.78</v>
      </c>
      <c r="J1882" s="3" t="n">
        <f aca="false">IF(AND(LEFT(A1882,1)&lt;&gt;"C",D1882&gt;0,F1882&gt;0),1,0)</f>
        <v>1</v>
      </c>
      <c r="K1882" s="3" t="n">
        <f aca="false">IF(AND(H1882="United Kingdom",G1882&lt;&gt;"",COUNTIFS($G$2:G1882,G1882,$H$2:H1882,"United Kingdom")=1),1,0)</f>
        <v>0</v>
      </c>
    </row>
    <row r="1883" customFormat="false" ht="15" hidden="false" customHeight="false" outlineLevel="0" collapsed="false">
      <c r="A1883" s="0" t="s">
        <v>428</v>
      </c>
      <c r="B1883" s="0" t="s">
        <v>63</v>
      </c>
      <c r="C1883" s="0" t="s">
        <v>64</v>
      </c>
      <c r="D1883" s="0" t="n">
        <v>6</v>
      </c>
      <c r="E1883" s="2" t="n">
        <v>40729.3909722222</v>
      </c>
      <c r="F1883" s="0" t="n">
        <v>2.43</v>
      </c>
      <c r="G1883" s="0" t="n">
        <v>16243</v>
      </c>
      <c r="H1883" s="3" t="s">
        <v>14</v>
      </c>
      <c r="I1883" s="4" t="n">
        <f aca="false">D1883*F1883</f>
        <v>14.58</v>
      </c>
      <c r="J1883" s="3" t="n">
        <f aca="false">IF(AND(LEFT(A1883,1)&lt;&gt;"C",D1883&gt;0,F1883&gt;0),1,0)</f>
        <v>1</v>
      </c>
      <c r="K1883" s="3" t="n">
        <f aca="false">IF(AND(H1883="United Kingdom",G1883&lt;&gt;"",COUNTIFS($G$2:G1883,G1883,$H$2:H1883,"United Kingdom")=1),1,0)</f>
        <v>0</v>
      </c>
    </row>
    <row r="1884" customFormat="false" ht="15" hidden="false" customHeight="false" outlineLevel="0" collapsed="false">
      <c r="A1884" s="0" t="s">
        <v>428</v>
      </c>
      <c r="B1884" s="0" t="s">
        <v>27</v>
      </c>
      <c r="C1884" s="0" t="s">
        <v>28</v>
      </c>
      <c r="D1884" s="0" t="n">
        <v>3</v>
      </c>
      <c r="E1884" s="2" t="n">
        <v>40729.3909722222</v>
      </c>
      <c r="F1884" s="0" t="n">
        <v>4.55</v>
      </c>
      <c r="G1884" s="0" t="n">
        <v>16243</v>
      </c>
      <c r="H1884" s="3" t="s">
        <v>14</v>
      </c>
      <c r="I1884" s="4" t="n">
        <f aca="false">D1884*F1884</f>
        <v>13.65</v>
      </c>
      <c r="J1884" s="3" t="n">
        <f aca="false">IF(AND(LEFT(A1884,1)&lt;&gt;"C",D1884&gt;0,F1884&gt;0),1,0)</f>
        <v>1</v>
      </c>
      <c r="K1884" s="3" t="n">
        <f aca="false">IF(AND(H1884="United Kingdom",G1884&lt;&gt;"",COUNTIFS($G$2:G1884,G1884,$H$2:H1884,"United Kingdom")=1),1,0)</f>
        <v>0</v>
      </c>
    </row>
    <row r="1885" customFormat="false" ht="15" hidden="false" customHeight="false" outlineLevel="0" collapsed="false">
      <c r="A1885" s="0" t="s">
        <v>428</v>
      </c>
      <c r="B1885" s="0" t="s">
        <v>48</v>
      </c>
      <c r="C1885" s="0" t="s">
        <v>49</v>
      </c>
      <c r="D1885" s="0" t="n">
        <v>12</v>
      </c>
      <c r="E1885" s="2" t="n">
        <v>40729.3909722222</v>
      </c>
      <c r="F1885" s="0" t="n">
        <v>1.35</v>
      </c>
      <c r="G1885" s="0" t="n">
        <v>16243</v>
      </c>
      <c r="H1885" s="3" t="s">
        <v>14</v>
      </c>
      <c r="I1885" s="4" t="n">
        <f aca="false">D1885*F1885</f>
        <v>16.2</v>
      </c>
      <c r="J1885" s="3" t="n">
        <f aca="false">IF(AND(LEFT(A1885,1)&lt;&gt;"C",D1885&gt;0,F1885&gt;0),1,0)</f>
        <v>1</v>
      </c>
      <c r="K1885" s="3" t="n">
        <f aca="false">IF(AND(H1885="United Kingdom",G1885&lt;&gt;"",COUNTIFS($G$2:G1885,G1885,$H$2:H1885,"United Kingdom")=1),1,0)</f>
        <v>0</v>
      </c>
    </row>
    <row r="1886" customFormat="false" ht="15" hidden="false" customHeight="false" outlineLevel="0" collapsed="false">
      <c r="A1886" s="0" t="s">
        <v>428</v>
      </c>
      <c r="B1886" s="0" t="s">
        <v>65</v>
      </c>
      <c r="C1886" s="0" t="s">
        <v>66</v>
      </c>
      <c r="D1886" s="0" t="n">
        <v>6</v>
      </c>
      <c r="E1886" s="2" t="n">
        <v>40729.3909722222</v>
      </c>
      <c r="F1886" s="0" t="n">
        <v>4.75</v>
      </c>
      <c r="G1886" s="0" t="n">
        <v>16243</v>
      </c>
      <c r="H1886" s="3" t="s">
        <v>14</v>
      </c>
      <c r="I1886" s="4" t="n">
        <f aca="false">D1886*F1886</f>
        <v>28.5</v>
      </c>
      <c r="J1886" s="3" t="n">
        <f aca="false">IF(AND(LEFT(A1886,1)&lt;&gt;"C",D1886&gt;0,F1886&gt;0),1,0)</f>
        <v>1</v>
      </c>
      <c r="K1886" s="3" t="n">
        <f aca="false">IF(AND(H1886="United Kingdom",G1886&lt;&gt;"",COUNTIFS($G$2:G1886,G1886,$H$2:H1886,"United Kingdom")=1),1,0)</f>
        <v>0</v>
      </c>
    </row>
    <row r="1887" customFormat="false" ht="15" hidden="false" customHeight="false" outlineLevel="0" collapsed="false">
      <c r="A1887" s="0" t="s">
        <v>428</v>
      </c>
      <c r="B1887" s="0" t="s">
        <v>22</v>
      </c>
      <c r="C1887" s="0" t="s">
        <v>23</v>
      </c>
      <c r="D1887" s="0" t="n">
        <v>1</v>
      </c>
      <c r="E1887" s="2" t="n">
        <v>40729.3909722222</v>
      </c>
      <c r="F1887" s="0" t="n">
        <v>3.18</v>
      </c>
      <c r="G1887" s="0" t="n">
        <v>16243</v>
      </c>
      <c r="H1887" s="3" t="s">
        <v>14</v>
      </c>
      <c r="I1887" s="4" t="n">
        <f aca="false">D1887*F1887</f>
        <v>3.18</v>
      </c>
      <c r="J1887" s="3" t="n">
        <f aca="false">IF(AND(LEFT(A1887,1)&lt;&gt;"C",D1887&gt;0,F1887&gt;0),1,0)</f>
        <v>1</v>
      </c>
      <c r="K1887" s="3" t="n">
        <f aca="false">IF(AND(H1887="United Kingdom",G1887&lt;&gt;"",COUNTIFS($G$2:G1887,G1887,$H$2:H1887,"United Kingdom")=1),1,0)</f>
        <v>0</v>
      </c>
    </row>
    <row r="1888" customFormat="false" ht="15" hidden="false" customHeight="false" outlineLevel="0" collapsed="false">
      <c r="A1888" s="0" t="s">
        <v>429</v>
      </c>
      <c r="B1888" s="0" t="s">
        <v>54</v>
      </c>
      <c r="C1888" s="0" t="s">
        <v>55</v>
      </c>
      <c r="D1888" s="0" t="n">
        <v>12</v>
      </c>
      <c r="E1888" s="2" t="n">
        <v>40729.3909722222</v>
      </c>
      <c r="F1888" s="0" t="n">
        <v>0.99</v>
      </c>
      <c r="G1888" s="0" t="n">
        <v>17632</v>
      </c>
      <c r="H1888" s="3" t="s">
        <v>57</v>
      </c>
      <c r="I1888" s="4" t="n">
        <f aca="false">D1888*F1888</f>
        <v>11.88</v>
      </c>
      <c r="J1888" s="3" t="n">
        <f aca="false">IF(AND(LEFT(A1888,1)&lt;&gt;"C",D1888&gt;0,F1888&gt;0),1,0)</f>
        <v>1</v>
      </c>
      <c r="K1888" s="3" t="n">
        <f aca="false">IF(AND(H1888="United Kingdom",G1888&lt;&gt;"",COUNTIFS($G$2:G1888,G1888,$H$2:H1888,"United Kingdom")=1),1,0)</f>
        <v>0</v>
      </c>
    </row>
    <row r="1889" customFormat="false" ht="15" hidden="false" customHeight="false" outlineLevel="0" collapsed="false">
      <c r="A1889" s="0" t="s">
        <v>429</v>
      </c>
      <c r="B1889" s="0" t="s">
        <v>63</v>
      </c>
      <c r="C1889" s="0" t="s">
        <v>64</v>
      </c>
      <c r="D1889" s="0" t="n">
        <v>6</v>
      </c>
      <c r="E1889" s="2" t="n">
        <v>40729.3909722222</v>
      </c>
      <c r="F1889" s="0" t="n">
        <v>2.43</v>
      </c>
      <c r="G1889" s="0" t="n">
        <v>17632</v>
      </c>
      <c r="H1889" s="3" t="s">
        <v>57</v>
      </c>
      <c r="I1889" s="4" t="n">
        <f aca="false">D1889*F1889</f>
        <v>14.58</v>
      </c>
      <c r="J1889" s="3" t="n">
        <f aca="false">IF(AND(LEFT(A1889,1)&lt;&gt;"C",D1889&gt;0,F1889&gt;0),1,0)</f>
        <v>1</v>
      </c>
      <c r="K1889" s="3" t="n">
        <f aca="false">IF(AND(H1889="United Kingdom",G1889&lt;&gt;"",COUNTIFS($G$2:G1889,G1889,$H$2:H1889,"United Kingdom")=1),1,0)</f>
        <v>0</v>
      </c>
    </row>
    <row r="1890" customFormat="false" ht="15" hidden="false" customHeight="false" outlineLevel="0" collapsed="false">
      <c r="A1890" s="0" t="s">
        <v>430</v>
      </c>
      <c r="B1890" s="0" t="s">
        <v>113</v>
      </c>
      <c r="C1890" s="0" t="s">
        <v>114</v>
      </c>
      <c r="D1890" s="0" t="n">
        <v>8</v>
      </c>
      <c r="E1890" s="2" t="n">
        <v>40729.6354166667</v>
      </c>
      <c r="F1890" s="0" t="n">
        <v>3.57</v>
      </c>
      <c r="G1890" s="0" t="n">
        <v>16420</v>
      </c>
      <c r="H1890" s="3" t="s">
        <v>14</v>
      </c>
      <c r="I1890" s="4" t="n">
        <f aca="false">D1890*F1890</f>
        <v>28.56</v>
      </c>
      <c r="J1890" s="3" t="n">
        <f aca="false">IF(AND(LEFT(A1890,1)&lt;&gt;"C",D1890&gt;0,F1890&gt;0),1,0)</f>
        <v>1</v>
      </c>
      <c r="K1890" s="3" t="n">
        <f aca="false">IF(AND(H1890="United Kingdom",G1890&lt;&gt;"",COUNTIFS($G$2:G1890,G1890,$H$2:H1890,"United Kingdom")=1),1,0)</f>
        <v>0</v>
      </c>
    </row>
    <row r="1891" customFormat="false" ht="15" hidden="false" customHeight="false" outlineLevel="0" collapsed="false">
      <c r="A1891" s="0" t="s">
        <v>430</v>
      </c>
      <c r="B1891" s="0" t="s">
        <v>75</v>
      </c>
      <c r="C1891" s="0" t="s">
        <v>76</v>
      </c>
      <c r="D1891" s="0" t="n">
        <v>8</v>
      </c>
      <c r="E1891" s="2" t="n">
        <v>40729.6354166667</v>
      </c>
      <c r="F1891" s="0" t="n">
        <v>1.97</v>
      </c>
      <c r="G1891" s="0" t="n">
        <v>16420</v>
      </c>
      <c r="H1891" s="3" t="s">
        <v>14</v>
      </c>
      <c r="I1891" s="4" t="n">
        <f aca="false">D1891*F1891</f>
        <v>15.76</v>
      </c>
      <c r="J1891" s="3" t="n">
        <f aca="false">IF(AND(LEFT(A1891,1)&lt;&gt;"C",D1891&gt;0,F1891&gt;0),1,0)</f>
        <v>1</v>
      </c>
      <c r="K1891" s="3" t="n">
        <f aca="false">IF(AND(H1891="United Kingdom",G1891&lt;&gt;"",COUNTIFS($G$2:G1891,G1891,$H$2:H1891,"United Kingdom")=1),1,0)</f>
        <v>0</v>
      </c>
    </row>
    <row r="1892" customFormat="false" ht="15" hidden="false" customHeight="false" outlineLevel="0" collapsed="false">
      <c r="A1892" s="0" t="s">
        <v>430</v>
      </c>
      <c r="B1892" s="0" t="s">
        <v>54</v>
      </c>
      <c r="C1892" s="0" t="s">
        <v>55</v>
      </c>
      <c r="D1892" s="0" t="n">
        <v>3</v>
      </c>
      <c r="E1892" s="2" t="n">
        <v>40729.6354166667</v>
      </c>
      <c r="F1892" s="0" t="n">
        <v>0.99</v>
      </c>
      <c r="G1892" s="0" t="n">
        <v>16420</v>
      </c>
      <c r="H1892" s="3" t="s">
        <v>14</v>
      </c>
      <c r="I1892" s="4" t="n">
        <f aca="false">D1892*F1892</f>
        <v>2.97</v>
      </c>
      <c r="J1892" s="3" t="n">
        <f aca="false">IF(AND(LEFT(A1892,1)&lt;&gt;"C",D1892&gt;0,F1892&gt;0),1,0)</f>
        <v>1</v>
      </c>
      <c r="K1892" s="3" t="n">
        <f aca="false">IF(AND(H1892="United Kingdom",G1892&lt;&gt;"",COUNTIFS($G$2:G1892,G1892,$H$2:H1892,"United Kingdom")=1),1,0)</f>
        <v>0</v>
      </c>
    </row>
    <row r="1893" customFormat="false" ht="15" hidden="false" customHeight="false" outlineLevel="0" collapsed="false">
      <c r="A1893" s="0" t="s">
        <v>431</v>
      </c>
      <c r="B1893" s="0" t="s">
        <v>45</v>
      </c>
      <c r="C1893" s="0" t="s">
        <v>46</v>
      </c>
      <c r="D1893" s="0" t="n">
        <v>2</v>
      </c>
      <c r="E1893" s="2" t="n">
        <v>40730.5277777778</v>
      </c>
      <c r="F1893" s="0" t="n">
        <v>4.55</v>
      </c>
      <c r="G1893" s="0" t="n">
        <v>14026</v>
      </c>
      <c r="H1893" s="3" t="s">
        <v>14</v>
      </c>
      <c r="I1893" s="4" t="n">
        <f aca="false">D1893*F1893</f>
        <v>9.1</v>
      </c>
      <c r="J1893" s="3" t="n">
        <f aca="false">IF(AND(LEFT(A1893,1)&lt;&gt;"C",D1893&gt;0,F1893&gt;0),1,0)</f>
        <v>1</v>
      </c>
      <c r="K1893" s="3" t="n">
        <f aca="false">IF(AND(H1893="United Kingdom",G1893&lt;&gt;"",COUNTIFS($G$2:G1893,G1893,$H$2:H1893,"United Kingdom")=1),1,0)</f>
        <v>0</v>
      </c>
    </row>
    <row r="1894" customFormat="false" ht="15" hidden="false" customHeight="false" outlineLevel="0" collapsed="false">
      <c r="A1894" s="0" t="s">
        <v>431</v>
      </c>
      <c r="B1894" s="0" t="s">
        <v>41</v>
      </c>
      <c r="C1894" s="0" t="s">
        <v>42</v>
      </c>
      <c r="D1894" s="0" t="n">
        <v>4</v>
      </c>
      <c r="E1894" s="2" t="n">
        <v>40730.5277777778</v>
      </c>
      <c r="F1894" s="0" t="n">
        <v>3.28</v>
      </c>
      <c r="G1894" s="0" t="n">
        <v>14026</v>
      </c>
      <c r="H1894" s="3" t="s">
        <v>14</v>
      </c>
      <c r="I1894" s="4" t="n">
        <f aca="false">D1894*F1894</f>
        <v>13.12</v>
      </c>
      <c r="J1894" s="3" t="n">
        <f aca="false">IF(AND(LEFT(A1894,1)&lt;&gt;"C",D1894&gt;0,F1894&gt;0),1,0)</f>
        <v>1</v>
      </c>
      <c r="K1894" s="3" t="n">
        <f aca="false">IF(AND(H1894="United Kingdom",G1894&lt;&gt;"",COUNTIFS($G$2:G1894,G1894,$H$2:H1894,"United Kingdom")=1),1,0)</f>
        <v>0</v>
      </c>
    </row>
    <row r="1895" customFormat="false" ht="15" hidden="false" customHeight="false" outlineLevel="0" collapsed="false">
      <c r="A1895" s="0" t="s">
        <v>432</v>
      </c>
      <c r="B1895" s="0" t="s">
        <v>39</v>
      </c>
      <c r="C1895" s="0" t="s">
        <v>40</v>
      </c>
      <c r="D1895" s="0" t="n">
        <v>2</v>
      </c>
      <c r="E1895" s="2" t="n">
        <v>40730.5583333333</v>
      </c>
      <c r="F1895" s="0" t="n">
        <v>2.58</v>
      </c>
      <c r="G1895" s="0" t="n">
        <v>12972</v>
      </c>
      <c r="H1895" s="3" t="s">
        <v>14</v>
      </c>
      <c r="I1895" s="4" t="n">
        <f aca="false">D1895*F1895</f>
        <v>5.16</v>
      </c>
      <c r="J1895" s="3" t="n">
        <f aca="false">IF(AND(LEFT(A1895,1)&lt;&gt;"C",D1895&gt;0,F1895&gt;0),1,0)</f>
        <v>1</v>
      </c>
      <c r="K1895" s="3" t="n">
        <f aca="false">IF(AND(H1895="United Kingdom",G1895&lt;&gt;"",COUNTIFS($G$2:G1895,G1895,$H$2:H1895,"United Kingdom")=1),1,0)</f>
        <v>0</v>
      </c>
    </row>
    <row r="1896" customFormat="false" ht="15" hidden="false" customHeight="false" outlineLevel="0" collapsed="false">
      <c r="A1896" s="0" t="s">
        <v>432</v>
      </c>
      <c r="B1896" s="0" t="s">
        <v>50</v>
      </c>
      <c r="C1896" s="0" t="s">
        <v>51</v>
      </c>
      <c r="D1896" s="0" t="n">
        <v>6</v>
      </c>
      <c r="E1896" s="2" t="n">
        <v>40730.5583333333</v>
      </c>
      <c r="F1896" s="0" t="n">
        <v>5.41</v>
      </c>
      <c r="G1896" s="0" t="n">
        <v>12972</v>
      </c>
      <c r="H1896" s="3" t="s">
        <v>14</v>
      </c>
      <c r="I1896" s="4" t="n">
        <f aca="false">D1896*F1896</f>
        <v>32.46</v>
      </c>
      <c r="J1896" s="3" t="n">
        <f aca="false">IF(AND(LEFT(A1896,1)&lt;&gt;"C",D1896&gt;0,F1896&gt;0),1,0)</f>
        <v>1</v>
      </c>
      <c r="K1896" s="3" t="n">
        <f aca="false">IF(AND(H1896="United Kingdom",G1896&lt;&gt;"",COUNTIFS($G$2:G1896,G1896,$H$2:H1896,"United Kingdom")=1),1,0)</f>
        <v>0</v>
      </c>
    </row>
    <row r="1897" customFormat="false" ht="15" hidden="false" customHeight="false" outlineLevel="0" collapsed="false">
      <c r="A1897" s="0" t="s">
        <v>432</v>
      </c>
      <c r="B1897" s="0" t="s">
        <v>17</v>
      </c>
      <c r="C1897" s="0" t="s">
        <v>18</v>
      </c>
      <c r="D1897" s="0" t="n">
        <v>1</v>
      </c>
      <c r="E1897" s="2" t="n">
        <v>40730.5583333333</v>
      </c>
      <c r="F1897" s="0" t="n">
        <v>1.92</v>
      </c>
      <c r="G1897" s="0" t="n">
        <v>12972</v>
      </c>
      <c r="H1897" s="3" t="s">
        <v>14</v>
      </c>
      <c r="I1897" s="4" t="n">
        <f aca="false">D1897*F1897</f>
        <v>1.92</v>
      </c>
      <c r="J1897" s="3" t="n">
        <f aca="false">IF(AND(LEFT(A1897,1)&lt;&gt;"C",D1897&gt;0,F1897&gt;0),1,0)</f>
        <v>1</v>
      </c>
      <c r="K1897" s="3" t="n">
        <f aca="false">IF(AND(H1897="United Kingdom",G1897&lt;&gt;"",COUNTIFS($G$2:G1897,G1897,$H$2:H1897,"United Kingdom")=1),1,0)</f>
        <v>0</v>
      </c>
    </row>
    <row r="1898" customFormat="false" ht="15" hidden="false" customHeight="false" outlineLevel="0" collapsed="false">
      <c r="A1898" s="0" t="s">
        <v>432</v>
      </c>
      <c r="B1898" s="0" t="s">
        <v>63</v>
      </c>
      <c r="C1898" s="0" t="s">
        <v>64</v>
      </c>
      <c r="D1898" s="0" t="n">
        <v>4</v>
      </c>
      <c r="E1898" s="2" t="n">
        <v>40730.5583333333</v>
      </c>
      <c r="F1898" s="0" t="n">
        <v>2.43</v>
      </c>
      <c r="G1898" s="0" t="n">
        <v>12972</v>
      </c>
      <c r="H1898" s="3" t="s">
        <v>14</v>
      </c>
      <c r="I1898" s="4" t="n">
        <f aca="false">D1898*F1898</f>
        <v>9.72</v>
      </c>
      <c r="J1898" s="3" t="n">
        <f aca="false">IF(AND(LEFT(A1898,1)&lt;&gt;"C",D1898&gt;0,F1898&gt;0),1,0)</f>
        <v>1</v>
      </c>
      <c r="K1898" s="3" t="n">
        <f aca="false">IF(AND(H1898="United Kingdom",G1898&lt;&gt;"",COUNTIFS($G$2:G1898,G1898,$H$2:H1898,"United Kingdom")=1),1,0)</f>
        <v>0</v>
      </c>
    </row>
    <row r="1899" customFormat="false" ht="15" hidden="false" customHeight="false" outlineLevel="0" collapsed="false">
      <c r="A1899" s="0" t="s">
        <v>432</v>
      </c>
      <c r="B1899" s="0" t="s">
        <v>20</v>
      </c>
      <c r="C1899" s="0" t="s">
        <v>21</v>
      </c>
      <c r="D1899" s="0" t="n">
        <v>12</v>
      </c>
      <c r="E1899" s="2" t="n">
        <v>40730.5583333333</v>
      </c>
      <c r="F1899" s="0" t="n">
        <v>4.24</v>
      </c>
      <c r="G1899" s="0" t="n">
        <v>12972</v>
      </c>
      <c r="H1899" s="3" t="s">
        <v>14</v>
      </c>
      <c r="I1899" s="4" t="n">
        <f aca="false">D1899*F1899</f>
        <v>50.88</v>
      </c>
      <c r="J1899" s="3" t="n">
        <f aca="false">IF(AND(LEFT(A1899,1)&lt;&gt;"C",D1899&gt;0,F1899&gt;0),1,0)</f>
        <v>1</v>
      </c>
      <c r="K1899" s="3" t="n">
        <f aca="false">IF(AND(H1899="United Kingdom",G1899&lt;&gt;"",COUNTIFS($G$2:G1899,G1899,$H$2:H1899,"United Kingdom")=1),1,0)</f>
        <v>0</v>
      </c>
    </row>
    <row r="1900" customFormat="false" ht="15" hidden="false" customHeight="false" outlineLevel="0" collapsed="false">
      <c r="A1900" s="0" t="s">
        <v>432</v>
      </c>
      <c r="B1900" s="0" t="s">
        <v>22</v>
      </c>
      <c r="C1900" s="0" t="s">
        <v>23</v>
      </c>
      <c r="D1900" s="0" t="n">
        <v>1</v>
      </c>
      <c r="E1900" s="2" t="n">
        <v>40730.5583333333</v>
      </c>
      <c r="F1900" s="0" t="n">
        <v>3.18</v>
      </c>
      <c r="G1900" s="0" t="n">
        <v>12972</v>
      </c>
      <c r="H1900" s="3" t="s">
        <v>14</v>
      </c>
      <c r="I1900" s="4" t="n">
        <f aca="false">D1900*F1900</f>
        <v>3.18</v>
      </c>
      <c r="J1900" s="3" t="n">
        <f aca="false">IF(AND(LEFT(A1900,1)&lt;&gt;"C",D1900&gt;0,F1900&gt;0),1,0)</f>
        <v>1</v>
      </c>
      <c r="K1900" s="3" t="n">
        <f aca="false">IF(AND(H1900="United Kingdom",G1900&lt;&gt;"",COUNTIFS($G$2:G1900,G1900,$H$2:H1900,"United Kingdom")=1),1,0)</f>
        <v>0</v>
      </c>
    </row>
    <row r="1901" customFormat="false" ht="15" hidden="false" customHeight="false" outlineLevel="0" collapsed="false">
      <c r="A1901" s="0" t="s">
        <v>432</v>
      </c>
      <c r="B1901" s="0" t="s">
        <v>58</v>
      </c>
      <c r="C1901" s="0" t="s">
        <v>59</v>
      </c>
      <c r="D1901" s="0" t="n">
        <v>12</v>
      </c>
      <c r="E1901" s="2" t="n">
        <v>40730.5583333333</v>
      </c>
      <c r="F1901" s="0" t="n">
        <v>2.16</v>
      </c>
      <c r="G1901" s="0" t="n">
        <v>12972</v>
      </c>
      <c r="H1901" s="3" t="s">
        <v>14</v>
      </c>
      <c r="I1901" s="4" t="n">
        <f aca="false">D1901*F1901</f>
        <v>25.92</v>
      </c>
      <c r="J1901" s="3" t="n">
        <f aca="false">IF(AND(LEFT(A1901,1)&lt;&gt;"C",D1901&gt;0,F1901&gt;0),1,0)</f>
        <v>1</v>
      </c>
      <c r="K1901" s="3" t="n">
        <f aca="false">IF(AND(H1901="United Kingdom",G1901&lt;&gt;"",COUNTIFS($G$2:G1901,G1901,$H$2:H1901,"United Kingdom")=1),1,0)</f>
        <v>0</v>
      </c>
    </row>
    <row r="1902" customFormat="false" ht="15" hidden="false" customHeight="false" outlineLevel="0" collapsed="false">
      <c r="A1902" s="0" t="s">
        <v>432</v>
      </c>
      <c r="B1902" s="0" t="s">
        <v>54</v>
      </c>
      <c r="C1902" s="0" t="s">
        <v>55</v>
      </c>
      <c r="D1902" s="0" t="n">
        <v>2</v>
      </c>
      <c r="E1902" s="2" t="n">
        <v>40730.5583333333</v>
      </c>
      <c r="F1902" s="0" t="n">
        <v>0.99</v>
      </c>
      <c r="G1902" s="0" t="n">
        <v>12972</v>
      </c>
      <c r="H1902" s="3" t="s">
        <v>14</v>
      </c>
      <c r="I1902" s="4" t="n">
        <f aca="false">D1902*F1902</f>
        <v>1.98</v>
      </c>
      <c r="J1902" s="3" t="n">
        <f aca="false">IF(AND(LEFT(A1902,1)&lt;&gt;"C",D1902&gt;0,F1902&gt;0),1,0)</f>
        <v>1</v>
      </c>
      <c r="K1902" s="3" t="n">
        <f aca="false">IF(AND(H1902="United Kingdom",G1902&lt;&gt;"",COUNTIFS($G$2:G1902,G1902,$H$2:H1902,"United Kingdom")=1),1,0)</f>
        <v>0</v>
      </c>
    </row>
    <row r="1903" customFormat="false" ht="15" hidden="false" customHeight="false" outlineLevel="0" collapsed="false">
      <c r="A1903" s="0" t="s">
        <v>432</v>
      </c>
      <c r="B1903" s="0" t="s">
        <v>60</v>
      </c>
      <c r="C1903" s="0" t="s">
        <v>61</v>
      </c>
      <c r="D1903" s="0" t="n">
        <v>8</v>
      </c>
      <c r="E1903" s="2" t="n">
        <v>40730.5583333333</v>
      </c>
      <c r="F1903" s="0" t="n">
        <v>0.63</v>
      </c>
      <c r="G1903" s="0" t="n">
        <v>12972</v>
      </c>
      <c r="H1903" s="3" t="s">
        <v>14</v>
      </c>
      <c r="I1903" s="4" t="n">
        <f aca="false">D1903*F1903</f>
        <v>5.04</v>
      </c>
      <c r="J1903" s="3" t="n">
        <f aca="false">IF(AND(LEFT(A1903,1)&lt;&gt;"C",D1903&gt;0,F1903&gt;0),1,0)</f>
        <v>1</v>
      </c>
      <c r="K1903" s="3" t="n">
        <f aca="false">IF(AND(H1903="United Kingdom",G1903&lt;&gt;"",COUNTIFS($G$2:G1903,G1903,$H$2:H1903,"United Kingdom")=1),1,0)</f>
        <v>0</v>
      </c>
    </row>
    <row r="1904" customFormat="false" ht="15" hidden="false" customHeight="false" outlineLevel="0" collapsed="false">
      <c r="A1904" s="0" t="s">
        <v>432</v>
      </c>
      <c r="B1904" s="0" t="s">
        <v>27</v>
      </c>
      <c r="C1904" s="0" t="s">
        <v>28</v>
      </c>
      <c r="D1904" s="0" t="n">
        <v>8</v>
      </c>
      <c r="E1904" s="2" t="n">
        <v>40730.5583333333</v>
      </c>
      <c r="F1904" s="0" t="n">
        <v>4.55</v>
      </c>
      <c r="G1904" s="0" t="n">
        <v>12972</v>
      </c>
      <c r="H1904" s="3" t="s">
        <v>14</v>
      </c>
      <c r="I1904" s="4" t="n">
        <f aca="false">D1904*F1904</f>
        <v>36.4</v>
      </c>
      <c r="J1904" s="3" t="n">
        <f aca="false">IF(AND(LEFT(A1904,1)&lt;&gt;"C",D1904&gt;0,F1904&gt;0),1,0)</f>
        <v>1</v>
      </c>
      <c r="K1904" s="3" t="n">
        <f aca="false">IF(AND(H1904="United Kingdom",G1904&lt;&gt;"",COUNTIFS($G$2:G1904,G1904,$H$2:H1904,"United Kingdom")=1),1,0)</f>
        <v>0</v>
      </c>
    </row>
    <row r="1905" customFormat="false" ht="15" hidden="false" customHeight="false" outlineLevel="0" collapsed="false">
      <c r="A1905" s="0" t="s">
        <v>432</v>
      </c>
      <c r="B1905" s="0" t="s">
        <v>25</v>
      </c>
      <c r="C1905" s="0" t="s">
        <v>26</v>
      </c>
      <c r="D1905" s="0" t="n">
        <v>4</v>
      </c>
      <c r="E1905" s="2" t="n">
        <v>40730.5583333333</v>
      </c>
      <c r="F1905" s="0" t="n">
        <v>2.21</v>
      </c>
      <c r="G1905" s="0" t="n">
        <v>12972</v>
      </c>
      <c r="H1905" s="3" t="s">
        <v>14</v>
      </c>
      <c r="I1905" s="4" t="n">
        <f aca="false">D1905*F1905</f>
        <v>8.84</v>
      </c>
      <c r="J1905" s="3" t="n">
        <f aca="false">IF(AND(LEFT(A1905,1)&lt;&gt;"C",D1905&gt;0,F1905&gt;0),1,0)</f>
        <v>1</v>
      </c>
      <c r="K1905" s="3" t="n">
        <f aca="false">IF(AND(H1905="United Kingdom",G1905&lt;&gt;"",COUNTIFS($G$2:G1905,G1905,$H$2:H1905,"United Kingdom")=1),1,0)</f>
        <v>0</v>
      </c>
    </row>
    <row r="1906" customFormat="false" ht="15" hidden="false" customHeight="false" outlineLevel="0" collapsed="false">
      <c r="A1906" s="0" t="s">
        <v>432</v>
      </c>
      <c r="B1906" s="0" t="s">
        <v>29</v>
      </c>
      <c r="C1906" s="0" t="s">
        <v>30</v>
      </c>
      <c r="D1906" s="0" t="n">
        <v>8</v>
      </c>
      <c r="E1906" s="2" t="n">
        <v>40730.5583333333</v>
      </c>
      <c r="F1906" s="0" t="n">
        <v>5.79</v>
      </c>
      <c r="G1906" s="0" t="n">
        <v>12972</v>
      </c>
      <c r="H1906" s="3" t="s">
        <v>14</v>
      </c>
      <c r="I1906" s="4" t="n">
        <f aca="false">D1906*F1906</f>
        <v>46.32</v>
      </c>
      <c r="J1906" s="3" t="n">
        <f aca="false">IF(AND(LEFT(A1906,1)&lt;&gt;"C",D1906&gt;0,F1906&gt;0),1,0)</f>
        <v>1</v>
      </c>
      <c r="K1906" s="3" t="n">
        <f aca="false">IF(AND(H1906="United Kingdom",G1906&lt;&gt;"",COUNTIFS($G$2:G1906,G1906,$H$2:H1906,"United Kingdom")=1),1,0)</f>
        <v>0</v>
      </c>
    </row>
    <row r="1907" customFormat="false" ht="15" hidden="false" customHeight="false" outlineLevel="0" collapsed="false">
      <c r="A1907" s="0" t="s">
        <v>432</v>
      </c>
      <c r="B1907" s="0" t="s">
        <v>12</v>
      </c>
      <c r="C1907" s="0" t="s">
        <v>13</v>
      </c>
      <c r="D1907" s="0" t="n">
        <v>3</v>
      </c>
      <c r="E1907" s="2" t="n">
        <v>40730.5583333333</v>
      </c>
      <c r="F1907" s="0" t="n">
        <v>3.33</v>
      </c>
      <c r="G1907" s="0" t="n">
        <v>12972</v>
      </c>
      <c r="H1907" s="3" t="s">
        <v>14</v>
      </c>
      <c r="I1907" s="4" t="n">
        <f aca="false">D1907*F1907</f>
        <v>9.99</v>
      </c>
      <c r="J1907" s="3" t="n">
        <f aca="false">IF(AND(LEFT(A1907,1)&lt;&gt;"C",D1907&gt;0,F1907&gt;0),1,0)</f>
        <v>1</v>
      </c>
      <c r="K1907" s="3" t="n">
        <f aca="false">IF(AND(H1907="United Kingdom",G1907&lt;&gt;"",COUNTIFS($G$2:G1907,G1907,$H$2:H1907,"United Kingdom")=1),1,0)</f>
        <v>0</v>
      </c>
    </row>
    <row r="1908" customFormat="false" ht="15" hidden="false" customHeight="false" outlineLevel="0" collapsed="false">
      <c r="A1908" s="0" t="s">
        <v>432</v>
      </c>
      <c r="B1908" s="0" t="s">
        <v>113</v>
      </c>
      <c r="C1908" s="0" t="s">
        <v>114</v>
      </c>
      <c r="D1908" s="0" t="n">
        <v>3</v>
      </c>
      <c r="E1908" s="2" t="n">
        <v>40730.5583333333</v>
      </c>
      <c r="F1908" s="0" t="n">
        <v>3.57</v>
      </c>
      <c r="G1908" s="0" t="n">
        <v>12972</v>
      </c>
      <c r="H1908" s="3" t="s">
        <v>14</v>
      </c>
      <c r="I1908" s="4" t="n">
        <f aca="false">D1908*F1908</f>
        <v>10.71</v>
      </c>
      <c r="J1908" s="3" t="n">
        <f aca="false">IF(AND(LEFT(A1908,1)&lt;&gt;"C",D1908&gt;0,F1908&gt;0),1,0)</f>
        <v>1</v>
      </c>
      <c r="K1908" s="3" t="n">
        <f aca="false">IF(AND(H1908="United Kingdom",G1908&lt;&gt;"",COUNTIFS($G$2:G1908,G1908,$H$2:H1908,"United Kingdom")=1),1,0)</f>
        <v>0</v>
      </c>
    </row>
    <row r="1909" customFormat="false" ht="15" hidden="false" customHeight="false" outlineLevel="0" collapsed="false">
      <c r="A1909" s="0" t="s">
        <v>432</v>
      </c>
      <c r="B1909" s="0" t="s">
        <v>90</v>
      </c>
      <c r="C1909" s="0" t="s">
        <v>91</v>
      </c>
      <c r="D1909" s="0" t="n">
        <v>2</v>
      </c>
      <c r="E1909" s="2" t="n">
        <v>40730.5583333333</v>
      </c>
      <c r="F1909" s="0" t="n">
        <v>3.04</v>
      </c>
      <c r="G1909" s="0" t="n">
        <v>12972</v>
      </c>
      <c r="H1909" s="3" t="s">
        <v>14</v>
      </c>
      <c r="I1909" s="4" t="n">
        <f aca="false">D1909*F1909</f>
        <v>6.08</v>
      </c>
      <c r="J1909" s="3" t="n">
        <f aca="false">IF(AND(LEFT(A1909,1)&lt;&gt;"C",D1909&gt;0,F1909&gt;0),1,0)</f>
        <v>1</v>
      </c>
      <c r="K1909" s="3" t="n">
        <f aca="false">IF(AND(H1909="United Kingdom",G1909&lt;&gt;"",COUNTIFS($G$2:G1909,G1909,$H$2:H1909,"United Kingdom")=1),1,0)</f>
        <v>0</v>
      </c>
    </row>
    <row r="1910" customFormat="false" ht="15" hidden="false" customHeight="false" outlineLevel="0" collapsed="false">
      <c r="A1910" s="0" t="s">
        <v>433</v>
      </c>
      <c r="B1910" s="0" t="s">
        <v>77</v>
      </c>
      <c r="C1910" s="0" t="s">
        <v>78</v>
      </c>
      <c r="D1910" s="0" t="n">
        <v>19</v>
      </c>
      <c r="E1910" s="2" t="n">
        <v>40732.8319444444</v>
      </c>
      <c r="F1910" s="0" t="n">
        <v>3.41</v>
      </c>
      <c r="G1910" s="0" t="n">
        <v>13034</v>
      </c>
      <c r="H1910" s="3" t="s">
        <v>57</v>
      </c>
      <c r="I1910" s="4" t="n">
        <f aca="false">D1910*F1910</f>
        <v>64.79</v>
      </c>
      <c r="J1910" s="3" t="n">
        <f aca="false">IF(AND(LEFT(A1910,1)&lt;&gt;"C",D1910&gt;0,F1910&gt;0),1,0)</f>
        <v>1</v>
      </c>
      <c r="K1910" s="3" t="n">
        <f aca="false">IF(AND(H1910="United Kingdom",G1910&lt;&gt;"",COUNTIFS($G$2:G1910,G1910,$H$2:H1910,"United Kingdom")=1),1,0)</f>
        <v>0</v>
      </c>
    </row>
    <row r="1911" customFormat="false" ht="15" hidden="false" customHeight="false" outlineLevel="0" collapsed="false">
      <c r="A1911" s="0" t="s">
        <v>433</v>
      </c>
      <c r="B1911" s="0" t="s">
        <v>25</v>
      </c>
      <c r="C1911" s="0" t="s">
        <v>26</v>
      </c>
      <c r="D1911" s="0" t="n">
        <v>153</v>
      </c>
      <c r="E1911" s="2" t="n">
        <v>40732.8319444444</v>
      </c>
      <c r="F1911" s="0" t="n">
        <v>2.21</v>
      </c>
      <c r="G1911" s="0" t="n">
        <v>13034</v>
      </c>
      <c r="H1911" s="3" t="s">
        <v>57</v>
      </c>
      <c r="I1911" s="4" t="n">
        <f aca="false">D1911*F1911</f>
        <v>338.13</v>
      </c>
      <c r="J1911" s="3" t="n">
        <f aca="false">IF(AND(LEFT(A1911,1)&lt;&gt;"C",D1911&gt;0,F1911&gt;0),1,0)</f>
        <v>1</v>
      </c>
      <c r="K1911" s="3" t="n">
        <f aca="false">IF(AND(H1911="United Kingdom",G1911&lt;&gt;"",COUNTIFS($G$2:G1911,G1911,$H$2:H1911,"United Kingdom")=1),1,0)</f>
        <v>0</v>
      </c>
    </row>
    <row r="1912" customFormat="false" ht="15" hidden="false" customHeight="false" outlineLevel="0" collapsed="false">
      <c r="A1912" s="0" t="s">
        <v>433</v>
      </c>
      <c r="B1912" s="0" t="s">
        <v>27</v>
      </c>
      <c r="C1912" s="0" t="s">
        <v>28</v>
      </c>
      <c r="D1912" s="0" t="n">
        <v>691</v>
      </c>
      <c r="E1912" s="2" t="n">
        <v>40732.8319444444</v>
      </c>
      <c r="F1912" s="0" t="n">
        <v>4.55</v>
      </c>
      <c r="G1912" s="0" t="n">
        <v>13034</v>
      </c>
      <c r="H1912" s="3" t="s">
        <v>57</v>
      </c>
      <c r="I1912" s="4" t="n">
        <f aca="false">D1912*F1912</f>
        <v>3144.05</v>
      </c>
      <c r="J1912" s="3" t="n">
        <f aca="false">IF(AND(LEFT(A1912,1)&lt;&gt;"C",D1912&gt;0,F1912&gt;0),1,0)</f>
        <v>1</v>
      </c>
      <c r="K1912" s="3" t="n">
        <f aca="false">IF(AND(H1912="United Kingdom",G1912&lt;&gt;"",COUNTIFS($G$2:G1912,G1912,$H$2:H1912,"United Kingdom")=1),1,0)</f>
        <v>0</v>
      </c>
    </row>
    <row r="1913" customFormat="false" ht="15" hidden="false" customHeight="false" outlineLevel="0" collapsed="false">
      <c r="A1913" s="0" t="s">
        <v>433</v>
      </c>
      <c r="B1913" s="0" t="s">
        <v>50</v>
      </c>
      <c r="C1913" s="0" t="s">
        <v>51</v>
      </c>
      <c r="D1913" s="0" t="n">
        <v>57</v>
      </c>
      <c r="E1913" s="2" t="n">
        <v>40732.8319444444</v>
      </c>
      <c r="F1913" s="0" t="n">
        <v>5.41</v>
      </c>
      <c r="G1913" s="0" t="n">
        <v>13034</v>
      </c>
      <c r="H1913" s="3" t="s">
        <v>57</v>
      </c>
      <c r="I1913" s="4" t="n">
        <f aca="false">D1913*F1913</f>
        <v>308.37</v>
      </c>
      <c r="J1913" s="3" t="n">
        <f aca="false">IF(AND(LEFT(A1913,1)&lt;&gt;"C",D1913&gt;0,F1913&gt;0),1,0)</f>
        <v>1</v>
      </c>
      <c r="K1913" s="3" t="n">
        <f aca="false">IF(AND(H1913="United Kingdom",G1913&lt;&gt;"",COUNTIFS($G$2:G1913,G1913,$H$2:H1913,"United Kingdom")=1),1,0)</f>
        <v>0</v>
      </c>
    </row>
    <row r="1914" customFormat="false" ht="15" hidden="false" customHeight="false" outlineLevel="0" collapsed="false">
      <c r="A1914" s="0" t="s">
        <v>433</v>
      </c>
      <c r="B1914" s="0" t="s">
        <v>75</v>
      </c>
      <c r="C1914" s="0" t="s">
        <v>76</v>
      </c>
      <c r="D1914" s="0" t="n">
        <v>460</v>
      </c>
      <c r="E1914" s="2" t="n">
        <v>40732.8319444444</v>
      </c>
      <c r="F1914" s="0" t="n">
        <v>1.97</v>
      </c>
      <c r="G1914" s="0" t="n">
        <v>13034</v>
      </c>
      <c r="H1914" s="3" t="s">
        <v>57</v>
      </c>
      <c r="I1914" s="4" t="n">
        <f aca="false">D1914*F1914</f>
        <v>906.2</v>
      </c>
      <c r="J1914" s="3" t="n">
        <f aca="false">IF(AND(LEFT(A1914,1)&lt;&gt;"C",D1914&gt;0,F1914&gt;0),1,0)</f>
        <v>1</v>
      </c>
      <c r="K1914" s="3" t="n">
        <f aca="false">IF(AND(H1914="United Kingdom",G1914&lt;&gt;"",COUNTIFS($G$2:G1914,G1914,$H$2:H1914,"United Kingdom")=1),1,0)</f>
        <v>0</v>
      </c>
    </row>
    <row r="1915" customFormat="false" ht="15" hidden="false" customHeight="false" outlineLevel="0" collapsed="false">
      <c r="A1915" s="0" t="s">
        <v>433</v>
      </c>
      <c r="B1915" s="0" t="s">
        <v>65</v>
      </c>
      <c r="C1915" s="0" t="s">
        <v>66</v>
      </c>
      <c r="D1915" s="0" t="n">
        <v>460</v>
      </c>
      <c r="E1915" s="2" t="n">
        <v>40732.8319444444</v>
      </c>
      <c r="F1915" s="0" t="n">
        <v>4.75</v>
      </c>
      <c r="G1915" s="0" t="n">
        <v>13034</v>
      </c>
      <c r="H1915" s="3" t="s">
        <v>57</v>
      </c>
      <c r="I1915" s="4" t="n">
        <f aca="false">D1915*F1915</f>
        <v>2185</v>
      </c>
      <c r="J1915" s="3" t="n">
        <f aca="false">IF(AND(LEFT(A1915,1)&lt;&gt;"C",D1915&gt;0,F1915&gt;0),1,0)</f>
        <v>1</v>
      </c>
      <c r="K1915" s="3" t="n">
        <f aca="false">IF(AND(H1915="United Kingdom",G1915&lt;&gt;"",COUNTIFS($G$2:G1915,G1915,$H$2:H1915,"United Kingdom")=1),1,0)</f>
        <v>0</v>
      </c>
    </row>
    <row r="1916" customFormat="false" ht="15" hidden="false" customHeight="false" outlineLevel="0" collapsed="false">
      <c r="A1916" s="0" t="s">
        <v>433</v>
      </c>
      <c r="B1916" s="0" t="s">
        <v>72</v>
      </c>
      <c r="C1916" s="0" t="s">
        <v>73</v>
      </c>
      <c r="D1916" s="0" t="n">
        <v>76</v>
      </c>
      <c r="E1916" s="2" t="n">
        <v>40732.8319444444</v>
      </c>
      <c r="F1916" s="0" t="n">
        <v>2.69</v>
      </c>
      <c r="G1916" s="0" t="n">
        <v>13034</v>
      </c>
      <c r="H1916" s="3" t="s">
        <v>57</v>
      </c>
      <c r="I1916" s="4" t="n">
        <f aca="false">D1916*F1916</f>
        <v>204.44</v>
      </c>
      <c r="J1916" s="3" t="n">
        <f aca="false">IF(AND(LEFT(A1916,1)&lt;&gt;"C",D1916&gt;0,F1916&gt;0),1,0)</f>
        <v>1</v>
      </c>
      <c r="K1916" s="3" t="n">
        <f aca="false">IF(AND(H1916="United Kingdom",G1916&lt;&gt;"",COUNTIFS($G$2:G1916,G1916,$H$2:H1916,"United Kingdom")=1),1,0)</f>
        <v>0</v>
      </c>
    </row>
    <row r="1917" customFormat="false" ht="15" hidden="false" customHeight="false" outlineLevel="0" collapsed="false">
      <c r="A1917" s="0" t="s">
        <v>434</v>
      </c>
      <c r="B1917" s="0" t="s">
        <v>72</v>
      </c>
      <c r="C1917" s="0" t="s">
        <v>73</v>
      </c>
      <c r="D1917" s="0" t="n">
        <v>1</v>
      </c>
      <c r="E1917" s="2" t="n">
        <v>40733.4291666667</v>
      </c>
      <c r="F1917" s="0" t="n">
        <v>2.69</v>
      </c>
      <c r="G1917" s="0" t="n">
        <v>15884</v>
      </c>
      <c r="H1917" s="3" t="s">
        <v>14</v>
      </c>
      <c r="I1917" s="4" t="n">
        <f aca="false">D1917*F1917</f>
        <v>2.69</v>
      </c>
      <c r="J1917" s="3" t="n">
        <f aca="false">IF(AND(LEFT(A1917,1)&lt;&gt;"C",D1917&gt;0,F1917&gt;0),1,0)</f>
        <v>1</v>
      </c>
      <c r="K1917" s="3" t="n">
        <f aca="false">IF(AND(H1917="United Kingdom",G1917&lt;&gt;"",COUNTIFS($G$2:G1917,G1917,$H$2:H1917,"United Kingdom")=1),1,0)</f>
        <v>0</v>
      </c>
    </row>
    <row r="1918" customFormat="false" ht="15" hidden="false" customHeight="false" outlineLevel="0" collapsed="false">
      <c r="A1918" s="0" t="s">
        <v>434</v>
      </c>
      <c r="B1918" s="0" t="s">
        <v>68</v>
      </c>
      <c r="C1918" s="0" t="s">
        <v>69</v>
      </c>
      <c r="D1918" s="0" t="n">
        <v>4</v>
      </c>
      <c r="E1918" s="2" t="n">
        <v>40733.4291666667</v>
      </c>
      <c r="F1918" s="0" t="n">
        <v>1.26</v>
      </c>
      <c r="G1918" s="0" t="n">
        <v>15884</v>
      </c>
      <c r="H1918" s="3" t="s">
        <v>14</v>
      </c>
      <c r="I1918" s="4" t="n">
        <f aca="false">D1918*F1918</f>
        <v>5.04</v>
      </c>
      <c r="J1918" s="3" t="n">
        <f aca="false">IF(AND(LEFT(A1918,1)&lt;&gt;"C",D1918&gt;0,F1918&gt;0),1,0)</f>
        <v>1</v>
      </c>
      <c r="K1918" s="3" t="n">
        <f aca="false">IF(AND(H1918="United Kingdom",G1918&lt;&gt;"",COUNTIFS($G$2:G1918,G1918,$H$2:H1918,"United Kingdom")=1),1,0)</f>
        <v>0</v>
      </c>
    </row>
    <row r="1919" customFormat="false" ht="15" hidden="false" customHeight="false" outlineLevel="0" collapsed="false">
      <c r="A1919" s="0" t="s">
        <v>434</v>
      </c>
      <c r="B1919" s="0" t="s">
        <v>113</v>
      </c>
      <c r="C1919" s="0" t="s">
        <v>114</v>
      </c>
      <c r="D1919" s="0" t="n">
        <v>3</v>
      </c>
      <c r="E1919" s="2" t="n">
        <v>40733.4291666667</v>
      </c>
      <c r="F1919" s="0" t="n">
        <v>3.57</v>
      </c>
      <c r="G1919" s="0" t="n">
        <v>15884</v>
      </c>
      <c r="H1919" s="3" t="s">
        <v>14</v>
      </c>
      <c r="I1919" s="4" t="n">
        <f aca="false">D1919*F1919</f>
        <v>10.71</v>
      </c>
      <c r="J1919" s="3" t="n">
        <f aca="false">IF(AND(LEFT(A1919,1)&lt;&gt;"C",D1919&gt;0,F1919&gt;0),1,0)</f>
        <v>1</v>
      </c>
      <c r="K1919" s="3" t="n">
        <f aca="false">IF(AND(H1919="United Kingdom",G1919&lt;&gt;"",COUNTIFS($G$2:G1919,G1919,$H$2:H1919,"United Kingdom")=1),1,0)</f>
        <v>0</v>
      </c>
    </row>
    <row r="1920" customFormat="false" ht="15" hidden="false" customHeight="false" outlineLevel="0" collapsed="false">
      <c r="A1920" s="0" t="s">
        <v>434</v>
      </c>
      <c r="B1920" s="0" t="s">
        <v>50</v>
      </c>
      <c r="C1920" s="0" t="s">
        <v>51</v>
      </c>
      <c r="D1920" s="0" t="n">
        <v>16</v>
      </c>
      <c r="E1920" s="2" t="n">
        <v>40733.4291666667</v>
      </c>
      <c r="F1920" s="0" t="n">
        <v>5.41</v>
      </c>
      <c r="G1920" s="0" t="n">
        <v>15884</v>
      </c>
      <c r="H1920" s="3" t="s">
        <v>14</v>
      </c>
      <c r="I1920" s="4" t="n">
        <f aca="false">D1920*F1920</f>
        <v>86.56</v>
      </c>
      <c r="J1920" s="3" t="n">
        <f aca="false">IF(AND(LEFT(A1920,1)&lt;&gt;"C",D1920&gt;0,F1920&gt;0),1,0)</f>
        <v>1</v>
      </c>
      <c r="K1920" s="3" t="n">
        <f aca="false">IF(AND(H1920="United Kingdom",G1920&lt;&gt;"",COUNTIFS($G$2:G1920,G1920,$H$2:H1920,"United Kingdom")=1),1,0)</f>
        <v>0</v>
      </c>
    </row>
    <row r="1921" customFormat="false" ht="15" hidden="false" customHeight="false" outlineLevel="0" collapsed="false">
      <c r="A1921" s="0" t="s">
        <v>435</v>
      </c>
      <c r="B1921" s="0" t="s">
        <v>90</v>
      </c>
      <c r="C1921" s="0" t="s">
        <v>91</v>
      </c>
      <c r="D1921" s="0" t="n">
        <v>2</v>
      </c>
      <c r="E1921" s="2" t="n">
        <v>40733.4763888889</v>
      </c>
      <c r="F1921" s="0" t="n">
        <v>3.04</v>
      </c>
      <c r="H1921" s="3" t="s">
        <v>14</v>
      </c>
      <c r="I1921" s="4" t="n">
        <f aca="false">D1921*F1921</f>
        <v>6.08</v>
      </c>
      <c r="J1921" s="3" t="n">
        <f aca="false">IF(AND(LEFT(A1921,1)&lt;&gt;"C",D1921&gt;0,F1921&gt;0),1,0)</f>
        <v>1</v>
      </c>
      <c r="K1921" s="3" t="n">
        <f aca="false">IF(AND(H1921="United Kingdom",G1921&lt;&gt;"",COUNTIFS($G$2:G1921,G1921,$H$2:H1921,"United Kingdom")=1),1,0)</f>
        <v>0</v>
      </c>
    </row>
    <row r="1922" customFormat="false" ht="15" hidden="false" customHeight="false" outlineLevel="0" collapsed="false">
      <c r="A1922" s="0" t="s">
        <v>435</v>
      </c>
      <c r="B1922" s="0" t="s">
        <v>68</v>
      </c>
      <c r="C1922" s="0" t="s">
        <v>69</v>
      </c>
      <c r="D1922" s="0" t="n">
        <v>4</v>
      </c>
      <c r="E1922" s="2" t="n">
        <v>40733.4763888889</v>
      </c>
      <c r="F1922" s="0" t="n">
        <v>1.26</v>
      </c>
      <c r="H1922" s="3" t="s">
        <v>14</v>
      </c>
      <c r="I1922" s="4" t="n">
        <f aca="false">D1922*F1922</f>
        <v>5.04</v>
      </c>
      <c r="J1922" s="3" t="n">
        <f aca="false">IF(AND(LEFT(A1922,1)&lt;&gt;"C",D1922&gt;0,F1922&gt;0),1,0)</f>
        <v>1</v>
      </c>
      <c r="K1922" s="3" t="n">
        <f aca="false">IF(AND(H1922="United Kingdom",G1922&lt;&gt;"",COUNTIFS($G$2:G1922,G1922,$H$2:H1922,"United Kingdom")=1),1,0)</f>
        <v>0</v>
      </c>
    </row>
    <row r="1923" customFormat="false" ht="15" hidden="false" customHeight="false" outlineLevel="0" collapsed="false">
      <c r="A1923" s="0" t="s">
        <v>435</v>
      </c>
      <c r="B1923" s="0" t="s">
        <v>17</v>
      </c>
      <c r="C1923" s="0" t="s">
        <v>18</v>
      </c>
      <c r="D1923" s="0" t="n">
        <v>8</v>
      </c>
      <c r="E1923" s="2" t="n">
        <v>40733.4763888889</v>
      </c>
      <c r="F1923" s="0" t="n">
        <v>1.92</v>
      </c>
      <c r="H1923" s="3" t="s">
        <v>14</v>
      </c>
      <c r="I1923" s="4" t="n">
        <f aca="false">D1923*F1923</f>
        <v>15.36</v>
      </c>
      <c r="J1923" s="3" t="n">
        <f aca="false">IF(AND(LEFT(A1923,1)&lt;&gt;"C",D1923&gt;0,F1923&gt;0),1,0)</f>
        <v>1</v>
      </c>
      <c r="K1923" s="3" t="n">
        <f aca="false">IF(AND(H1923="United Kingdom",G1923&lt;&gt;"",COUNTIFS($G$2:G1923,G1923,$H$2:H1923,"United Kingdom")=1),1,0)</f>
        <v>0</v>
      </c>
    </row>
    <row r="1924" customFormat="false" ht="15" hidden="false" customHeight="false" outlineLevel="0" collapsed="false">
      <c r="A1924" s="0" t="s">
        <v>436</v>
      </c>
      <c r="B1924" s="0" t="s">
        <v>58</v>
      </c>
      <c r="C1924" s="0" t="s">
        <v>59</v>
      </c>
      <c r="D1924" s="0" t="n">
        <v>144</v>
      </c>
      <c r="E1924" s="2" t="n">
        <v>40733.80625</v>
      </c>
      <c r="F1924" s="0" t="n">
        <v>2.16</v>
      </c>
      <c r="G1924" s="0" t="n">
        <v>13100</v>
      </c>
      <c r="H1924" s="3" t="s">
        <v>14</v>
      </c>
      <c r="I1924" s="4" t="n">
        <f aca="false">D1924*F1924</f>
        <v>311.04</v>
      </c>
      <c r="J1924" s="3" t="n">
        <f aca="false">IF(AND(LEFT(A1924,1)&lt;&gt;"C",D1924&gt;0,F1924&gt;0),1,0)</f>
        <v>1</v>
      </c>
      <c r="K1924" s="3" t="n">
        <f aca="false">IF(AND(H1924="United Kingdom",G1924&lt;&gt;"",COUNTIFS($G$2:G1924,G1924,$H$2:H1924,"United Kingdom")=1),1,0)</f>
        <v>0</v>
      </c>
    </row>
    <row r="1925" customFormat="false" ht="15" hidden="false" customHeight="false" outlineLevel="0" collapsed="false">
      <c r="A1925" s="0" t="s">
        <v>436</v>
      </c>
      <c r="B1925" s="0" t="s">
        <v>113</v>
      </c>
      <c r="C1925" s="0" t="s">
        <v>114</v>
      </c>
      <c r="D1925" s="0" t="n">
        <v>72</v>
      </c>
      <c r="E1925" s="2" t="n">
        <v>40733.80625</v>
      </c>
      <c r="F1925" s="0" t="n">
        <v>3.57</v>
      </c>
      <c r="G1925" s="0" t="n">
        <v>13100</v>
      </c>
      <c r="H1925" s="3" t="s">
        <v>14</v>
      </c>
      <c r="I1925" s="4" t="n">
        <f aca="false">D1925*F1925</f>
        <v>257.04</v>
      </c>
      <c r="J1925" s="3" t="n">
        <f aca="false">IF(AND(LEFT(A1925,1)&lt;&gt;"C",D1925&gt;0,F1925&gt;0),1,0)</f>
        <v>1</v>
      </c>
      <c r="K1925" s="3" t="n">
        <f aca="false">IF(AND(H1925="United Kingdom",G1925&lt;&gt;"",COUNTIFS($G$2:G1925,G1925,$H$2:H1925,"United Kingdom")=1),1,0)</f>
        <v>0</v>
      </c>
    </row>
    <row r="1926" customFormat="false" ht="15" hidden="false" customHeight="false" outlineLevel="0" collapsed="false">
      <c r="A1926" s="0" t="s">
        <v>436</v>
      </c>
      <c r="B1926" s="0" t="s">
        <v>54</v>
      </c>
      <c r="C1926" s="0" t="s">
        <v>55</v>
      </c>
      <c r="D1926" s="0" t="n">
        <v>12</v>
      </c>
      <c r="E1926" s="2" t="n">
        <v>40733.80625</v>
      </c>
      <c r="F1926" s="0" t="n">
        <v>0.99</v>
      </c>
      <c r="G1926" s="0" t="n">
        <v>13100</v>
      </c>
      <c r="H1926" s="3" t="s">
        <v>14</v>
      </c>
      <c r="I1926" s="4" t="n">
        <f aca="false">D1926*F1926</f>
        <v>11.88</v>
      </c>
      <c r="J1926" s="3" t="n">
        <f aca="false">IF(AND(LEFT(A1926,1)&lt;&gt;"C",D1926&gt;0,F1926&gt;0),1,0)</f>
        <v>1</v>
      </c>
      <c r="K1926" s="3" t="n">
        <f aca="false">IF(AND(H1926="United Kingdom",G1926&lt;&gt;"",COUNTIFS($G$2:G1926,G1926,$H$2:H1926,"United Kingdom")=1),1,0)</f>
        <v>0</v>
      </c>
    </row>
    <row r="1927" customFormat="false" ht="15" hidden="false" customHeight="false" outlineLevel="0" collapsed="false">
      <c r="A1927" s="0" t="s">
        <v>437</v>
      </c>
      <c r="B1927" s="0" t="s">
        <v>90</v>
      </c>
      <c r="C1927" s="0" t="s">
        <v>91</v>
      </c>
      <c r="D1927" s="0" t="n">
        <v>48</v>
      </c>
      <c r="E1927" s="2" t="n">
        <v>40734.3465277778</v>
      </c>
      <c r="F1927" s="0" t="n">
        <v>3.04</v>
      </c>
      <c r="G1927" s="0" t="n">
        <v>16066</v>
      </c>
      <c r="H1927" s="3" t="s">
        <v>14</v>
      </c>
      <c r="I1927" s="4" t="n">
        <f aca="false">D1927*F1927</f>
        <v>145.92</v>
      </c>
      <c r="J1927" s="3" t="n">
        <f aca="false">IF(AND(LEFT(A1927,1)&lt;&gt;"C",D1927&gt;0,F1927&gt;0),1,0)</f>
        <v>1</v>
      </c>
      <c r="K1927" s="3" t="n">
        <f aca="false">IF(AND(H1927="United Kingdom",G1927&lt;&gt;"",COUNTIFS($G$2:G1927,G1927,$H$2:H1927,"United Kingdom")=1),1,0)</f>
        <v>0</v>
      </c>
    </row>
    <row r="1928" customFormat="false" ht="15" hidden="false" customHeight="false" outlineLevel="0" collapsed="false">
      <c r="A1928" s="0" t="s">
        <v>437</v>
      </c>
      <c r="B1928" s="0" t="s">
        <v>68</v>
      </c>
      <c r="C1928" s="0" t="s">
        <v>69</v>
      </c>
      <c r="D1928" s="0" t="n">
        <v>24</v>
      </c>
      <c r="E1928" s="2" t="n">
        <v>40734.3465277778</v>
      </c>
      <c r="F1928" s="0" t="n">
        <v>1.26</v>
      </c>
      <c r="G1928" s="0" t="n">
        <v>16066</v>
      </c>
      <c r="H1928" s="3" t="s">
        <v>14</v>
      </c>
      <c r="I1928" s="4" t="n">
        <f aca="false">D1928*F1928</f>
        <v>30.24</v>
      </c>
      <c r="J1928" s="3" t="n">
        <f aca="false">IF(AND(LEFT(A1928,1)&lt;&gt;"C",D1928&gt;0,F1928&gt;0),1,0)</f>
        <v>1</v>
      </c>
      <c r="K1928" s="3" t="n">
        <f aca="false">IF(AND(H1928="United Kingdom",G1928&lt;&gt;"",COUNTIFS($G$2:G1928,G1928,$H$2:H1928,"United Kingdom")=1),1,0)</f>
        <v>0</v>
      </c>
    </row>
    <row r="1929" customFormat="false" ht="15" hidden="false" customHeight="false" outlineLevel="0" collapsed="false">
      <c r="A1929" s="0" t="s">
        <v>437</v>
      </c>
      <c r="B1929" s="0" t="s">
        <v>72</v>
      </c>
      <c r="C1929" s="0" t="s">
        <v>73</v>
      </c>
      <c r="D1929" s="0" t="n">
        <v>18</v>
      </c>
      <c r="E1929" s="2" t="n">
        <v>40734.3465277778</v>
      </c>
      <c r="F1929" s="0" t="n">
        <v>2.69</v>
      </c>
      <c r="G1929" s="0" t="n">
        <v>16066</v>
      </c>
      <c r="H1929" s="3" t="s">
        <v>14</v>
      </c>
      <c r="I1929" s="4" t="n">
        <f aca="false">D1929*F1929</f>
        <v>48.42</v>
      </c>
      <c r="J1929" s="3" t="n">
        <f aca="false">IF(AND(LEFT(A1929,1)&lt;&gt;"C",D1929&gt;0,F1929&gt;0),1,0)</f>
        <v>1</v>
      </c>
      <c r="K1929" s="3" t="n">
        <f aca="false">IF(AND(H1929="United Kingdom",G1929&lt;&gt;"",COUNTIFS($G$2:G1929,G1929,$H$2:H1929,"United Kingdom")=1),1,0)</f>
        <v>0</v>
      </c>
    </row>
    <row r="1930" customFormat="false" ht="15" hidden="false" customHeight="false" outlineLevel="0" collapsed="false">
      <c r="A1930" s="0" t="s">
        <v>437</v>
      </c>
      <c r="B1930" s="0" t="s">
        <v>43</v>
      </c>
      <c r="C1930" s="0" t="s">
        <v>44</v>
      </c>
      <c r="D1930" s="0" t="n">
        <v>144</v>
      </c>
      <c r="E1930" s="2" t="n">
        <v>40734.3465277778</v>
      </c>
      <c r="F1930" s="0" t="n">
        <v>1.35</v>
      </c>
      <c r="G1930" s="0" t="n">
        <v>16066</v>
      </c>
      <c r="H1930" s="3" t="s">
        <v>14</v>
      </c>
      <c r="I1930" s="4" t="n">
        <f aca="false">D1930*F1930</f>
        <v>194.4</v>
      </c>
      <c r="J1930" s="3" t="n">
        <f aca="false">IF(AND(LEFT(A1930,1)&lt;&gt;"C",D1930&gt;0,F1930&gt;0),1,0)</f>
        <v>1</v>
      </c>
      <c r="K1930" s="3" t="n">
        <f aca="false">IF(AND(H1930="United Kingdom",G1930&lt;&gt;"",COUNTIFS($G$2:G1930,G1930,$H$2:H1930,"United Kingdom")=1),1,0)</f>
        <v>0</v>
      </c>
    </row>
    <row r="1931" customFormat="false" ht="15" hidden="false" customHeight="false" outlineLevel="0" collapsed="false">
      <c r="A1931" s="0" t="s">
        <v>437</v>
      </c>
      <c r="B1931" s="0" t="s">
        <v>60</v>
      </c>
      <c r="C1931" s="0" t="s">
        <v>61</v>
      </c>
      <c r="D1931" s="0" t="n">
        <v>18</v>
      </c>
      <c r="E1931" s="2" t="n">
        <v>40734.3465277778</v>
      </c>
      <c r="F1931" s="0" t="n">
        <v>0.63</v>
      </c>
      <c r="G1931" s="0" t="n">
        <v>16066</v>
      </c>
      <c r="H1931" s="3" t="s">
        <v>14</v>
      </c>
      <c r="I1931" s="4" t="n">
        <f aca="false">D1931*F1931</f>
        <v>11.34</v>
      </c>
      <c r="J1931" s="3" t="n">
        <f aca="false">IF(AND(LEFT(A1931,1)&lt;&gt;"C",D1931&gt;0,F1931&gt;0),1,0)</f>
        <v>1</v>
      </c>
      <c r="K1931" s="3" t="n">
        <f aca="false">IF(AND(H1931="United Kingdom",G1931&lt;&gt;"",COUNTIFS($G$2:G1931,G1931,$H$2:H1931,"United Kingdom")=1),1,0)</f>
        <v>0</v>
      </c>
    </row>
    <row r="1932" customFormat="false" ht="15" hidden="false" customHeight="false" outlineLevel="0" collapsed="false">
      <c r="A1932" s="0" t="s">
        <v>437</v>
      </c>
      <c r="B1932" s="0" t="s">
        <v>75</v>
      </c>
      <c r="C1932" s="0" t="s">
        <v>76</v>
      </c>
      <c r="D1932" s="0" t="n">
        <v>216</v>
      </c>
      <c r="E1932" s="2" t="n">
        <v>40734.3465277778</v>
      </c>
      <c r="F1932" s="0" t="n">
        <v>1.97</v>
      </c>
      <c r="G1932" s="0" t="n">
        <v>16066</v>
      </c>
      <c r="H1932" s="3" t="s">
        <v>14</v>
      </c>
      <c r="I1932" s="4" t="n">
        <f aca="false">D1932*F1932</f>
        <v>425.52</v>
      </c>
      <c r="J1932" s="3" t="n">
        <f aca="false">IF(AND(LEFT(A1932,1)&lt;&gt;"C",D1932&gt;0,F1932&gt;0),1,0)</f>
        <v>1</v>
      </c>
      <c r="K1932" s="3" t="n">
        <f aca="false">IF(AND(H1932="United Kingdom",G1932&lt;&gt;"",COUNTIFS($G$2:G1932,G1932,$H$2:H1932,"United Kingdom")=1),1,0)</f>
        <v>0</v>
      </c>
    </row>
    <row r="1933" customFormat="false" ht="15" hidden="false" customHeight="false" outlineLevel="0" collapsed="false">
      <c r="A1933" s="0" t="s">
        <v>438</v>
      </c>
      <c r="B1933" s="0" t="s">
        <v>27</v>
      </c>
      <c r="C1933" s="0" t="s">
        <v>28</v>
      </c>
      <c r="D1933" s="0" t="n">
        <v>1</v>
      </c>
      <c r="E1933" s="2" t="n">
        <v>40734.4097222222</v>
      </c>
      <c r="F1933" s="0" t="n">
        <v>4.55</v>
      </c>
      <c r="G1933" s="0" t="n">
        <v>13742</v>
      </c>
      <c r="H1933" s="3" t="s">
        <v>14</v>
      </c>
      <c r="I1933" s="4" t="n">
        <f aca="false">D1933*F1933</f>
        <v>4.55</v>
      </c>
      <c r="J1933" s="3" t="n">
        <f aca="false">IF(AND(LEFT(A1933,1)&lt;&gt;"C",D1933&gt;0,F1933&gt;0),1,0)</f>
        <v>1</v>
      </c>
      <c r="K1933" s="3" t="n">
        <f aca="false">IF(AND(H1933="United Kingdom",G1933&lt;&gt;"",COUNTIFS($G$2:G1933,G1933,$H$2:H1933,"United Kingdom")=1),1,0)</f>
        <v>1</v>
      </c>
    </row>
    <row r="1934" customFormat="false" ht="15" hidden="false" customHeight="false" outlineLevel="0" collapsed="false">
      <c r="A1934" s="0" t="s">
        <v>438</v>
      </c>
      <c r="B1934" s="0" t="s">
        <v>45</v>
      </c>
      <c r="C1934" s="0" t="s">
        <v>46</v>
      </c>
      <c r="D1934" s="0" t="n">
        <v>6</v>
      </c>
      <c r="E1934" s="2" t="n">
        <v>40734.4097222222</v>
      </c>
      <c r="F1934" s="0" t="n">
        <v>4.55</v>
      </c>
      <c r="G1934" s="0" t="n">
        <v>13742</v>
      </c>
      <c r="H1934" s="3" t="s">
        <v>14</v>
      </c>
      <c r="I1934" s="4" t="n">
        <f aca="false">D1934*F1934</f>
        <v>27.3</v>
      </c>
      <c r="J1934" s="3" t="n">
        <f aca="false">IF(AND(LEFT(A1934,1)&lt;&gt;"C",D1934&gt;0,F1934&gt;0),1,0)</f>
        <v>1</v>
      </c>
      <c r="K1934" s="3" t="n">
        <f aca="false">IF(AND(H1934="United Kingdom",G1934&lt;&gt;"",COUNTIFS($G$2:G1934,G1934,$H$2:H1934,"United Kingdom")=1),1,0)</f>
        <v>0</v>
      </c>
    </row>
    <row r="1935" customFormat="false" ht="15" hidden="false" customHeight="false" outlineLevel="0" collapsed="false">
      <c r="A1935" s="0" t="s">
        <v>438</v>
      </c>
      <c r="B1935" s="0" t="s">
        <v>22</v>
      </c>
      <c r="C1935" s="0" t="s">
        <v>23</v>
      </c>
      <c r="D1935" s="0" t="n">
        <v>8</v>
      </c>
      <c r="E1935" s="2" t="n">
        <v>40734.4097222222</v>
      </c>
      <c r="F1935" s="0" t="n">
        <v>3.18</v>
      </c>
      <c r="G1935" s="0" t="n">
        <v>13742</v>
      </c>
      <c r="H1935" s="3" t="s">
        <v>14</v>
      </c>
      <c r="I1935" s="4" t="n">
        <f aca="false">D1935*F1935</f>
        <v>25.44</v>
      </c>
      <c r="J1935" s="3" t="n">
        <f aca="false">IF(AND(LEFT(A1935,1)&lt;&gt;"C",D1935&gt;0,F1935&gt;0),1,0)</f>
        <v>1</v>
      </c>
      <c r="K1935" s="3" t="n">
        <f aca="false">IF(AND(H1935="United Kingdom",G1935&lt;&gt;"",COUNTIFS($G$2:G1935,G1935,$H$2:H1935,"United Kingdom")=1),1,0)</f>
        <v>0</v>
      </c>
    </row>
    <row r="1936" customFormat="false" ht="15" hidden="false" customHeight="false" outlineLevel="0" collapsed="false">
      <c r="A1936" s="0" t="s">
        <v>438</v>
      </c>
      <c r="B1936" s="0" t="s">
        <v>34</v>
      </c>
      <c r="C1936" s="0" t="s">
        <v>35</v>
      </c>
      <c r="D1936" s="0" t="n">
        <v>4</v>
      </c>
      <c r="E1936" s="2" t="n">
        <v>40734.4097222222</v>
      </c>
      <c r="F1936" s="0" t="n">
        <v>2.38</v>
      </c>
      <c r="G1936" s="0" t="n">
        <v>13742</v>
      </c>
      <c r="H1936" s="3" t="s">
        <v>14</v>
      </c>
      <c r="I1936" s="4" t="n">
        <f aca="false">D1936*F1936</f>
        <v>9.52</v>
      </c>
      <c r="J1936" s="3" t="n">
        <f aca="false">IF(AND(LEFT(A1936,1)&lt;&gt;"C",D1936&gt;0,F1936&gt;0),1,0)</f>
        <v>1</v>
      </c>
      <c r="K1936" s="3" t="n">
        <f aca="false">IF(AND(H1936="United Kingdom",G1936&lt;&gt;"",COUNTIFS($G$2:G1936,G1936,$H$2:H1936,"United Kingdom")=1),1,0)</f>
        <v>0</v>
      </c>
    </row>
    <row r="1937" customFormat="false" ht="15" hidden="false" customHeight="false" outlineLevel="0" collapsed="false">
      <c r="A1937" s="0" t="s">
        <v>438</v>
      </c>
      <c r="B1937" s="0" t="s">
        <v>50</v>
      </c>
      <c r="C1937" s="0" t="s">
        <v>51</v>
      </c>
      <c r="D1937" s="0" t="n">
        <v>2</v>
      </c>
      <c r="E1937" s="2" t="n">
        <v>40734.4097222222</v>
      </c>
      <c r="F1937" s="0" t="n">
        <v>5.41</v>
      </c>
      <c r="G1937" s="0" t="n">
        <v>13742</v>
      </c>
      <c r="H1937" s="3" t="s">
        <v>14</v>
      </c>
      <c r="I1937" s="4" t="n">
        <f aca="false">D1937*F1937</f>
        <v>10.82</v>
      </c>
      <c r="J1937" s="3" t="n">
        <f aca="false">IF(AND(LEFT(A1937,1)&lt;&gt;"C",D1937&gt;0,F1937&gt;0),1,0)</f>
        <v>1</v>
      </c>
      <c r="K1937" s="3" t="n">
        <f aca="false">IF(AND(H1937="United Kingdom",G1937&lt;&gt;"",COUNTIFS($G$2:G1937,G1937,$H$2:H1937,"United Kingdom")=1),1,0)</f>
        <v>0</v>
      </c>
    </row>
    <row r="1938" customFormat="false" ht="15" hidden="false" customHeight="false" outlineLevel="0" collapsed="false">
      <c r="A1938" s="0" t="s">
        <v>438</v>
      </c>
      <c r="B1938" s="0" t="s">
        <v>68</v>
      </c>
      <c r="C1938" s="0" t="s">
        <v>69</v>
      </c>
      <c r="D1938" s="0" t="n">
        <v>4</v>
      </c>
      <c r="E1938" s="2" t="n">
        <v>40734.4097222222</v>
      </c>
      <c r="F1938" s="0" t="n">
        <v>1.26</v>
      </c>
      <c r="G1938" s="0" t="n">
        <v>13742</v>
      </c>
      <c r="H1938" s="3" t="s">
        <v>14</v>
      </c>
      <c r="I1938" s="4" t="n">
        <f aca="false">D1938*F1938</f>
        <v>5.04</v>
      </c>
      <c r="J1938" s="3" t="n">
        <f aca="false">IF(AND(LEFT(A1938,1)&lt;&gt;"C",D1938&gt;0,F1938&gt;0),1,0)</f>
        <v>1</v>
      </c>
      <c r="K1938" s="3" t="n">
        <f aca="false">IF(AND(H1938="United Kingdom",G1938&lt;&gt;"",COUNTIFS($G$2:G1938,G1938,$H$2:H1938,"United Kingdom")=1),1,0)</f>
        <v>0</v>
      </c>
    </row>
    <row r="1939" customFormat="false" ht="15" hidden="false" customHeight="false" outlineLevel="0" collapsed="false">
      <c r="A1939" s="0" t="s">
        <v>438</v>
      </c>
      <c r="B1939" s="0" t="s">
        <v>25</v>
      </c>
      <c r="C1939" s="0" t="s">
        <v>26</v>
      </c>
      <c r="D1939" s="0" t="n">
        <v>3</v>
      </c>
      <c r="E1939" s="2" t="n">
        <v>40734.4097222222</v>
      </c>
      <c r="F1939" s="0" t="n">
        <v>2.21</v>
      </c>
      <c r="G1939" s="0" t="n">
        <v>13742</v>
      </c>
      <c r="H1939" s="3" t="s">
        <v>14</v>
      </c>
      <c r="I1939" s="4" t="n">
        <f aca="false">D1939*F1939</f>
        <v>6.63</v>
      </c>
      <c r="J1939" s="3" t="n">
        <f aca="false">IF(AND(LEFT(A1939,1)&lt;&gt;"C",D1939&gt;0,F1939&gt;0),1,0)</f>
        <v>1</v>
      </c>
      <c r="K1939" s="3" t="n">
        <f aca="false">IF(AND(H1939="United Kingdom",G1939&lt;&gt;"",COUNTIFS($G$2:G1939,G1939,$H$2:H1939,"United Kingdom")=1),1,0)</f>
        <v>0</v>
      </c>
    </row>
    <row r="1940" customFormat="false" ht="15" hidden="false" customHeight="false" outlineLevel="0" collapsed="false">
      <c r="A1940" s="0" t="s">
        <v>438</v>
      </c>
      <c r="B1940" s="0" t="s">
        <v>80</v>
      </c>
      <c r="C1940" s="0" t="s">
        <v>81</v>
      </c>
      <c r="D1940" s="0" t="n">
        <v>6</v>
      </c>
      <c r="E1940" s="2" t="n">
        <v>40734.4097222222</v>
      </c>
      <c r="F1940" s="0" t="n">
        <v>1.53</v>
      </c>
      <c r="G1940" s="0" t="n">
        <v>13742</v>
      </c>
      <c r="H1940" s="3" t="s">
        <v>14</v>
      </c>
      <c r="I1940" s="4" t="n">
        <f aca="false">D1940*F1940</f>
        <v>9.18</v>
      </c>
      <c r="J1940" s="3" t="n">
        <f aca="false">IF(AND(LEFT(A1940,1)&lt;&gt;"C",D1940&gt;0,F1940&gt;0),1,0)</f>
        <v>1</v>
      </c>
      <c r="K1940" s="3" t="n">
        <f aca="false">IF(AND(H1940="United Kingdom",G1940&lt;&gt;"",COUNTIFS($G$2:G1940,G1940,$H$2:H1940,"United Kingdom")=1),1,0)</f>
        <v>0</v>
      </c>
    </row>
    <row r="1941" customFormat="false" ht="15" hidden="false" customHeight="false" outlineLevel="0" collapsed="false">
      <c r="A1941" s="0" t="s">
        <v>438</v>
      </c>
      <c r="B1941" s="0" t="s">
        <v>58</v>
      </c>
      <c r="C1941" s="0" t="s">
        <v>59</v>
      </c>
      <c r="D1941" s="0" t="n">
        <v>24</v>
      </c>
      <c r="E1941" s="2" t="n">
        <v>40734.4097222222</v>
      </c>
      <c r="F1941" s="0" t="n">
        <v>2.16</v>
      </c>
      <c r="G1941" s="0" t="n">
        <v>13742</v>
      </c>
      <c r="H1941" s="3" t="s">
        <v>14</v>
      </c>
      <c r="I1941" s="4" t="n">
        <f aca="false">D1941*F1941</f>
        <v>51.84</v>
      </c>
      <c r="J1941" s="3" t="n">
        <f aca="false">IF(AND(LEFT(A1941,1)&lt;&gt;"C",D1941&gt;0,F1941&gt;0),1,0)</f>
        <v>1</v>
      </c>
      <c r="K1941" s="3" t="n">
        <f aca="false">IF(AND(H1941="United Kingdom",G1941&lt;&gt;"",COUNTIFS($G$2:G1941,G1941,$H$2:H1941,"United Kingdom")=1),1,0)</f>
        <v>0</v>
      </c>
    </row>
    <row r="1942" customFormat="false" ht="15" hidden="false" customHeight="false" outlineLevel="0" collapsed="false">
      <c r="A1942" s="0" t="s">
        <v>439</v>
      </c>
      <c r="B1942" s="0" t="s">
        <v>17</v>
      </c>
      <c r="C1942" s="0" t="s">
        <v>18</v>
      </c>
      <c r="D1942" s="0" t="n">
        <v>12</v>
      </c>
      <c r="E1942" s="2" t="n">
        <v>40735.5333333333</v>
      </c>
      <c r="F1942" s="0" t="n">
        <v>1.92</v>
      </c>
      <c r="G1942" s="0" t="n">
        <v>14919</v>
      </c>
      <c r="H1942" s="3" t="s">
        <v>14</v>
      </c>
      <c r="I1942" s="4" t="n">
        <f aca="false">D1942*F1942</f>
        <v>23.04</v>
      </c>
      <c r="J1942" s="3" t="n">
        <f aca="false">IF(AND(LEFT(A1942,1)&lt;&gt;"C",D1942&gt;0,F1942&gt;0),1,0)</f>
        <v>1</v>
      </c>
      <c r="K1942" s="3" t="n">
        <f aca="false">IF(AND(H1942="United Kingdom",G1942&lt;&gt;"",COUNTIFS($G$2:G1942,G1942,$H$2:H1942,"United Kingdom")=1),1,0)</f>
        <v>0</v>
      </c>
    </row>
    <row r="1943" customFormat="false" ht="15" hidden="false" customHeight="false" outlineLevel="0" collapsed="false">
      <c r="A1943" s="0" t="s">
        <v>439</v>
      </c>
      <c r="B1943" s="0" t="s">
        <v>27</v>
      </c>
      <c r="C1943" s="0" t="s">
        <v>28</v>
      </c>
      <c r="D1943" s="0" t="n">
        <v>1</v>
      </c>
      <c r="E1943" s="2" t="n">
        <v>40735.5333333333</v>
      </c>
      <c r="F1943" s="0" t="n">
        <v>4.55</v>
      </c>
      <c r="G1943" s="0" t="n">
        <v>14919</v>
      </c>
      <c r="H1943" s="3" t="s">
        <v>14</v>
      </c>
      <c r="I1943" s="4" t="n">
        <f aca="false">D1943*F1943</f>
        <v>4.55</v>
      </c>
      <c r="J1943" s="3" t="n">
        <f aca="false">IF(AND(LEFT(A1943,1)&lt;&gt;"C",D1943&gt;0,F1943&gt;0),1,0)</f>
        <v>1</v>
      </c>
      <c r="K1943" s="3" t="n">
        <f aca="false">IF(AND(H1943="United Kingdom",G1943&lt;&gt;"",COUNTIFS($G$2:G1943,G1943,$H$2:H1943,"United Kingdom")=1),1,0)</f>
        <v>0</v>
      </c>
    </row>
    <row r="1944" customFormat="false" ht="15" hidden="false" customHeight="false" outlineLevel="0" collapsed="false">
      <c r="A1944" s="0" t="s">
        <v>439</v>
      </c>
      <c r="B1944" s="0" t="s">
        <v>34</v>
      </c>
      <c r="C1944" s="0" t="s">
        <v>35</v>
      </c>
      <c r="D1944" s="0" t="n">
        <v>2</v>
      </c>
      <c r="E1944" s="2" t="n">
        <v>40735.5333333333</v>
      </c>
      <c r="F1944" s="0" t="n">
        <v>2.38</v>
      </c>
      <c r="G1944" s="0" t="n">
        <v>14919</v>
      </c>
      <c r="H1944" s="3" t="s">
        <v>14</v>
      </c>
      <c r="I1944" s="4" t="n">
        <f aca="false">D1944*F1944</f>
        <v>4.76</v>
      </c>
      <c r="J1944" s="3" t="n">
        <f aca="false">IF(AND(LEFT(A1944,1)&lt;&gt;"C",D1944&gt;0,F1944&gt;0),1,0)</f>
        <v>1</v>
      </c>
      <c r="K1944" s="3" t="n">
        <f aca="false">IF(AND(H1944="United Kingdom",G1944&lt;&gt;"",COUNTIFS($G$2:G1944,G1944,$H$2:H1944,"United Kingdom")=1),1,0)</f>
        <v>0</v>
      </c>
    </row>
    <row r="1945" customFormat="false" ht="15" hidden="false" customHeight="false" outlineLevel="0" collapsed="false">
      <c r="A1945" s="0" t="s">
        <v>439</v>
      </c>
      <c r="B1945" s="0" t="s">
        <v>32</v>
      </c>
      <c r="C1945" s="0" t="s">
        <v>33</v>
      </c>
      <c r="D1945" s="0" t="n">
        <v>4</v>
      </c>
      <c r="E1945" s="2" t="n">
        <v>40735.5333333333</v>
      </c>
      <c r="F1945" s="0" t="n">
        <v>1.19</v>
      </c>
      <c r="G1945" s="0" t="n">
        <v>14919</v>
      </c>
      <c r="H1945" s="3" t="s">
        <v>14</v>
      </c>
      <c r="I1945" s="4" t="n">
        <f aca="false">D1945*F1945</f>
        <v>4.76</v>
      </c>
      <c r="J1945" s="3" t="n">
        <f aca="false">IF(AND(LEFT(A1945,1)&lt;&gt;"C",D1945&gt;0,F1945&gt;0),1,0)</f>
        <v>1</v>
      </c>
      <c r="K1945" s="3" t="n">
        <f aca="false">IF(AND(H1945="United Kingdom",G1945&lt;&gt;"",COUNTIFS($G$2:G1945,G1945,$H$2:H1945,"United Kingdom")=1),1,0)</f>
        <v>0</v>
      </c>
    </row>
    <row r="1946" customFormat="false" ht="15" hidden="false" customHeight="false" outlineLevel="0" collapsed="false">
      <c r="A1946" s="0" t="s">
        <v>440</v>
      </c>
      <c r="B1946" s="0" t="s">
        <v>63</v>
      </c>
      <c r="C1946" s="0" t="s">
        <v>64</v>
      </c>
      <c r="D1946" s="0" t="n">
        <v>72</v>
      </c>
      <c r="E1946" s="2" t="n">
        <v>40735.5444444444</v>
      </c>
      <c r="F1946" s="0" t="n">
        <v>2.43</v>
      </c>
      <c r="G1946" s="0" t="n">
        <v>14910</v>
      </c>
      <c r="H1946" s="3" t="s">
        <v>14</v>
      </c>
      <c r="I1946" s="4" t="n">
        <f aca="false">D1946*F1946</f>
        <v>174.96</v>
      </c>
      <c r="J1946" s="3" t="n">
        <f aca="false">IF(AND(LEFT(A1946,1)&lt;&gt;"C",D1946&gt;0,F1946&gt;0),1,0)</f>
        <v>1</v>
      </c>
      <c r="K1946" s="3" t="n">
        <f aca="false">IF(AND(H1946="United Kingdom",G1946&lt;&gt;"",COUNTIFS($G$2:G1946,G1946,$H$2:H1946,"United Kingdom")=1),1,0)</f>
        <v>0</v>
      </c>
    </row>
    <row r="1947" customFormat="false" ht="15" hidden="false" customHeight="false" outlineLevel="0" collapsed="false">
      <c r="A1947" s="0" t="s">
        <v>440</v>
      </c>
      <c r="B1947" s="0" t="s">
        <v>54</v>
      </c>
      <c r="C1947" s="0" t="s">
        <v>55</v>
      </c>
      <c r="D1947" s="0" t="n">
        <v>144</v>
      </c>
      <c r="E1947" s="2" t="n">
        <v>40735.5444444444</v>
      </c>
      <c r="F1947" s="0" t="n">
        <v>0.99</v>
      </c>
      <c r="G1947" s="0" t="n">
        <v>14910</v>
      </c>
      <c r="H1947" s="3" t="s">
        <v>14</v>
      </c>
      <c r="I1947" s="4" t="n">
        <f aca="false">D1947*F1947</f>
        <v>142.56</v>
      </c>
      <c r="J1947" s="3" t="n">
        <f aca="false">IF(AND(LEFT(A1947,1)&lt;&gt;"C",D1947&gt;0,F1947&gt;0),1,0)</f>
        <v>1</v>
      </c>
      <c r="K1947" s="3" t="n">
        <f aca="false">IF(AND(H1947="United Kingdom",G1947&lt;&gt;"",COUNTIFS($G$2:G1947,G1947,$H$2:H1947,"United Kingdom")=1),1,0)</f>
        <v>0</v>
      </c>
    </row>
    <row r="1948" customFormat="false" ht="15" hidden="false" customHeight="false" outlineLevel="0" collapsed="false">
      <c r="A1948" s="0" t="s">
        <v>440</v>
      </c>
      <c r="B1948" s="0" t="s">
        <v>27</v>
      </c>
      <c r="C1948" s="0" t="s">
        <v>28</v>
      </c>
      <c r="D1948" s="0" t="n">
        <v>24</v>
      </c>
      <c r="E1948" s="2" t="n">
        <v>40735.5444444444</v>
      </c>
      <c r="F1948" s="0" t="n">
        <v>4.55</v>
      </c>
      <c r="G1948" s="0" t="n">
        <v>14910</v>
      </c>
      <c r="H1948" s="3" t="s">
        <v>14</v>
      </c>
      <c r="I1948" s="4" t="n">
        <f aca="false">D1948*F1948</f>
        <v>109.2</v>
      </c>
      <c r="J1948" s="3" t="n">
        <f aca="false">IF(AND(LEFT(A1948,1)&lt;&gt;"C",D1948&gt;0,F1948&gt;0),1,0)</f>
        <v>1</v>
      </c>
      <c r="K1948" s="3" t="n">
        <f aca="false">IF(AND(H1948="United Kingdom",G1948&lt;&gt;"",COUNTIFS($G$2:G1948,G1948,$H$2:H1948,"United Kingdom")=1),1,0)</f>
        <v>0</v>
      </c>
    </row>
    <row r="1949" customFormat="false" ht="15" hidden="false" customHeight="false" outlineLevel="0" collapsed="false">
      <c r="A1949" s="0" t="s">
        <v>441</v>
      </c>
      <c r="B1949" s="0" t="s">
        <v>65</v>
      </c>
      <c r="C1949" s="0" t="s">
        <v>66</v>
      </c>
      <c r="D1949" s="0" t="n">
        <v>18</v>
      </c>
      <c r="E1949" s="2" t="n">
        <v>40736.6430555556</v>
      </c>
      <c r="F1949" s="0" t="n">
        <v>4.75</v>
      </c>
      <c r="G1949" s="0" t="n">
        <v>12688</v>
      </c>
      <c r="H1949" s="3" t="s">
        <v>14</v>
      </c>
      <c r="I1949" s="4" t="n">
        <f aca="false">D1949*F1949</f>
        <v>85.5</v>
      </c>
      <c r="J1949" s="3" t="n">
        <f aca="false">IF(AND(LEFT(A1949,1)&lt;&gt;"C",D1949&gt;0,F1949&gt;0),1,0)</f>
        <v>1</v>
      </c>
      <c r="K1949" s="3" t="n">
        <f aca="false">IF(AND(H1949="United Kingdom",G1949&lt;&gt;"",COUNTIFS($G$2:G1949,G1949,$H$2:H1949,"United Kingdom")=1),1,0)</f>
        <v>0</v>
      </c>
    </row>
    <row r="1950" customFormat="false" ht="15" hidden="false" customHeight="false" outlineLevel="0" collapsed="false">
      <c r="A1950" s="0" t="s">
        <v>441</v>
      </c>
      <c r="B1950" s="0" t="s">
        <v>80</v>
      </c>
      <c r="C1950" s="0" t="s">
        <v>81</v>
      </c>
      <c r="D1950" s="0" t="n">
        <v>72</v>
      </c>
      <c r="E1950" s="2" t="n">
        <v>40736.6430555556</v>
      </c>
      <c r="F1950" s="0" t="n">
        <v>1.53</v>
      </c>
      <c r="G1950" s="0" t="n">
        <v>12688</v>
      </c>
      <c r="H1950" s="3" t="s">
        <v>14</v>
      </c>
      <c r="I1950" s="4" t="n">
        <f aca="false">D1950*F1950</f>
        <v>110.16</v>
      </c>
      <c r="J1950" s="3" t="n">
        <f aca="false">IF(AND(LEFT(A1950,1)&lt;&gt;"C",D1950&gt;0,F1950&gt;0),1,0)</f>
        <v>1</v>
      </c>
      <c r="K1950" s="3" t="n">
        <f aca="false">IF(AND(H1950="United Kingdom",G1950&lt;&gt;"",COUNTIFS($G$2:G1950,G1950,$H$2:H1950,"United Kingdom")=1),1,0)</f>
        <v>0</v>
      </c>
    </row>
    <row r="1951" customFormat="false" ht="15" hidden="false" customHeight="false" outlineLevel="0" collapsed="false">
      <c r="A1951" s="0" t="s">
        <v>441</v>
      </c>
      <c r="B1951" s="0" t="s">
        <v>52</v>
      </c>
      <c r="C1951" s="0" t="s">
        <v>53</v>
      </c>
      <c r="D1951" s="0" t="n">
        <v>12</v>
      </c>
      <c r="E1951" s="2" t="n">
        <v>40736.6430555556</v>
      </c>
      <c r="F1951" s="0" t="n">
        <v>4.16</v>
      </c>
      <c r="G1951" s="0" t="n">
        <v>12688</v>
      </c>
      <c r="H1951" s="3" t="s">
        <v>14</v>
      </c>
      <c r="I1951" s="4" t="n">
        <f aca="false">D1951*F1951</f>
        <v>49.92</v>
      </c>
      <c r="J1951" s="3" t="n">
        <f aca="false">IF(AND(LEFT(A1951,1)&lt;&gt;"C",D1951&gt;0,F1951&gt;0),1,0)</f>
        <v>1</v>
      </c>
      <c r="K1951" s="3" t="n">
        <f aca="false">IF(AND(H1951="United Kingdom",G1951&lt;&gt;"",COUNTIFS($G$2:G1951,G1951,$H$2:H1951,"United Kingdom")=1),1,0)</f>
        <v>0</v>
      </c>
    </row>
    <row r="1952" customFormat="false" ht="15" hidden="false" customHeight="false" outlineLevel="0" collapsed="false">
      <c r="A1952" s="0" t="s">
        <v>441</v>
      </c>
      <c r="B1952" s="0" t="s">
        <v>37</v>
      </c>
      <c r="C1952" s="0" t="s">
        <v>38</v>
      </c>
      <c r="D1952" s="0" t="n">
        <v>48</v>
      </c>
      <c r="E1952" s="2" t="n">
        <v>40736.6430555556</v>
      </c>
      <c r="F1952" s="0" t="n">
        <v>1.82</v>
      </c>
      <c r="G1952" s="0" t="n">
        <v>12688</v>
      </c>
      <c r="H1952" s="3" t="s">
        <v>14</v>
      </c>
      <c r="I1952" s="4" t="n">
        <f aca="false">D1952*F1952</f>
        <v>87.36</v>
      </c>
      <c r="J1952" s="3" t="n">
        <f aca="false">IF(AND(LEFT(A1952,1)&lt;&gt;"C",D1952&gt;0,F1952&gt;0),1,0)</f>
        <v>1</v>
      </c>
      <c r="K1952" s="3" t="n">
        <f aca="false">IF(AND(H1952="United Kingdom",G1952&lt;&gt;"",COUNTIFS($G$2:G1952,G1952,$H$2:H1952,"United Kingdom")=1),1,0)</f>
        <v>0</v>
      </c>
    </row>
    <row r="1953" customFormat="false" ht="15" hidden="false" customHeight="false" outlineLevel="0" collapsed="false">
      <c r="A1953" s="0" t="s">
        <v>441</v>
      </c>
      <c r="B1953" s="0" t="s">
        <v>39</v>
      </c>
      <c r="C1953" s="0" t="s">
        <v>40</v>
      </c>
      <c r="D1953" s="0" t="n">
        <v>18</v>
      </c>
      <c r="E1953" s="2" t="n">
        <v>40736.6430555556</v>
      </c>
      <c r="F1953" s="0" t="n">
        <v>2.58</v>
      </c>
      <c r="G1953" s="0" t="n">
        <v>12688</v>
      </c>
      <c r="H1953" s="3" t="s">
        <v>14</v>
      </c>
      <c r="I1953" s="4" t="n">
        <f aca="false">D1953*F1953</f>
        <v>46.44</v>
      </c>
      <c r="J1953" s="3" t="n">
        <f aca="false">IF(AND(LEFT(A1953,1)&lt;&gt;"C",D1953&gt;0,F1953&gt;0),1,0)</f>
        <v>1</v>
      </c>
      <c r="K1953" s="3" t="n">
        <f aca="false">IF(AND(H1953="United Kingdom",G1953&lt;&gt;"",COUNTIFS($G$2:G1953,G1953,$H$2:H1953,"United Kingdom")=1),1,0)</f>
        <v>0</v>
      </c>
    </row>
    <row r="1954" customFormat="false" ht="15" hidden="false" customHeight="false" outlineLevel="0" collapsed="false">
      <c r="A1954" s="0" t="s">
        <v>441</v>
      </c>
      <c r="B1954" s="0" t="s">
        <v>68</v>
      </c>
      <c r="C1954" s="0" t="s">
        <v>69</v>
      </c>
      <c r="D1954" s="0" t="n">
        <v>576</v>
      </c>
      <c r="E1954" s="2" t="n">
        <v>40736.6430555556</v>
      </c>
      <c r="F1954" s="0" t="n">
        <v>1.26</v>
      </c>
      <c r="G1954" s="0" t="n">
        <v>12688</v>
      </c>
      <c r="H1954" s="3" t="s">
        <v>14</v>
      </c>
      <c r="I1954" s="4" t="n">
        <f aca="false">D1954*F1954</f>
        <v>725.76</v>
      </c>
      <c r="J1954" s="3" t="n">
        <f aca="false">IF(AND(LEFT(A1954,1)&lt;&gt;"C",D1954&gt;0,F1954&gt;0),1,0)</f>
        <v>1</v>
      </c>
      <c r="K1954" s="3" t="n">
        <f aca="false">IF(AND(H1954="United Kingdom",G1954&lt;&gt;"",COUNTIFS($G$2:G1954,G1954,$H$2:H1954,"United Kingdom")=1),1,0)</f>
        <v>0</v>
      </c>
    </row>
    <row r="1955" customFormat="false" ht="15" hidden="false" customHeight="false" outlineLevel="0" collapsed="false">
      <c r="A1955" s="0" t="s">
        <v>442</v>
      </c>
      <c r="B1955" s="0" t="s">
        <v>80</v>
      </c>
      <c r="C1955" s="0" t="s">
        <v>81</v>
      </c>
      <c r="D1955" s="0" t="n">
        <v>3</v>
      </c>
      <c r="E1955" s="2" t="n">
        <v>40737.7715277778</v>
      </c>
      <c r="F1955" s="0" t="n">
        <v>1.53</v>
      </c>
      <c r="G1955" s="0" t="n">
        <v>14131</v>
      </c>
      <c r="H1955" s="3" t="s">
        <v>14</v>
      </c>
      <c r="I1955" s="4" t="n">
        <f aca="false">D1955*F1955</f>
        <v>4.59</v>
      </c>
      <c r="J1955" s="3" t="n">
        <f aca="false">IF(AND(LEFT(A1955,1)&lt;&gt;"C",D1955&gt;0,F1955&gt;0),1,0)</f>
        <v>1</v>
      </c>
      <c r="K1955" s="3" t="n">
        <f aca="false">IF(AND(H1955="United Kingdom",G1955&lt;&gt;"",COUNTIFS($G$2:G1955,G1955,$H$2:H1955,"United Kingdom")=1),1,0)</f>
        <v>0</v>
      </c>
    </row>
    <row r="1956" customFormat="false" ht="15" hidden="false" customHeight="false" outlineLevel="0" collapsed="false">
      <c r="A1956" s="0" t="s">
        <v>442</v>
      </c>
      <c r="B1956" s="0" t="s">
        <v>22</v>
      </c>
      <c r="C1956" s="0" t="s">
        <v>23</v>
      </c>
      <c r="D1956" s="0" t="n">
        <v>8</v>
      </c>
      <c r="E1956" s="2" t="n">
        <v>40737.7715277778</v>
      </c>
      <c r="F1956" s="0" t="n">
        <v>3.18</v>
      </c>
      <c r="G1956" s="0" t="n">
        <v>14131</v>
      </c>
      <c r="H1956" s="3" t="s">
        <v>14</v>
      </c>
      <c r="I1956" s="4" t="n">
        <f aca="false">D1956*F1956</f>
        <v>25.44</v>
      </c>
      <c r="J1956" s="3" t="n">
        <f aca="false">IF(AND(LEFT(A1956,1)&lt;&gt;"C",D1956&gt;0,F1956&gt;0),1,0)</f>
        <v>1</v>
      </c>
      <c r="K1956" s="3" t="n">
        <f aca="false">IF(AND(H1956="United Kingdom",G1956&lt;&gt;"",COUNTIFS($G$2:G1956,G1956,$H$2:H1956,"United Kingdom")=1),1,0)</f>
        <v>0</v>
      </c>
    </row>
    <row r="1957" customFormat="false" ht="15" hidden="false" customHeight="false" outlineLevel="0" collapsed="false">
      <c r="A1957" s="0" t="s">
        <v>442</v>
      </c>
      <c r="B1957" s="0" t="s">
        <v>90</v>
      </c>
      <c r="C1957" s="0" t="s">
        <v>91</v>
      </c>
      <c r="D1957" s="0" t="n">
        <v>1</v>
      </c>
      <c r="E1957" s="2" t="n">
        <v>40737.7715277778</v>
      </c>
      <c r="F1957" s="0" t="n">
        <v>3.04</v>
      </c>
      <c r="G1957" s="0" t="n">
        <v>14131</v>
      </c>
      <c r="H1957" s="3" t="s">
        <v>14</v>
      </c>
      <c r="I1957" s="4" t="n">
        <f aca="false">D1957*F1957</f>
        <v>3.04</v>
      </c>
      <c r="J1957" s="3" t="n">
        <f aca="false">IF(AND(LEFT(A1957,1)&lt;&gt;"C",D1957&gt;0,F1957&gt;0),1,0)</f>
        <v>1</v>
      </c>
      <c r="K1957" s="3" t="n">
        <f aca="false">IF(AND(H1957="United Kingdom",G1957&lt;&gt;"",COUNTIFS($G$2:G1957,G1957,$H$2:H1957,"United Kingdom")=1),1,0)</f>
        <v>0</v>
      </c>
    </row>
    <row r="1958" customFormat="false" ht="15" hidden="false" customHeight="false" outlineLevel="0" collapsed="false">
      <c r="A1958" s="0" t="s">
        <v>442</v>
      </c>
      <c r="B1958" s="0" t="s">
        <v>75</v>
      </c>
      <c r="C1958" s="0" t="s">
        <v>76</v>
      </c>
      <c r="D1958" s="0" t="n">
        <v>12</v>
      </c>
      <c r="E1958" s="2" t="n">
        <v>40737.7715277778</v>
      </c>
      <c r="F1958" s="0" t="n">
        <v>1.97</v>
      </c>
      <c r="G1958" s="0" t="n">
        <v>14131</v>
      </c>
      <c r="H1958" s="3" t="s">
        <v>14</v>
      </c>
      <c r="I1958" s="4" t="n">
        <f aca="false">D1958*F1958</f>
        <v>23.64</v>
      </c>
      <c r="J1958" s="3" t="n">
        <f aca="false">IF(AND(LEFT(A1958,1)&lt;&gt;"C",D1958&gt;0,F1958&gt;0),1,0)</f>
        <v>1</v>
      </c>
      <c r="K1958" s="3" t="n">
        <f aca="false">IF(AND(H1958="United Kingdom",G1958&lt;&gt;"",COUNTIFS($G$2:G1958,G1958,$H$2:H1958,"United Kingdom")=1),1,0)</f>
        <v>0</v>
      </c>
    </row>
    <row r="1959" customFormat="false" ht="15" hidden="false" customHeight="false" outlineLevel="0" collapsed="false">
      <c r="A1959" s="0" t="s">
        <v>442</v>
      </c>
      <c r="B1959" s="0" t="s">
        <v>20</v>
      </c>
      <c r="C1959" s="0" t="s">
        <v>21</v>
      </c>
      <c r="D1959" s="0" t="n">
        <v>2</v>
      </c>
      <c r="E1959" s="2" t="n">
        <v>40737.7715277778</v>
      </c>
      <c r="F1959" s="0" t="n">
        <v>4.24</v>
      </c>
      <c r="G1959" s="0" t="n">
        <v>14131</v>
      </c>
      <c r="H1959" s="3" t="s">
        <v>14</v>
      </c>
      <c r="I1959" s="4" t="n">
        <f aca="false">D1959*F1959</f>
        <v>8.48</v>
      </c>
      <c r="J1959" s="3" t="n">
        <f aca="false">IF(AND(LEFT(A1959,1)&lt;&gt;"C",D1959&gt;0,F1959&gt;0),1,0)</f>
        <v>1</v>
      </c>
      <c r="K1959" s="3" t="n">
        <f aca="false">IF(AND(H1959="United Kingdom",G1959&lt;&gt;"",COUNTIFS($G$2:G1959,G1959,$H$2:H1959,"United Kingdom")=1),1,0)</f>
        <v>0</v>
      </c>
    </row>
    <row r="1960" customFormat="false" ht="15" hidden="false" customHeight="false" outlineLevel="0" collapsed="false">
      <c r="A1960" s="0" t="s">
        <v>442</v>
      </c>
      <c r="B1960" s="0" t="s">
        <v>63</v>
      </c>
      <c r="C1960" s="0" t="s">
        <v>64</v>
      </c>
      <c r="D1960" s="0" t="n">
        <v>6</v>
      </c>
      <c r="E1960" s="2" t="n">
        <v>40737.7715277778</v>
      </c>
      <c r="F1960" s="0" t="n">
        <v>2.43</v>
      </c>
      <c r="G1960" s="0" t="n">
        <v>14131</v>
      </c>
      <c r="H1960" s="3" t="s">
        <v>14</v>
      </c>
      <c r="I1960" s="4" t="n">
        <f aca="false">D1960*F1960</f>
        <v>14.58</v>
      </c>
      <c r="J1960" s="3" t="n">
        <f aca="false">IF(AND(LEFT(A1960,1)&lt;&gt;"C",D1960&gt;0,F1960&gt;0),1,0)</f>
        <v>1</v>
      </c>
      <c r="K1960" s="3" t="n">
        <f aca="false">IF(AND(H1960="United Kingdom",G1960&lt;&gt;"",COUNTIFS($G$2:G1960,G1960,$H$2:H1960,"United Kingdom")=1),1,0)</f>
        <v>0</v>
      </c>
    </row>
    <row r="1961" customFormat="false" ht="15" hidden="false" customHeight="false" outlineLevel="0" collapsed="false">
      <c r="A1961" s="0" t="s">
        <v>442</v>
      </c>
      <c r="B1961" s="0" t="s">
        <v>50</v>
      </c>
      <c r="C1961" s="0" t="s">
        <v>51</v>
      </c>
      <c r="D1961" s="0" t="n">
        <v>6</v>
      </c>
      <c r="E1961" s="2" t="n">
        <v>40737.7715277778</v>
      </c>
      <c r="F1961" s="0" t="n">
        <v>5.41</v>
      </c>
      <c r="G1961" s="0" t="n">
        <v>14131</v>
      </c>
      <c r="H1961" s="3" t="s">
        <v>14</v>
      </c>
      <c r="I1961" s="4" t="n">
        <f aca="false">D1961*F1961</f>
        <v>32.46</v>
      </c>
      <c r="J1961" s="3" t="n">
        <f aca="false">IF(AND(LEFT(A1961,1)&lt;&gt;"C",D1961&gt;0,F1961&gt;0),1,0)</f>
        <v>1</v>
      </c>
      <c r="K1961" s="3" t="n">
        <f aca="false">IF(AND(H1961="United Kingdom",G1961&lt;&gt;"",COUNTIFS($G$2:G1961,G1961,$H$2:H1961,"United Kingdom")=1),1,0)</f>
        <v>0</v>
      </c>
    </row>
    <row r="1962" customFormat="false" ht="15" hidden="false" customHeight="false" outlineLevel="0" collapsed="false">
      <c r="A1962" s="0" t="s">
        <v>442</v>
      </c>
      <c r="B1962" s="0" t="s">
        <v>41</v>
      </c>
      <c r="C1962" s="0" t="s">
        <v>42</v>
      </c>
      <c r="D1962" s="0" t="n">
        <v>1</v>
      </c>
      <c r="E1962" s="2" t="n">
        <v>40737.7715277778</v>
      </c>
      <c r="F1962" s="0" t="n">
        <v>3.28</v>
      </c>
      <c r="G1962" s="0" t="n">
        <v>14131</v>
      </c>
      <c r="H1962" s="3" t="s">
        <v>14</v>
      </c>
      <c r="I1962" s="4" t="n">
        <f aca="false">D1962*F1962</f>
        <v>3.28</v>
      </c>
      <c r="J1962" s="3" t="n">
        <f aca="false">IF(AND(LEFT(A1962,1)&lt;&gt;"C",D1962&gt;0,F1962&gt;0),1,0)</f>
        <v>1</v>
      </c>
      <c r="K1962" s="3" t="n">
        <f aca="false">IF(AND(H1962="United Kingdom",G1962&lt;&gt;"",COUNTIFS($G$2:G1962,G1962,$H$2:H1962,"United Kingdom")=1),1,0)</f>
        <v>0</v>
      </c>
    </row>
    <row r="1963" customFormat="false" ht="15" hidden="false" customHeight="false" outlineLevel="0" collapsed="false">
      <c r="A1963" s="0" t="s">
        <v>442</v>
      </c>
      <c r="B1963" s="0" t="s">
        <v>12</v>
      </c>
      <c r="C1963" s="0" t="s">
        <v>13</v>
      </c>
      <c r="D1963" s="0" t="n">
        <v>12</v>
      </c>
      <c r="E1963" s="2" t="n">
        <v>40737.7715277778</v>
      </c>
      <c r="F1963" s="0" t="n">
        <v>3.33</v>
      </c>
      <c r="G1963" s="0" t="n">
        <v>14131</v>
      </c>
      <c r="H1963" s="3" t="s">
        <v>14</v>
      </c>
      <c r="I1963" s="4" t="n">
        <f aca="false">D1963*F1963</f>
        <v>39.96</v>
      </c>
      <c r="J1963" s="3" t="n">
        <f aca="false">IF(AND(LEFT(A1963,1)&lt;&gt;"C",D1963&gt;0,F1963&gt;0),1,0)</f>
        <v>1</v>
      </c>
      <c r="K1963" s="3" t="n">
        <f aca="false">IF(AND(H1963="United Kingdom",G1963&lt;&gt;"",COUNTIFS($G$2:G1963,G1963,$H$2:H1963,"United Kingdom")=1),1,0)</f>
        <v>0</v>
      </c>
    </row>
    <row r="1964" customFormat="false" ht="15" hidden="false" customHeight="false" outlineLevel="0" collapsed="false">
      <c r="A1964" s="0" t="s">
        <v>443</v>
      </c>
      <c r="B1964" s="0" t="s">
        <v>15</v>
      </c>
      <c r="C1964" s="0" t="s">
        <v>16</v>
      </c>
      <c r="D1964" s="0" t="n">
        <v>72</v>
      </c>
      <c r="E1964" s="2" t="n">
        <v>40739.4777777778</v>
      </c>
      <c r="F1964" s="0" t="n">
        <v>3.18</v>
      </c>
      <c r="G1964" s="0" t="n">
        <v>15108</v>
      </c>
      <c r="H1964" s="3" t="s">
        <v>14</v>
      </c>
      <c r="I1964" s="4" t="n">
        <f aca="false">D1964*F1964</f>
        <v>228.96</v>
      </c>
      <c r="J1964" s="3" t="n">
        <f aca="false">IF(AND(LEFT(A1964,1)&lt;&gt;"C",D1964&gt;0,F1964&gt;0),1,0)</f>
        <v>1</v>
      </c>
      <c r="K1964" s="3" t="n">
        <f aca="false">IF(AND(H1964="United Kingdom",G1964&lt;&gt;"",COUNTIFS($G$2:G1964,G1964,$H$2:H1964,"United Kingdom")=1),1,0)</f>
        <v>0</v>
      </c>
    </row>
    <row r="1965" customFormat="false" ht="15" hidden="false" customHeight="false" outlineLevel="0" collapsed="false">
      <c r="A1965" s="0" t="s">
        <v>443</v>
      </c>
      <c r="B1965" s="0" t="s">
        <v>54</v>
      </c>
      <c r="C1965" s="0" t="s">
        <v>55</v>
      </c>
      <c r="D1965" s="0" t="n">
        <v>6</v>
      </c>
      <c r="E1965" s="2" t="n">
        <v>40739.4777777778</v>
      </c>
      <c r="F1965" s="0" t="n">
        <v>0.99</v>
      </c>
      <c r="G1965" s="0" t="n">
        <v>15108</v>
      </c>
      <c r="H1965" s="3" t="s">
        <v>14</v>
      </c>
      <c r="I1965" s="4" t="n">
        <f aca="false">D1965*F1965</f>
        <v>5.94</v>
      </c>
      <c r="J1965" s="3" t="n">
        <f aca="false">IF(AND(LEFT(A1965,1)&lt;&gt;"C",D1965&gt;0,F1965&gt;0),1,0)</f>
        <v>1</v>
      </c>
      <c r="K1965" s="3" t="n">
        <f aca="false">IF(AND(H1965="United Kingdom",G1965&lt;&gt;"",COUNTIFS($G$2:G1965,G1965,$H$2:H1965,"United Kingdom")=1),1,0)</f>
        <v>0</v>
      </c>
    </row>
    <row r="1966" customFormat="false" ht="15" hidden="false" customHeight="false" outlineLevel="0" collapsed="false">
      <c r="A1966" s="0" t="s">
        <v>443</v>
      </c>
      <c r="B1966" s="0" t="s">
        <v>77</v>
      </c>
      <c r="C1966" s="0" t="s">
        <v>78</v>
      </c>
      <c r="D1966" s="0" t="n">
        <v>216</v>
      </c>
      <c r="E1966" s="2" t="n">
        <v>40739.4777777778</v>
      </c>
      <c r="F1966" s="0" t="n">
        <v>3.41</v>
      </c>
      <c r="G1966" s="0" t="n">
        <v>15108</v>
      </c>
      <c r="H1966" s="3" t="s">
        <v>14</v>
      </c>
      <c r="I1966" s="4" t="n">
        <f aca="false">D1966*F1966</f>
        <v>736.56</v>
      </c>
      <c r="J1966" s="3" t="n">
        <f aca="false">IF(AND(LEFT(A1966,1)&lt;&gt;"C",D1966&gt;0,F1966&gt;0),1,0)</f>
        <v>1</v>
      </c>
      <c r="K1966" s="3" t="n">
        <f aca="false">IF(AND(H1966="United Kingdom",G1966&lt;&gt;"",COUNTIFS($G$2:G1966,G1966,$H$2:H1966,"United Kingdom")=1),1,0)</f>
        <v>0</v>
      </c>
    </row>
    <row r="1967" customFormat="false" ht="15" hidden="false" customHeight="false" outlineLevel="0" collapsed="false">
      <c r="A1967" s="0" t="s">
        <v>443</v>
      </c>
      <c r="B1967" s="0" t="s">
        <v>63</v>
      </c>
      <c r="C1967" s="0" t="s">
        <v>64</v>
      </c>
      <c r="D1967" s="0" t="n">
        <v>36</v>
      </c>
      <c r="E1967" s="2" t="n">
        <v>40739.4777777778</v>
      </c>
      <c r="F1967" s="0" t="n">
        <v>2.43</v>
      </c>
      <c r="G1967" s="0" t="n">
        <v>15108</v>
      </c>
      <c r="H1967" s="3" t="s">
        <v>14</v>
      </c>
      <c r="I1967" s="4" t="n">
        <f aca="false">D1967*F1967</f>
        <v>87.48</v>
      </c>
      <c r="J1967" s="3" t="n">
        <f aca="false">IF(AND(LEFT(A1967,1)&lt;&gt;"C",D1967&gt;0,F1967&gt;0),1,0)</f>
        <v>1</v>
      </c>
      <c r="K1967" s="3" t="n">
        <f aca="false">IF(AND(H1967="United Kingdom",G1967&lt;&gt;"",COUNTIFS($G$2:G1967,G1967,$H$2:H1967,"United Kingdom")=1),1,0)</f>
        <v>0</v>
      </c>
    </row>
    <row r="1968" customFormat="false" ht="15" hidden="false" customHeight="false" outlineLevel="0" collapsed="false">
      <c r="A1968" s="0" t="s">
        <v>443</v>
      </c>
      <c r="B1968" s="0" t="s">
        <v>32</v>
      </c>
      <c r="C1968" s="0" t="s">
        <v>33</v>
      </c>
      <c r="D1968" s="0" t="n">
        <v>288</v>
      </c>
      <c r="E1968" s="2" t="n">
        <v>40739.4777777778</v>
      </c>
      <c r="F1968" s="0" t="n">
        <v>1.19</v>
      </c>
      <c r="G1968" s="0" t="n">
        <v>15108</v>
      </c>
      <c r="H1968" s="3" t="s">
        <v>14</v>
      </c>
      <c r="I1968" s="4" t="n">
        <f aca="false">D1968*F1968</f>
        <v>342.72</v>
      </c>
      <c r="J1968" s="3" t="n">
        <f aca="false">IF(AND(LEFT(A1968,1)&lt;&gt;"C",D1968&gt;0,F1968&gt;0),1,0)</f>
        <v>1</v>
      </c>
      <c r="K1968" s="3" t="n">
        <f aca="false">IF(AND(H1968="United Kingdom",G1968&lt;&gt;"",COUNTIFS($G$2:G1968,G1968,$H$2:H1968,"United Kingdom")=1),1,0)</f>
        <v>0</v>
      </c>
    </row>
    <row r="1969" customFormat="false" ht="15" hidden="false" customHeight="false" outlineLevel="0" collapsed="false">
      <c r="A1969" s="0" t="s">
        <v>443</v>
      </c>
      <c r="B1969" s="0" t="s">
        <v>27</v>
      </c>
      <c r="C1969" s="0" t="s">
        <v>28</v>
      </c>
      <c r="D1969" s="0" t="n">
        <v>288</v>
      </c>
      <c r="E1969" s="2" t="n">
        <v>40739.4777777778</v>
      </c>
      <c r="F1969" s="0" t="n">
        <v>4.55</v>
      </c>
      <c r="G1969" s="0" t="n">
        <v>15108</v>
      </c>
      <c r="H1969" s="3" t="s">
        <v>14</v>
      </c>
      <c r="I1969" s="4" t="n">
        <f aca="false">D1969*F1969</f>
        <v>1310.4</v>
      </c>
      <c r="J1969" s="3" t="n">
        <f aca="false">IF(AND(LEFT(A1969,1)&lt;&gt;"C",D1969&gt;0,F1969&gt;0),1,0)</f>
        <v>1</v>
      </c>
      <c r="K1969" s="3" t="n">
        <f aca="false">IF(AND(H1969="United Kingdom",G1969&lt;&gt;"",COUNTIFS($G$2:G1969,G1969,$H$2:H1969,"United Kingdom")=1),1,0)</f>
        <v>0</v>
      </c>
    </row>
    <row r="1970" customFormat="false" ht="15" hidden="false" customHeight="false" outlineLevel="0" collapsed="false">
      <c r="A1970" s="0" t="s">
        <v>443</v>
      </c>
      <c r="B1970" s="0" t="s">
        <v>90</v>
      </c>
      <c r="C1970" s="0" t="s">
        <v>91</v>
      </c>
      <c r="D1970" s="0" t="n">
        <v>36</v>
      </c>
      <c r="E1970" s="2" t="n">
        <v>40739.4777777778</v>
      </c>
      <c r="F1970" s="0" t="n">
        <v>3.04</v>
      </c>
      <c r="G1970" s="0" t="n">
        <v>15108</v>
      </c>
      <c r="H1970" s="3" t="s">
        <v>14</v>
      </c>
      <c r="I1970" s="4" t="n">
        <f aca="false">D1970*F1970</f>
        <v>109.44</v>
      </c>
      <c r="J1970" s="3" t="n">
        <f aca="false">IF(AND(LEFT(A1970,1)&lt;&gt;"C",D1970&gt;0,F1970&gt;0),1,0)</f>
        <v>1</v>
      </c>
      <c r="K1970" s="3" t="n">
        <f aca="false">IF(AND(H1970="United Kingdom",G1970&lt;&gt;"",COUNTIFS($G$2:G1970,G1970,$H$2:H1970,"United Kingdom")=1),1,0)</f>
        <v>0</v>
      </c>
    </row>
    <row r="1971" customFormat="false" ht="15" hidden="false" customHeight="false" outlineLevel="0" collapsed="false">
      <c r="A1971" s="0" t="s">
        <v>444</v>
      </c>
      <c r="B1971" s="0" t="s">
        <v>90</v>
      </c>
      <c r="C1971" s="0" t="s">
        <v>91</v>
      </c>
      <c r="D1971" s="0" t="n">
        <v>6</v>
      </c>
      <c r="E1971" s="2" t="n">
        <v>40739.6493055556</v>
      </c>
      <c r="F1971" s="0" t="n">
        <v>3.04</v>
      </c>
      <c r="G1971" s="0" t="n">
        <v>17364</v>
      </c>
      <c r="H1971" s="3" t="s">
        <v>57</v>
      </c>
      <c r="I1971" s="4" t="n">
        <f aca="false">D1971*F1971</f>
        <v>18.24</v>
      </c>
      <c r="J1971" s="3" t="n">
        <f aca="false">IF(AND(LEFT(A1971,1)&lt;&gt;"C",D1971&gt;0,F1971&gt;0),1,0)</f>
        <v>1</v>
      </c>
      <c r="K1971" s="3" t="n">
        <f aca="false">IF(AND(H1971="United Kingdom",G1971&lt;&gt;"",COUNTIFS($G$2:G1971,G1971,$H$2:H1971,"United Kingdom")=1),1,0)</f>
        <v>0</v>
      </c>
    </row>
    <row r="1972" customFormat="false" ht="15" hidden="false" customHeight="false" outlineLevel="0" collapsed="false">
      <c r="A1972" s="0" t="s">
        <v>444</v>
      </c>
      <c r="B1972" s="0" t="s">
        <v>41</v>
      </c>
      <c r="C1972" s="0" t="s">
        <v>42</v>
      </c>
      <c r="D1972" s="0" t="n">
        <v>19</v>
      </c>
      <c r="E1972" s="2" t="n">
        <v>40739.6493055556</v>
      </c>
      <c r="F1972" s="0" t="n">
        <v>3.28</v>
      </c>
      <c r="G1972" s="0" t="n">
        <v>17364</v>
      </c>
      <c r="H1972" s="3" t="s">
        <v>57</v>
      </c>
      <c r="I1972" s="4" t="n">
        <f aca="false">D1972*F1972</f>
        <v>62.32</v>
      </c>
      <c r="J1972" s="3" t="n">
        <f aca="false">IF(AND(LEFT(A1972,1)&lt;&gt;"C",D1972&gt;0,F1972&gt;0),1,0)</f>
        <v>1</v>
      </c>
      <c r="K1972" s="3" t="n">
        <f aca="false">IF(AND(H1972="United Kingdom",G1972&lt;&gt;"",COUNTIFS($G$2:G1972,G1972,$H$2:H1972,"United Kingdom")=1),1,0)</f>
        <v>0</v>
      </c>
    </row>
    <row r="1973" customFormat="false" ht="15" hidden="false" customHeight="false" outlineLevel="0" collapsed="false">
      <c r="A1973" s="0" t="s">
        <v>445</v>
      </c>
      <c r="B1973" s="0" t="s">
        <v>12</v>
      </c>
      <c r="C1973" s="0" t="s">
        <v>13</v>
      </c>
      <c r="D1973" s="0" t="n">
        <v>48</v>
      </c>
      <c r="E1973" s="2" t="n">
        <v>40739.7993055556</v>
      </c>
      <c r="F1973" s="0" t="n">
        <v>3.33</v>
      </c>
      <c r="G1973" s="0" t="n">
        <v>14727</v>
      </c>
      <c r="H1973" s="3" t="s">
        <v>14</v>
      </c>
      <c r="I1973" s="4" t="n">
        <f aca="false">D1973*F1973</f>
        <v>159.84</v>
      </c>
      <c r="J1973" s="3" t="n">
        <f aca="false">IF(AND(LEFT(A1973,1)&lt;&gt;"C",D1973&gt;0,F1973&gt;0),1,0)</f>
        <v>1</v>
      </c>
      <c r="K1973" s="3" t="n">
        <f aca="false">IF(AND(H1973="United Kingdom",G1973&lt;&gt;"",COUNTIFS($G$2:G1973,G1973,$H$2:H1973,"United Kingdom")=1),1,0)</f>
        <v>0</v>
      </c>
    </row>
    <row r="1974" customFormat="false" ht="15" hidden="false" customHeight="false" outlineLevel="0" collapsed="false">
      <c r="A1974" s="0" t="s">
        <v>445</v>
      </c>
      <c r="B1974" s="0" t="s">
        <v>65</v>
      </c>
      <c r="C1974" s="0" t="s">
        <v>66</v>
      </c>
      <c r="D1974" s="0" t="n">
        <v>18</v>
      </c>
      <c r="E1974" s="2" t="n">
        <v>40739.7993055556</v>
      </c>
      <c r="F1974" s="0" t="n">
        <v>4.75</v>
      </c>
      <c r="G1974" s="0" t="n">
        <v>14727</v>
      </c>
      <c r="H1974" s="3" t="s">
        <v>14</v>
      </c>
      <c r="I1974" s="4" t="n">
        <f aca="false">D1974*F1974</f>
        <v>85.5</v>
      </c>
      <c r="J1974" s="3" t="n">
        <f aca="false">IF(AND(LEFT(A1974,1)&lt;&gt;"C",D1974&gt;0,F1974&gt;0),1,0)</f>
        <v>1</v>
      </c>
      <c r="K1974" s="3" t="n">
        <f aca="false">IF(AND(H1974="United Kingdom",G1974&lt;&gt;"",COUNTIFS($G$2:G1974,G1974,$H$2:H1974,"United Kingdom")=1),1,0)</f>
        <v>0</v>
      </c>
    </row>
    <row r="1975" customFormat="false" ht="15" hidden="false" customHeight="false" outlineLevel="0" collapsed="false">
      <c r="A1975" s="0" t="s">
        <v>445</v>
      </c>
      <c r="B1975" s="0" t="s">
        <v>52</v>
      </c>
      <c r="C1975" s="0" t="s">
        <v>53</v>
      </c>
      <c r="D1975" s="0" t="n">
        <v>48</v>
      </c>
      <c r="E1975" s="2" t="n">
        <v>40739.7993055556</v>
      </c>
      <c r="F1975" s="0" t="n">
        <v>4.16</v>
      </c>
      <c r="G1975" s="0" t="n">
        <v>14727</v>
      </c>
      <c r="H1975" s="3" t="s">
        <v>14</v>
      </c>
      <c r="I1975" s="4" t="n">
        <f aca="false">D1975*F1975</f>
        <v>199.68</v>
      </c>
      <c r="J1975" s="3" t="n">
        <f aca="false">IF(AND(LEFT(A1975,1)&lt;&gt;"C",D1975&gt;0,F1975&gt;0),1,0)</f>
        <v>1</v>
      </c>
      <c r="K1975" s="3" t="n">
        <f aca="false">IF(AND(H1975="United Kingdom",G1975&lt;&gt;"",COUNTIFS($G$2:G1975,G1975,$H$2:H1975,"United Kingdom")=1),1,0)</f>
        <v>0</v>
      </c>
    </row>
    <row r="1976" customFormat="false" ht="15" hidden="false" customHeight="false" outlineLevel="0" collapsed="false">
      <c r="A1976" s="0" t="s">
        <v>445</v>
      </c>
      <c r="B1976" s="0" t="s">
        <v>25</v>
      </c>
      <c r="C1976" s="0" t="s">
        <v>26</v>
      </c>
      <c r="D1976" s="0" t="n">
        <v>12</v>
      </c>
      <c r="E1976" s="2" t="n">
        <v>40739.7993055556</v>
      </c>
      <c r="F1976" s="0" t="n">
        <v>2.21</v>
      </c>
      <c r="G1976" s="0" t="n">
        <v>14727</v>
      </c>
      <c r="H1976" s="3" t="s">
        <v>14</v>
      </c>
      <c r="I1976" s="4" t="n">
        <f aca="false">D1976*F1976</f>
        <v>26.52</v>
      </c>
      <c r="J1976" s="3" t="n">
        <f aca="false">IF(AND(LEFT(A1976,1)&lt;&gt;"C",D1976&gt;0,F1976&gt;0),1,0)</f>
        <v>1</v>
      </c>
      <c r="K1976" s="3" t="n">
        <f aca="false">IF(AND(H1976="United Kingdom",G1976&lt;&gt;"",COUNTIFS($G$2:G1976,G1976,$H$2:H1976,"United Kingdom")=1),1,0)</f>
        <v>0</v>
      </c>
    </row>
    <row r="1977" customFormat="false" ht="15" hidden="false" customHeight="false" outlineLevel="0" collapsed="false">
      <c r="A1977" s="0" t="s">
        <v>446</v>
      </c>
      <c r="B1977" s="0" t="s">
        <v>65</v>
      </c>
      <c r="C1977" s="0" t="s">
        <v>66</v>
      </c>
      <c r="D1977" s="0" t="n">
        <v>4</v>
      </c>
      <c r="E1977" s="2" t="n">
        <v>40739.8236111111</v>
      </c>
      <c r="F1977" s="0" t="n">
        <v>4.75</v>
      </c>
      <c r="G1977" s="0" t="n">
        <v>14494</v>
      </c>
      <c r="H1977" s="3" t="s">
        <v>14</v>
      </c>
      <c r="I1977" s="4" t="n">
        <f aca="false">D1977*F1977</f>
        <v>19</v>
      </c>
      <c r="J1977" s="3" t="n">
        <f aca="false">IF(AND(LEFT(A1977,1)&lt;&gt;"C",D1977&gt;0,F1977&gt;0),1,0)</f>
        <v>1</v>
      </c>
      <c r="K1977" s="3" t="n">
        <f aca="false">IF(AND(H1977="United Kingdom",G1977&lt;&gt;"",COUNTIFS($G$2:G1977,G1977,$H$2:H1977,"United Kingdom")=1),1,0)</f>
        <v>0</v>
      </c>
    </row>
    <row r="1978" customFormat="false" ht="15" hidden="false" customHeight="false" outlineLevel="0" collapsed="false">
      <c r="A1978" s="0" t="s">
        <v>446</v>
      </c>
      <c r="B1978" s="0" t="s">
        <v>34</v>
      </c>
      <c r="C1978" s="0" t="s">
        <v>35</v>
      </c>
      <c r="D1978" s="0" t="n">
        <v>2</v>
      </c>
      <c r="E1978" s="2" t="n">
        <v>40739.8236111111</v>
      </c>
      <c r="F1978" s="0" t="n">
        <v>2.38</v>
      </c>
      <c r="G1978" s="0" t="n">
        <v>14494</v>
      </c>
      <c r="H1978" s="3" t="s">
        <v>14</v>
      </c>
      <c r="I1978" s="4" t="n">
        <f aca="false">D1978*F1978</f>
        <v>4.76</v>
      </c>
      <c r="J1978" s="3" t="n">
        <f aca="false">IF(AND(LEFT(A1978,1)&lt;&gt;"C",D1978&gt;0,F1978&gt;0),1,0)</f>
        <v>1</v>
      </c>
      <c r="K1978" s="3" t="n">
        <f aca="false">IF(AND(H1978="United Kingdom",G1978&lt;&gt;"",COUNTIFS($G$2:G1978,G1978,$H$2:H1978,"United Kingdom")=1),1,0)</f>
        <v>0</v>
      </c>
    </row>
    <row r="1979" customFormat="false" ht="15" hidden="false" customHeight="false" outlineLevel="0" collapsed="false">
      <c r="A1979" s="0" t="s">
        <v>446</v>
      </c>
      <c r="B1979" s="0" t="s">
        <v>20</v>
      </c>
      <c r="C1979" s="0" t="s">
        <v>21</v>
      </c>
      <c r="D1979" s="0" t="n">
        <v>2</v>
      </c>
      <c r="E1979" s="2" t="n">
        <v>40739.8236111111</v>
      </c>
      <c r="F1979" s="0" t="n">
        <v>4.24</v>
      </c>
      <c r="G1979" s="0" t="n">
        <v>14494</v>
      </c>
      <c r="H1979" s="3" t="s">
        <v>14</v>
      </c>
      <c r="I1979" s="4" t="n">
        <f aca="false">D1979*F1979</f>
        <v>8.48</v>
      </c>
      <c r="J1979" s="3" t="n">
        <f aca="false">IF(AND(LEFT(A1979,1)&lt;&gt;"C",D1979&gt;0,F1979&gt;0),1,0)</f>
        <v>1</v>
      </c>
      <c r="K1979" s="3" t="n">
        <f aca="false">IF(AND(H1979="United Kingdom",G1979&lt;&gt;"",COUNTIFS($G$2:G1979,G1979,$H$2:H1979,"United Kingdom")=1),1,0)</f>
        <v>0</v>
      </c>
    </row>
    <row r="1980" customFormat="false" ht="15" hidden="false" customHeight="false" outlineLevel="0" collapsed="false">
      <c r="A1980" s="0" t="s">
        <v>446</v>
      </c>
      <c r="B1980" s="0" t="s">
        <v>75</v>
      </c>
      <c r="C1980" s="0" t="s">
        <v>76</v>
      </c>
      <c r="D1980" s="0" t="n">
        <v>12</v>
      </c>
      <c r="E1980" s="2" t="n">
        <v>40739.8236111111</v>
      </c>
      <c r="F1980" s="0" t="n">
        <v>1.97</v>
      </c>
      <c r="G1980" s="0" t="n">
        <v>14494</v>
      </c>
      <c r="H1980" s="3" t="s">
        <v>14</v>
      </c>
      <c r="I1980" s="4" t="n">
        <f aca="false">D1980*F1980</f>
        <v>23.64</v>
      </c>
      <c r="J1980" s="3" t="n">
        <f aca="false">IF(AND(LEFT(A1980,1)&lt;&gt;"C",D1980&gt;0,F1980&gt;0),1,0)</f>
        <v>1</v>
      </c>
      <c r="K1980" s="3" t="n">
        <f aca="false">IF(AND(H1980="United Kingdom",G1980&lt;&gt;"",COUNTIFS($G$2:G1980,G1980,$H$2:H1980,"United Kingdom")=1),1,0)</f>
        <v>0</v>
      </c>
    </row>
    <row r="1981" customFormat="false" ht="15" hidden="false" customHeight="false" outlineLevel="0" collapsed="false">
      <c r="A1981" s="0" t="s">
        <v>446</v>
      </c>
      <c r="B1981" s="0" t="s">
        <v>41</v>
      </c>
      <c r="C1981" s="0" t="s">
        <v>42</v>
      </c>
      <c r="D1981" s="0" t="n">
        <v>4</v>
      </c>
      <c r="E1981" s="2" t="n">
        <v>40739.8236111111</v>
      </c>
      <c r="F1981" s="0" t="n">
        <v>3.28</v>
      </c>
      <c r="G1981" s="0" t="n">
        <v>14494</v>
      </c>
      <c r="H1981" s="3" t="s">
        <v>14</v>
      </c>
      <c r="I1981" s="4" t="n">
        <f aca="false">D1981*F1981</f>
        <v>13.12</v>
      </c>
      <c r="J1981" s="3" t="n">
        <f aca="false">IF(AND(LEFT(A1981,1)&lt;&gt;"C",D1981&gt;0,F1981&gt;0),1,0)</f>
        <v>1</v>
      </c>
      <c r="K1981" s="3" t="n">
        <f aca="false">IF(AND(H1981="United Kingdom",G1981&lt;&gt;"",COUNTIFS($G$2:G1981,G1981,$H$2:H1981,"United Kingdom")=1),1,0)</f>
        <v>0</v>
      </c>
    </row>
    <row r="1982" customFormat="false" ht="15" hidden="false" customHeight="false" outlineLevel="0" collapsed="false">
      <c r="A1982" s="0" t="s">
        <v>446</v>
      </c>
      <c r="B1982" s="0" t="s">
        <v>48</v>
      </c>
      <c r="C1982" s="0" t="s">
        <v>49</v>
      </c>
      <c r="D1982" s="0" t="n">
        <v>2</v>
      </c>
      <c r="E1982" s="2" t="n">
        <v>40739.8236111111</v>
      </c>
      <c r="F1982" s="0" t="n">
        <v>1.35</v>
      </c>
      <c r="G1982" s="0" t="n">
        <v>14494</v>
      </c>
      <c r="H1982" s="3" t="s">
        <v>14</v>
      </c>
      <c r="I1982" s="4" t="n">
        <f aca="false">D1982*F1982</f>
        <v>2.7</v>
      </c>
      <c r="J1982" s="3" t="n">
        <f aca="false">IF(AND(LEFT(A1982,1)&lt;&gt;"C",D1982&gt;0,F1982&gt;0),1,0)</f>
        <v>1</v>
      </c>
      <c r="K1982" s="3" t="n">
        <f aca="false">IF(AND(H1982="United Kingdom",G1982&lt;&gt;"",COUNTIFS($G$2:G1982,G1982,$H$2:H1982,"United Kingdom")=1),1,0)</f>
        <v>0</v>
      </c>
    </row>
    <row r="1983" customFormat="false" ht="15" hidden="false" customHeight="false" outlineLevel="0" collapsed="false">
      <c r="A1983" s="0" t="s">
        <v>446</v>
      </c>
      <c r="B1983" s="0" t="s">
        <v>80</v>
      </c>
      <c r="C1983" s="0" t="s">
        <v>81</v>
      </c>
      <c r="D1983" s="0" t="n">
        <v>8</v>
      </c>
      <c r="E1983" s="2" t="n">
        <v>40739.8236111111</v>
      </c>
      <c r="F1983" s="0" t="n">
        <v>1.53</v>
      </c>
      <c r="G1983" s="0" t="n">
        <v>14494</v>
      </c>
      <c r="H1983" s="3" t="s">
        <v>14</v>
      </c>
      <c r="I1983" s="4" t="n">
        <f aca="false">D1983*F1983</f>
        <v>12.24</v>
      </c>
      <c r="J1983" s="3" t="n">
        <f aca="false">IF(AND(LEFT(A1983,1)&lt;&gt;"C",D1983&gt;0,F1983&gt;0),1,0)</f>
        <v>1</v>
      </c>
      <c r="K1983" s="3" t="n">
        <f aca="false">IF(AND(H1983="United Kingdom",G1983&lt;&gt;"",COUNTIFS($G$2:G1983,G1983,$H$2:H1983,"United Kingdom")=1),1,0)</f>
        <v>0</v>
      </c>
    </row>
    <row r="1984" customFormat="false" ht="15" hidden="false" customHeight="false" outlineLevel="0" collapsed="false">
      <c r="A1984" s="0" t="s">
        <v>446</v>
      </c>
      <c r="B1984" s="0" t="s">
        <v>58</v>
      </c>
      <c r="C1984" s="0" t="s">
        <v>59</v>
      </c>
      <c r="D1984" s="0" t="n">
        <v>4</v>
      </c>
      <c r="E1984" s="2" t="n">
        <v>40739.8236111111</v>
      </c>
      <c r="F1984" s="0" t="n">
        <v>2.16</v>
      </c>
      <c r="G1984" s="0" t="n">
        <v>14494</v>
      </c>
      <c r="H1984" s="3" t="s">
        <v>14</v>
      </c>
      <c r="I1984" s="4" t="n">
        <f aca="false">D1984*F1984</f>
        <v>8.64</v>
      </c>
      <c r="J1984" s="3" t="n">
        <f aca="false">IF(AND(LEFT(A1984,1)&lt;&gt;"C",D1984&gt;0,F1984&gt;0),1,0)</f>
        <v>1</v>
      </c>
      <c r="K1984" s="3" t="n">
        <f aca="false">IF(AND(H1984="United Kingdom",G1984&lt;&gt;"",COUNTIFS($G$2:G1984,G1984,$H$2:H1984,"United Kingdom")=1),1,0)</f>
        <v>0</v>
      </c>
    </row>
    <row r="1985" customFormat="false" ht="15" hidden="false" customHeight="false" outlineLevel="0" collapsed="false">
      <c r="A1985" s="0" t="s">
        <v>446</v>
      </c>
      <c r="B1985" s="0" t="s">
        <v>25</v>
      </c>
      <c r="C1985" s="0" t="s">
        <v>26</v>
      </c>
      <c r="D1985" s="0" t="n">
        <v>6</v>
      </c>
      <c r="E1985" s="2" t="n">
        <v>40739.8236111111</v>
      </c>
      <c r="F1985" s="0" t="n">
        <v>2.21</v>
      </c>
      <c r="G1985" s="0" t="n">
        <v>14494</v>
      </c>
      <c r="H1985" s="3" t="s">
        <v>14</v>
      </c>
      <c r="I1985" s="4" t="n">
        <f aca="false">D1985*F1985</f>
        <v>13.26</v>
      </c>
      <c r="J1985" s="3" t="n">
        <f aca="false">IF(AND(LEFT(A1985,1)&lt;&gt;"C",D1985&gt;0,F1985&gt;0),1,0)</f>
        <v>1</v>
      </c>
      <c r="K1985" s="3" t="n">
        <f aca="false">IF(AND(H1985="United Kingdom",G1985&lt;&gt;"",COUNTIFS($G$2:G1985,G1985,$H$2:H1985,"United Kingdom")=1),1,0)</f>
        <v>0</v>
      </c>
    </row>
    <row r="1986" customFormat="false" ht="15" hidden="false" customHeight="false" outlineLevel="0" collapsed="false">
      <c r="A1986" s="0" t="s">
        <v>446</v>
      </c>
      <c r="B1986" s="0" t="s">
        <v>12</v>
      </c>
      <c r="C1986" s="0" t="s">
        <v>13</v>
      </c>
      <c r="D1986" s="0" t="n">
        <v>8</v>
      </c>
      <c r="E1986" s="2" t="n">
        <v>40739.8236111111</v>
      </c>
      <c r="F1986" s="0" t="n">
        <v>3.33</v>
      </c>
      <c r="G1986" s="0" t="n">
        <v>14494</v>
      </c>
      <c r="H1986" s="3" t="s">
        <v>14</v>
      </c>
      <c r="I1986" s="4" t="n">
        <f aca="false">D1986*F1986</f>
        <v>26.64</v>
      </c>
      <c r="J1986" s="3" t="n">
        <f aca="false">IF(AND(LEFT(A1986,1)&lt;&gt;"C",D1986&gt;0,F1986&gt;0),1,0)</f>
        <v>1</v>
      </c>
      <c r="K1986" s="3" t="n">
        <f aca="false">IF(AND(H1986="United Kingdom",G1986&lt;&gt;"",COUNTIFS($G$2:G1986,G1986,$H$2:H1986,"United Kingdom")=1),1,0)</f>
        <v>0</v>
      </c>
    </row>
    <row r="1987" customFormat="false" ht="15" hidden="false" customHeight="false" outlineLevel="0" collapsed="false">
      <c r="A1987" s="0" t="s">
        <v>446</v>
      </c>
      <c r="B1987" s="0" t="s">
        <v>32</v>
      </c>
      <c r="C1987" s="0" t="s">
        <v>33</v>
      </c>
      <c r="D1987" s="0" t="n">
        <v>4</v>
      </c>
      <c r="E1987" s="2" t="n">
        <v>40739.8236111111</v>
      </c>
      <c r="F1987" s="0" t="n">
        <v>1.19</v>
      </c>
      <c r="G1987" s="0" t="n">
        <v>14494</v>
      </c>
      <c r="H1987" s="3" t="s">
        <v>14</v>
      </c>
      <c r="I1987" s="4" t="n">
        <f aca="false">D1987*F1987</f>
        <v>4.76</v>
      </c>
      <c r="J1987" s="3" t="n">
        <f aca="false">IF(AND(LEFT(A1987,1)&lt;&gt;"C",D1987&gt;0,F1987&gt;0),1,0)</f>
        <v>1</v>
      </c>
      <c r="K1987" s="3" t="n">
        <f aca="false">IF(AND(H1987="United Kingdom",G1987&lt;&gt;"",COUNTIFS($G$2:G1987,G1987,$H$2:H1987,"United Kingdom")=1),1,0)</f>
        <v>0</v>
      </c>
    </row>
    <row r="1988" customFormat="false" ht="15" hidden="false" customHeight="false" outlineLevel="0" collapsed="false">
      <c r="A1988" s="0" t="s">
        <v>446</v>
      </c>
      <c r="B1988" s="0" t="s">
        <v>60</v>
      </c>
      <c r="C1988" s="0" t="s">
        <v>61</v>
      </c>
      <c r="D1988" s="0" t="n">
        <v>12</v>
      </c>
      <c r="E1988" s="2" t="n">
        <v>40739.8236111111</v>
      </c>
      <c r="F1988" s="0" t="n">
        <v>0.63</v>
      </c>
      <c r="G1988" s="0" t="n">
        <v>14494</v>
      </c>
      <c r="H1988" s="3" t="s">
        <v>14</v>
      </c>
      <c r="I1988" s="4" t="n">
        <f aca="false">D1988*F1988</f>
        <v>7.56</v>
      </c>
      <c r="J1988" s="3" t="n">
        <f aca="false">IF(AND(LEFT(A1988,1)&lt;&gt;"C",D1988&gt;0,F1988&gt;0),1,0)</f>
        <v>1</v>
      </c>
      <c r="K1988" s="3" t="n">
        <f aca="false">IF(AND(H1988="United Kingdom",G1988&lt;&gt;"",COUNTIFS($G$2:G1988,G1988,$H$2:H1988,"United Kingdom")=1),1,0)</f>
        <v>0</v>
      </c>
    </row>
    <row r="1989" customFormat="false" ht="15" hidden="false" customHeight="false" outlineLevel="0" collapsed="false">
      <c r="A1989" s="0" t="s">
        <v>446</v>
      </c>
      <c r="B1989" s="0" t="s">
        <v>77</v>
      </c>
      <c r="C1989" s="0" t="s">
        <v>78</v>
      </c>
      <c r="D1989" s="0" t="n">
        <v>6</v>
      </c>
      <c r="E1989" s="2" t="n">
        <v>40739.8236111111</v>
      </c>
      <c r="F1989" s="0" t="n">
        <v>3.41</v>
      </c>
      <c r="G1989" s="0" t="n">
        <v>14494</v>
      </c>
      <c r="H1989" s="3" t="s">
        <v>14</v>
      </c>
      <c r="I1989" s="4" t="n">
        <f aca="false">D1989*F1989</f>
        <v>20.46</v>
      </c>
      <c r="J1989" s="3" t="n">
        <f aca="false">IF(AND(LEFT(A1989,1)&lt;&gt;"C",D1989&gt;0,F1989&gt;0),1,0)</f>
        <v>1</v>
      </c>
      <c r="K1989" s="3" t="n">
        <f aca="false">IF(AND(H1989="United Kingdom",G1989&lt;&gt;"",COUNTIFS($G$2:G1989,G1989,$H$2:H1989,"United Kingdom")=1),1,0)</f>
        <v>0</v>
      </c>
    </row>
    <row r="1990" customFormat="false" ht="15" hidden="false" customHeight="false" outlineLevel="0" collapsed="false">
      <c r="A1990" s="0" t="s">
        <v>446</v>
      </c>
      <c r="B1990" s="0" t="s">
        <v>72</v>
      </c>
      <c r="C1990" s="0" t="s">
        <v>73</v>
      </c>
      <c r="D1990" s="0" t="n">
        <v>4</v>
      </c>
      <c r="E1990" s="2" t="n">
        <v>40739.8236111111</v>
      </c>
      <c r="F1990" s="0" t="n">
        <v>2.69</v>
      </c>
      <c r="G1990" s="0" t="n">
        <v>14494</v>
      </c>
      <c r="H1990" s="3" t="s">
        <v>14</v>
      </c>
      <c r="I1990" s="4" t="n">
        <f aca="false">D1990*F1990</f>
        <v>10.76</v>
      </c>
      <c r="J1990" s="3" t="n">
        <f aca="false">IF(AND(LEFT(A1990,1)&lt;&gt;"C",D1990&gt;0,F1990&gt;0),1,0)</f>
        <v>1</v>
      </c>
      <c r="K1990" s="3" t="n">
        <f aca="false">IF(AND(H1990="United Kingdom",G1990&lt;&gt;"",COUNTIFS($G$2:G1990,G1990,$H$2:H1990,"United Kingdom")=1),1,0)</f>
        <v>0</v>
      </c>
    </row>
    <row r="1991" customFormat="false" ht="15" hidden="false" customHeight="false" outlineLevel="0" collapsed="false">
      <c r="A1991" s="0" t="s">
        <v>446</v>
      </c>
      <c r="B1991" s="0" t="s">
        <v>17</v>
      </c>
      <c r="C1991" s="0" t="s">
        <v>18</v>
      </c>
      <c r="D1991" s="0" t="n">
        <v>4</v>
      </c>
      <c r="E1991" s="2" t="n">
        <v>40739.8236111111</v>
      </c>
      <c r="F1991" s="0" t="n">
        <v>1.92</v>
      </c>
      <c r="G1991" s="0" t="n">
        <v>14494</v>
      </c>
      <c r="H1991" s="3" t="s">
        <v>14</v>
      </c>
      <c r="I1991" s="4" t="n">
        <f aca="false">D1991*F1991</f>
        <v>7.68</v>
      </c>
      <c r="J1991" s="3" t="n">
        <f aca="false">IF(AND(LEFT(A1991,1)&lt;&gt;"C",D1991&gt;0,F1991&gt;0),1,0)</f>
        <v>1</v>
      </c>
      <c r="K1991" s="3" t="n">
        <f aca="false">IF(AND(H1991="United Kingdom",G1991&lt;&gt;"",COUNTIFS($G$2:G1991,G1991,$H$2:H1991,"United Kingdom")=1),1,0)</f>
        <v>0</v>
      </c>
    </row>
    <row r="1992" customFormat="false" ht="15" hidden="false" customHeight="false" outlineLevel="0" collapsed="false">
      <c r="A1992" s="0" t="s">
        <v>446</v>
      </c>
      <c r="B1992" s="0" t="s">
        <v>68</v>
      </c>
      <c r="C1992" s="0" t="s">
        <v>69</v>
      </c>
      <c r="D1992" s="0" t="n">
        <v>16</v>
      </c>
      <c r="E1992" s="2" t="n">
        <v>40739.8236111111</v>
      </c>
      <c r="F1992" s="0" t="n">
        <v>1.26</v>
      </c>
      <c r="G1992" s="0" t="n">
        <v>14494</v>
      </c>
      <c r="H1992" s="3" t="s">
        <v>14</v>
      </c>
      <c r="I1992" s="4" t="n">
        <f aca="false">D1992*F1992</f>
        <v>20.16</v>
      </c>
      <c r="J1992" s="3" t="n">
        <f aca="false">IF(AND(LEFT(A1992,1)&lt;&gt;"C",D1992&gt;0,F1992&gt;0),1,0)</f>
        <v>1</v>
      </c>
      <c r="K1992" s="3" t="n">
        <f aca="false">IF(AND(H1992="United Kingdom",G1992&lt;&gt;"",COUNTIFS($G$2:G1992,G1992,$H$2:H1992,"United Kingdom")=1),1,0)</f>
        <v>0</v>
      </c>
    </row>
    <row r="1993" customFormat="false" ht="15" hidden="false" customHeight="false" outlineLevel="0" collapsed="false">
      <c r="A1993" s="0" t="s">
        <v>446</v>
      </c>
      <c r="B1993" s="0" t="s">
        <v>27</v>
      </c>
      <c r="C1993" s="0" t="s">
        <v>28</v>
      </c>
      <c r="D1993" s="0" t="n">
        <v>4</v>
      </c>
      <c r="E1993" s="2" t="n">
        <v>40739.8236111111</v>
      </c>
      <c r="F1993" s="0" t="n">
        <v>4.55</v>
      </c>
      <c r="G1993" s="0" t="n">
        <v>14494</v>
      </c>
      <c r="H1993" s="3" t="s">
        <v>14</v>
      </c>
      <c r="I1993" s="4" t="n">
        <f aca="false">D1993*F1993</f>
        <v>18.2</v>
      </c>
      <c r="J1993" s="3" t="n">
        <f aca="false">IF(AND(LEFT(A1993,1)&lt;&gt;"C",D1993&gt;0,F1993&gt;0),1,0)</f>
        <v>1</v>
      </c>
      <c r="K1993" s="3" t="n">
        <f aca="false">IF(AND(H1993="United Kingdom",G1993&lt;&gt;"",COUNTIFS($G$2:G1993,G1993,$H$2:H1993,"United Kingdom")=1),1,0)</f>
        <v>0</v>
      </c>
    </row>
    <row r="1994" customFormat="false" ht="15" hidden="false" customHeight="false" outlineLevel="0" collapsed="false">
      <c r="A1994" s="0" t="s">
        <v>446</v>
      </c>
      <c r="B1994" s="0" t="s">
        <v>50</v>
      </c>
      <c r="C1994" s="0" t="s">
        <v>51</v>
      </c>
      <c r="D1994" s="0" t="n">
        <v>4</v>
      </c>
      <c r="E1994" s="2" t="n">
        <v>40739.8236111111</v>
      </c>
      <c r="F1994" s="0" t="n">
        <v>5.41</v>
      </c>
      <c r="G1994" s="0" t="n">
        <v>14494</v>
      </c>
      <c r="H1994" s="3" t="s">
        <v>14</v>
      </c>
      <c r="I1994" s="4" t="n">
        <f aca="false">D1994*F1994</f>
        <v>21.64</v>
      </c>
      <c r="J1994" s="3" t="n">
        <f aca="false">IF(AND(LEFT(A1994,1)&lt;&gt;"C",D1994&gt;0,F1994&gt;0),1,0)</f>
        <v>1</v>
      </c>
      <c r="K1994" s="3" t="n">
        <f aca="false">IF(AND(H1994="United Kingdom",G1994&lt;&gt;"",COUNTIFS($G$2:G1994,G1994,$H$2:H1994,"United Kingdom")=1),1,0)</f>
        <v>0</v>
      </c>
    </row>
    <row r="1995" customFormat="false" ht="15" hidden="false" customHeight="false" outlineLevel="0" collapsed="false">
      <c r="A1995" s="0" t="s">
        <v>446</v>
      </c>
      <c r="B1995" s="0" t="s">
        <v>39</v>
      </c>
      <c r="C1995" s="0" t="s">
        <v>40</v>
      </c>
      <c r="D1995" s="0" t="n">
        <v>3</v>
      </c>
      <c r="E1995" s="2" t="n">
        <v>40739.8236111111</v>
      </c>
      <c r="F1995" s="0" t="n">
        <v>2.58</v>
      </c>
      <c r="G1995" s="0" t="n">
        <v>14494</v>
      </c>
      <c r="H1995" s="3" t="s">
        <v>14</v>
      </c>
      <c r="I1995" s="4" t="n">
        <f aca="false">D1995*F1995</f>
        <v>7.74</v>
      </c>
      <c r="J1995" s="3" t="n">
        <f aca="false">IF(AND(LEFT(A1995,1)&lt;&gt;"C",D1995&gt;0,F1995&gt;0),1,0)</f>
        <v>1</v>
      </c>
      <c r="K1995" s="3" t="n">
        <f aca="false">IF(AND(H1995="United Kingdom",G1995&lt;&gt;"",COUNTIFS($G$2:G1995,G1995,$H$2:H1995,"United Kingdom")=1),1,0)</f>
        <v>0</v>
      </c>
    </row>
    <row r="1996" customFormat="false" ht="15" hidden="false" customHeight="false" outlineLevel="0" collapsed="false">
      <c r="A1996" s="0" t="s">
        <v>446</v>
      </c>
      <c r="B1996" s="0" t="s">
        <v>43</v>
      </c>
      <c r="C1996" s="0" t="s">
        <v>44</v>
      </c>
      <c r="D1996" s="0" t="n">
        <v>1</v>
      </c>
      <c r="E1996" s="2" t="n">
        <v>40739.8236111111</v>
      </c>
      <c r="F1996" s="0" t="n">
        <v>1.35</v>
      </c>
      <c r="G1996" s="0" t="n">
        <v>14494</v>
      </c>
      <c r="H1996" s="3" t="s">
        <v>14</v>
      </c>
      <c r="I1996" s="4" t="n">
        <f aca="false">D1996*F1996</f>
        <v>1.35</v>
      </c>
      <c r="J1996" s="3" t="n">
        <f aca="false">IF(AND(LEFT(A1996,1)&lt;&gt;"C",D1996&gt;0,F1996&gt;0),1,0)</f>
        <v>1</v>
      </c>
      <c r="K1996" s="3" t="n">
        <f aca="false">IF(AND(H1996="United Kingdom",G1996&lt;&gt;"",COUNTIFS($G$2:G1996,G1996,$H$2:H1996,"United Kingdom")=1),1,0)</f>
        <v>0</v>
      </c>
    </row>
    <row r="1997" customFormat="false" ht="15" hidden="false" customHeight="false" outlineLevel="0" collapsed="false">
      <c r="A1997" s="0" t="s">
        <v>446</v>
      </c>
      <c r="B1997" s="0" t="s">
        <v>15</v>
      </c>
      <c r="C1997" s="0" t="s">
        <v>16</v>
      </c>
      <c r="D1997" s="0" t="n">
        <v>1</v>
      </c>
      <c r="E1997" s="2" t="n">
        <v>40739.8236111111</v>
      </c>
      <c r="F1997" s="0" t="n">
        <v>3.18</v>
      </c>
      <c r="G1997" s="0" t="n">
        <v>14494</v>
      </c>
      <c r="H1997" s="3" t="s">
        <v>14</v>
      </c>
      <c r="I1997" s="4" t="n">
        <f aca="false">D1997*F1997</f>
        <v>3.18</v>
      </c>
      <c r="J1997" s="3" t="n">
        <f aca="false">IF(AND(LEFT(A1997,1)&lt;&gt;"C",D1997&gt;0,F1997&gt;0),1,0)</f>
        <v>1</v>
      </c>
      <c r="K1997" s="3" t="n">
        <f aca="false">IF(AND(H1997="United Kingdom",G1997&lt;&gt;"",COUNTIFS($G$2:G1997,G1997,$H$2:H1997,"United Kingdom")=1),1,0)</f>
        <v>0</v>
      </c>
    </row>
    <row r="1998" customFormat="false" ht="15" hidden="false" customHeight="false" outlineLevel="0" collapsed="false">
      <c r="A1998" s="0" t="s">
        <v>446</v>
      </c>
      <c r="B1998" s="0" t="s">
        <v>22</v>
      </c>
      <c r="C1998" s="0" t="s">
        <v>23</v>
      </c>
      <c r="D1998" s="0" t="n">
        <v>1</v>
      </c>
      <c r="E1998" s="2" t="n">
        <v>40739.8236111111</v>
      </c>
      <c r="F1998" s="0" t="n">
        <v>3.18</v>
      </c>
      <c r="G1998" s="0" t="n">
        <v>14494</v>
      </c>
      <c r="H1998" s="3" t="s">
        <v>14</v>
      </c>
      <c r="I1998" s="4" t="n">
        <f aca="false">D1998*F1998</f>
        <v>3.18</v>
      </c>
      <c r="J1998" s="3" t="n">
        <f aca="false">IF(AND(LEFT(A1998,1)&lt;&gt;"C",D1998&gt;0,F1998&gt;0),1,0)</f>
        <v>1</v>
      </c>
      <c r="K1998" s="3" t="n">
        <f aca="false">IF(AND(H1998="United Kingdom",G1998&lt;&gt;"",COUNTIFS($G$2:G1998,G1998,$H$2:H1998,"United Kingdom")=1),1,0)</f>
        <v>0</v>
      </c>
    </row>
    <row r="1999" customFormat="false" ht="15" hidden="false" customHeight="false" outlineLevel="0" collapsed="false">
      <c r="A1999" s="0" t="s">
        <v>446</v>
      </c>
      <c r="B1999" s="0" t="s">
        <v>29</v>
      </c>
      <c r="C1999" s="0" t="s">
        <v>30</v>
      </c>
      <c r="D1999" s="0" t="n">
        <v>6</v>
      </c>
      <c r="E1999" s="2" t="n">
        <v>40739.8236111111</v>
      </c>
      <c r="F1999" s="0" t="n">
        <v>5.79</v>
      </c>
      <c r="G1999" s="0" t="n">
        <v>14494</v>
      </c>
      <c r="H1999" s="3" t="s">
        <v>14</v>
      </c>
      <c r="I1999" s="4" t="n">
        <f aca="false">D1999*F1999</f>
        <v>34.74</v>
      </c>
      <c r="J1999" s="3" t="n">
        <f aca="false">IF(AND(LEFT(A1999,1)&lt;&gt;"C",D1999&gt;0,F1999&gt;0),1,0)</f>
        <v>1</v>
      </c>
      <c r="K1999" s="3" t="n">
        <f aca="false">IF(AND(H1999="United Kingdom",G1999&lt;&gt;"",COUNTIFS($G$2:G1999,G1999,$H$2:H1999,"United Kingdom")=1),1,0)</f>
        <v>0</v>
      </c>
    </row>
    <row r="2000" customFormat="false" ht="15" hidden="false" customHeight="false" outlineLevel="0" collapsed="false">
      <c r="A2000" s="0" t="s">
        <v>446</v>
      </c>
      <c r="B2000" s="0" t="s">
        <v>90</v>
      </c>
      <c r="C2000" s="0" t="s">
        <v>91</v>
      </c>
      <c r="D2000" s="0" t="n">
        <v>2</v>
      </c>
      <c r="E2000" s="2" t="n">
        <v>40739.8236111111</v>
      </c>
      <c r="F2000" s="0" t="n">
        <v>3.04</v>
      </c>
      <c r="G2000" s="0" t="n">
        <v>14494</v>
      </c>
      <c r="H2000" s="3" t="s">
        <v>14</v>
      </c>
      <c r="I2000" s="4" t="n">
        <f aca="false">D2000*F2000</f>
        <v>6.08</v>
      </c>
      <c r="J2000" s="3" t="n">
        <f aca="false">IF(AND(LEFT(A2000,1)&lt;&gt;"C",D2000&gt;0,F2000&gt;0),1,0)</f>
        <v>1</v>
      </c>
      <c r="K2000" s="3" t="n">
        <f aca="false">IF(AND(H2000="United Kingdom",G2000&lt;&gt;"",COUNTIFS($G$2:G2000,G2000,$H$2:H2000,"United Kingdom")=1),1,0)</f>
        <v>0</v>
      </c>
    </row>
    <row r="2001" customFormat="false" ht="15" hidden="false" customHeight="false" outlineLevel="0" collapsed="false">
      <c r="A2001" s="0" t="s">
        <v>446</v>
      </c>
      <c r="B2001" s="0" t="s">
        <v>113</v>
      </c>
      <c r="C2001" s="0" t="s">
        <v>114</v>
      </c>
      <c r="D2001" s="0" t="n">
        <v>24</v>
      </c>
      <c r="E2001" s="2" t="n">
        <v>40739.8236111111</v>
      </c>
      <c r="F2001" s="0" t="n">
        <v>3.57</v>
      </c>
      <c r="G2001" s="0" t="n">
        <v>14494</v>
      </c>
      <c r="H2001" s="3" t="s">
        <v>14</v>
      </c>
      <c r="I2001" s="4" t="n">
        <f aca="false">D2001*F2001</f>
        <v>85.68</v>
      </c>
      <c r="J2001" s="3" t="n">
        <f aca="false">IF(AND(LEFT(A2001,1)&lt;&gt;"C",D2001&gt;0,F2001&gt;0),1,0)</f>
        <v>1</v>
      </c>
      <c r="K2001" s="3" t="n">
        <f aca="false">IF(AND(H2001="United Kingdom",G2001&lt;&gt;"",COUNTIFS($G$2:G2001,G2001,$H$2:H2001,"United Kingdom")=1),1,0)</f>
        <v>0</v>
      </c>
    </row>
    <row r="2002" customFormat="false" ht="15" hidden="false" customHeight="false" outlineLevel="0" collapsed="false">
      <c r="A2002" s="0" t="s">
        <v>447</v>
      </c>
      <c r="B2002" s="0" t="s">
        <v>58</v>
      </c>
      <c r="C2002" s="0" t="s">
        <v>59</v>
      </c>
      <c r="D2002" s="0" t="n">
        <v>15</v>
      </c>
      <c r="E2002" s="2" t="n">
        <v>40740.3680555556</v>
      </c>
      <c r="F2002" s="0" t="n">
        <v>2.16</v>
      </c>
      <c r="G2002" s="0" t="n">
        <v>13075</v>
      </c>
      <c r="H2002" s="3" t="s">
        <v>120</v>
      </c>
      <c r="I2002" s="4" t="n">
        <f aca="false">D2002*F2002</f>
        <v>32.4</v>
      </c>
      <c r="J2002" s="3" t="n">
        <f aca="false">IF(AND(LEFT(A2002,1)&lt;&gt;"C",D2002&gt;0,F2002&gt;0),1,0)</f>
        <v>1</v>
      </c>
      <c r="K2002" s="3" t="n">
        <f aca="false">IF(AND(H2002="United Kingdom",G2002&lt;&gt;"",COUNTIFS($G$2:G2002,G2002,$H$2:H2002,"United Kingdom")=1),1,0)</f>
        <v>0</v>
      </c>
    </row>
    <row r="2003" customFormat="false" ht="15" hidden="false" customHeight="false" outlineLevel="0" collapsed="false">
      <c r="A2003" s="0" t="s">
        <v>447</v>
      </c>
      <c r="B2003" s="0" t="s">
        <v>68</v>
      </c>
      <c r="C2003" s="0" t="s">
        <v>69</v>
      </c>
      <c r="D2003" s="0" t="n">
        <v>2</v>
      </c>
      <c r="E2003" s="2" t="n">
        <v>40740.3680555556</v>
      </c>
      <c r="F2003" s="0" t="n">
        <v>1.26</v>
      </c>
      <c r="G2003" s="0" t="n">
        <v>13075</v>
      </c>
      <c r="H2003" s="3" t="s">
        <v>120</v>
      </c>
      <c r="I2003" s="4" t="n">
        <f aca="false">D2003*F2003</f>
        <v>2.52</v>
      </c>
      <c r="J2003" s="3" t="n">
        <f aca="false">IF(AND(LEFT(A2003,1)&lt;&gt;"C",D2003&gt;0,F2003&gt;0),1,0)</f>
        <v>1</v>
      </c>
      <c r="K2003" s="3" t="n">
        <f aca="false">IF(AND(H2003="United Kingdom",G2003&lt;&gt;"",COUNTIFS($G$2:G2003,G2003,$H$2:H2003,"United Kingdom")=1),1,0)</f>
        <v>0</v>
      </c>
    </row>
    <row r="2004" customFormat="false" ht="15" hidden="false" customHeight="false" outlineLevel="0" collapsed="false">
      <c r="A2004" s="0" t="s">
        <v>447</v>
      </c>
      <c r="B2004" s="0" t="s">
        <v>80</v>
      </c>
      <c r="C2004" s="0" t="s">
        <v>81</v>
      </c>
      <c r="D2004" s="0" t="n">
        <v>1</v>
      </c>
      <c r="E2004" s="2" t="n">
        <v>40740.3680555556</v>
      </c>
      <c r="F2004" s="0" t="n">
        <v>1.53</v>
      </c>
      <c r="G2004" s="0" t="n">
        <v>13075</v>
      </c>
      <c r="H2004" s="3" t="s">
        <v>120</v>
      </c>
      <c r="I2004" s="4" t="n">
        <f aca="false">D2004*F2004</f>
        <v>1.53</v>
      </c>
      <c r="J2004" s="3" t="n">
        <f aca="false">IF(AND(LEFT(A2004,1)&lt;&gt;"C",D2004&gt;0,F2004&gt;0),1,0)</f>
        <v>1</v>
      </c>
      <c r="K2004" s="3" t="n">
        <f aca="false">IF(AND(H2004="United Kingdom",G2004&lt;&gt;"",COUNTIFS($G$2:G2004,G2004,$H$2:H2004,"United Kingdom")=1),1,0)</f>
        <v>0</v>
      </c>
    </row>
    <row r="2005" customFormat="false" ht="15" hidden="false" customHeight="false" outlineLevel="0" collapsed="false">
      <c r="A2005" s="0" t="s">
        <v>447</v>
      </c>
      <c r="B2005" s="0" t="s">
        <v>29</v>
      </c>
      <c r="C2005" s="0" t="s">
        <v>30</v>
      </c>
      <c r="D2005" s="0" t="n">
        <v>1</v>
      </c>
      <c r="E2005" s="2" t="n">
        <v>40740.3680555556</v>
      </c>
      <c r="F2005" s="0" t="n">
        <v>5.79</v>
      </c>
      <c r="G2005" s="0" t="n">
        <v>13075</v>
      </c>
      <c r="H2005" s="3" t="s">
        <v>120</v>
      </c>
      <c r="I2005" s="4" t="n">
        <f aca="false">D2005*F2005</f>
        <v>5.79</v>
      </c>
      <c r="J2005" s="3" t="n">
        <f aca="false">IF(AND(LEFT(A2005,1)&lt;&gt;"C",D2005&gt;0,F2005&gt;0),1,0)</f>
        <v>1</v>
      </c>
      <c r="K2005" s="3" t="n">
        <f aca="false">IF(AND(H2005="United Kingdom",G2005&lt;&gt;"",COUNTIFS($G$2:G2005,G2005,$H$2:H2005,"United Kingdom")=1),1,0)</f>
        <v>0</v>
      </c>
    </row>
    <row r="2006" customFormat="false" ht="15" hidden="false" customHeight="false" outlineLevel="0" collapsed="false">
      <c r="A2006" s="0" t="s">
        <v>448</v>
      </c>
      <c r="B2006" s="0" t="s">
        <v>22</v>
      </c>
      <c r="C2006" s="0" t="s">
        <v>23</v>
      </c>
      <c r="D2006" s="0" t="n">
        <v>2</v>
      </c>
      <c r="E2006" s="2" t="n">
        <v>40740.4020833333</v>
      </c>
      <c r="F2006" s="0" t="n">
        <v>3.18</v>
      </c>
      <c r="G2006" s="0" t="n">
        <v>14356</v>
      </c>
      <c r="H2006" s="3" t="s">
        <v>14</v>
      </c>
      <c r="I2006" s="4" t="n">
        <f aca="false">D2006*F2006</f>
        <v>6.36</v>
      </c>
      <c r="J2006" s="3" t="n">
        <f aca="false">IF(AND(LEFT(A2006,1)&lt;&gt;"C",D2006&gt;0,F2006&gt;0),1,0)</f>
        <v>1</v>
      </c>
      <c r="K2006" s="3" t="n">
        <f aca="false">IF(AND(H2006="United Kingdom",G2006&lt;&gt;"",COUNTIFS($G$2:G2006,G2006,$H$2:H2006,"United Kingdom")=1),1,0)</f>
        <v>0</v>
      </c>
    </row>
    <row r="2007" customFormat="false" ht="15" hidden="false" customHeight="false" outlineLevel="0" collapsed="false">
      <c r="A2007" s="0" t="s">
        <v>448</v>
      </c>
      <c r="B2007" s="0" t="s">
        <v>41</v>
      </c>
      <c r="C2007" s="0" t="s">
        <v>42</v>
      </c>
      <c r="D2007" s="0" t="n">
        <v>8</v>
      </c>
      <c r="E2007" s="2" t="n">
        <v>40740.4020833333</v>
      </c>
      <c r="F2007" s="0" t="n">
        <v>3.28</v>
      </c>
      <c r="G2007" s="0" t="n">
        <v>14356</v>
      </c>
      <c r="H2007" s="3" t="s">
        <v>14</v>
      </c>
      <c r="I2007" s="4" t="n">
        <f aca="false">D2007*F2007</f>
        <v>26.24</v>
      </c>
      <c r="J2007" s="3" t="n">
        <f aca="false">IF(AND(LEFT(A2007,1)&lt;&gt;"C",D2007&gt;0,F2007&gt;0),1,0)</f>
        <v>1</v>
      </c>
      <c r="K2007" s="3" t="n">
        <f aca="false">IF(AND(H2007="United Kingdom",G2007&lt;&gt;"",COUNTIFS($G$2:G2007,G2007,$H$2:H2007,"United Kingdom")=1),1,0)</f>
        <v>0</v>
      </c>
    </row>
    <row r="2008" customFormat="false" ht="15" hidden="false" customHeight="false" outlineLevel="0" collapsed="false">
      <c r="A2008" s="0" t="s">
        <v>448</v>
      </c>
      <c r="B2008" s="0" t="s">
        <v>90</v>
      </c>
      <c r="C2008" s="0" t="s">
        <v>91</v>
      </c>
      <c r="D2008" s="0" t="n">
        <v>1</v>
      </c>
      <c r="E2008" s="2" t="n">
        <v>40740.4020833333</v>
      </c>
      <c r="F2008" s="0" t="n">
        <v>3.04</v>
      </c>
      <c r="G2008" s="0" t="n">
        <v>14356</v>
      </c>
      <c r="H2008" s="3" t="s">
        <v>14</v>
      </c>
      <c r="I2008" s="4" t="n">
        <f aca="false">D2008*F2008</f>
        <v>3.04</v>
      </c>
      <c r="J2008" s="3" t="n">
        <f aca="false">IF(AND(LEFT(A2008,1)&lt;&gt;"C",D2008&gt;0,F2008&gt;0),1,0)</f>
        <v>1</v>
      </c>
      <c r="K2008" s="3" t="n">
        <f aca="false">IF(AND(H2008="United Kingdom",G2008&lt;&gt;"",COUNTIFS($G$2:G2008,G2008,$H$2:H2008,"United Kingdom")=1),1,0)</f>
        <v>0</v>
      </c>
    </row>
    <row r="2009" customFormat="false" ht="15" hidden="false" customHeight="false" outlineLevel="0" collapsed="false">
      <c r="A2009" s="0" t="s">
        <v>449</v>
      </c>
      <c r="B2009" s="0" t="s">
        <v>58</v>
      </c>
      <c r="C2009" s="0" t="s">
        <v>59</v>
      </c>
      <c r="D2009" s="0" t="n">
        <v>8</v>
      </c>
      <c r="E2009" s="2" t="n">
        <v>40740.8020833333</v>
      </c>
      <c r="F2009" s="0" t="n">
        <v>2.16</v>
      </c>
      <c r="H2009" s="3" t="s">
        <v>14</v>
      </c>
      <c r="I2009" s="4" t="n">
        <f aca="false">D2009*F2009</f>
        <v>17.28</v>
      </c>
      <c r="J2009" s="3" t="n">
        <f aca="false">IF(AND(LEFT(A2009,1)&lt;&gt;"C",D2009&gt;0,F2009&gt;0),1,0)</f>
        <v>1</v>
      </c>
      <c r="K2009" s="3" t="n">
        <f aca="false">IF(AND(H2009="United Kingdom",G2009&lt;&gt;"",COUNTIFS($G$2:G2009,G2009,$H$2:H2009,"United Kingdom")=1),1,0)</f>
        <v>0</v>
      </c>
    </row>
    <row r="2010" customFormat="false" ht="15" hidden="false" customHeight="false" outlineLevel="0" collapsed="false">
      <c r="A2010" s="0" t="s">
        <v>449</v>
      </c>
      <c r="B2010" s="0" t="s">
        <v>15</v>
      </c>
      <c r="C2010" s="0" t="s">
        <v>16</v>
      </c>
      <c r="D2010" s="0" t="n">
        <v>8</v>
      </c>
      <c r="E2010" s="2" t="n">
        <v>40740.8020833333</v>
      </c>
      <c r="F2010" s="0" t="n">
        <v>3.18</v>
      </c>
      <c r="H2010" s="3" t="s">
        <v>14</v>
      </c>
      <c r="I2010" s="4" t="n">
        <f aca="false">D2010*F2010</f>
        <v>25.44</v>
      </c>
      <c r="J2010" s="3" t="n">
        <f aca="false">IF(AND(LEFT(A2010,1)&lt;&gt;"C",D2010&gt;0,F2010&gt;0),1,0)</f>
        <v>1</v>
      </c>
      <c r="K2010" s="3" t="n">
        <f aca="false">IF(AND(H2010="United Kingdom",G2010&lt;&gt;"",COUNTIFS($G$2:G2010,G2010,$H$2:H2010,"United Kingdom")=1),1,0)</f>
        <v>0</v>
      </c>
    </row>
    <row r="2011" customFormat="false" ht="15" hidden="false" customHeight="false" outlineLevel="0" collapsed="false">
      <c r="A2011" s="0" t="s">
        <v>449</v>
      </c>
      <c r="B2011" s="0" t="s">
        <v>90</v>
      </c>
      <c r="C2011" s="0" t="s">
        <v>91</v>
      </c>
      <c r="D2011" s="0" t="n">
        <v>8</v>
      </c>
      <c r="E2011" s="2" t="n">
        <v>40740.8020833333</v>
      </c>
      <c r="F2011" s="0" t="n">
        <v>3.04</v>
      </c>
      <c r="H2011" s="3" t="s">
        <v>14</v>
      </c>
      <c r="I2011" s="4" t="n">
        <f aca="false">D2011*F2011</f>
        <v>24.32</v>
      </c>
      <c r="J2011" s="3" t="n">
        <f aca="false">IF(AND(LEFT(A2011,1)&lt;&gt;"C",D2011&gt;0,F2011&gt;0),1,0)</f>
        <v>1</v>
      </c>
      <c r="K2011" s="3" t="n">
        <f aca="false">IF(AND(H2011="United Kingdom",G2011&lt;&gt;"",COUNTIFS($G$2:G2011,G2011,$H$2:H2011,"United Kingdom")=1),1,0)</f>
        <v>0</v>
      </c>
    </row>
    <row r="2012" customFormat="false" ht="15" hidden="false" customHeight="false" outlineLevel="0" collapsed="false">
      <c r="A2012" s="0" t="s">
        <v>449</v>
      </c>
      <c r="B2012" s="0" t="s">
        <v>60</v>
      </c>
      <c r="C2012" s="0" t="s">
        <v>61</v>
      </c>
      <c r="D2012" s="0" t="n">
        <v>12</v>
      </c>
      <c r="E2012" s="2" t="n">
        <v>40740.8020833333</v>
      </c>
      <c r="F2012" s="0" t="n">
        <v>0.63</v>
      </c>
      <c r="H2012" s="3" t="s">
        <v>14</v>
      </c>
      <c r="I2012" s="4" t="n">
        <f aca="false">D2012*F2012</f>
        <v>7.56</v>
      </c>
      <c r="J2012" s="3" t="n">
        <f aca="false">IF(AND(LEFT(A2012,1)&lt;&gt;"C",D2012&gt;0,F2012&gt;0),1,0)</f>
        <v>1</v>
      </c>
      <c r="K2012" s="3" t="n">
        <f aca="false">IF(AND(H2012="United Kingdom",G2012&lt;&gt;"",COUNTIFS($G$2:G2012,G2012,$H$2:H2012,"United Kingdom")=1),1,0)</f>
        <v>0</v>
      </c>
    </row>
    <row r="2013" customFormat="false" ht="15" hidden="false" customHeight="false" outlineLevel="0" collapsed="false">
      <c r="A2013" s="0" t="s">
        <v>449</v>
      </c>
      <c r="B2013" s="0" t="s">
        <v>37</v>
      </c>
      <c r="C2013" s="0" t="s">
        <v>38</v>
      </c>
      <c r="D2013" s="0" t="n">
        <v>1</v>
      </c>
      <c r="E2013" s="2" t="n">
        <v>40740.8020833333</v>
      </c>
      <c r="F2013" s="0" t="n">
        <v>1.82</v>
      </c>
      <c r="H2013" s="3" t="s">
        <v>14</v>
      </c>
      <c r="I2013" s="4" t="n">
        <f aca="false">D2013*F2013</f>
        <v>1.82</v>
      </c>
      <c r="J2013" s="3" t="n">
        <f aca="false">IF(AND(LEFT(A2013,1)&lt;&gt;"C",D2013&gt;0,F2013&gt;0),1,0)</f>
        <v>1</v>
      </c>
      <c r="K2013" s="3" t="n">
        <f aca="false">IF(AND(H2013="United Kingdom",G2013&lt;&gt;"",COUNTIFS($G$2:G2013,G2013,$H$2:H2013,"United Kingdom")=1),1,0)</f>
        <v>0</v>
      </c>
    </row>
    <row r="2014" customFormat="false" ht="15" hidden="false" customHeight="false" outlineLevel="0" collapsed="false">
      <c r="A2014" s="0" t="s">
        <v>450</v>
      </c>
      <c r="B2014" s="0" t="s">
        <v>77</v>
      </c>
      <c r="C2014" s="0" t="s">
        <v>78</v>
      </c>
      <c r="D2014" s="0" t="n">
        <v>4</v>
      </c>
      <c r="E2014" s="2" t="n">
        <v>40742.6270833333</v>
      </c>
      <c r="F2014" s="0" t="n">
        <v>3.41</v>
      </c>
      <c r="G2014" s="0" t="n">
        <v>14386</v>
      </c>
      <c r="H2014" s="3" t="s">
        <v>14</v>
      </c>
      <c r="I2014" s="4" t="n">
        <f aca="false">D2014*F2014</f>
        <v>13.64</v>
      </c>
      <c r="J2014" s="3" t="n">
        <f aca="false">IF(AND(LEFT(A2014,1)&lt;&gt;"C",D2014&gt;0,F2014&gt;0),1,0)</f>
        <v>1</v>
      </c>
      <c r="K2014" s="3" t="n">
        <f aca="false">IF(AND(H2014="United Kingdom",G2014&lt;&gt;"",COUNTIFS($G$2:G2014,G2014,$H$2:H2014,"United Kingdom")=1),1,0)</f>
        <v>1</v>
      </c>
    </row>
    <row r="2015" customFormat="false" ht="15" hidden="false" customHeight="false" outlineLevel="0" collapsed="false">
      <c r="A2015" s="0" t="s">
        <v>450</v>
      </c>
      <c r="B2015" s="0" t="s">
        <v>17</v>
      </c>
      <c r="C2015" s="0" t="s">
        <v>18</v>
      </c>
      <c r="D2015" s="0" t="n">
        <v>4</v>
      </c>
      <c r="E2015" s="2" t="n">
        <v>40742.6270833333</v>
      </c>
      <c r="F2015" s="0" t="n">
        <v>1.92</v>
      </c>
      <c r="G2015" s="0" t="n">
        <v>14386</v>
      </c>
      <c r="H2015" s="3" t="s">
        <v>14</v>
      </c>
      <c r="I2015" s="4" t="n">
        <f aca="false">D2015*F2015</f>
        <v>7.68</v>
      </c>
      <c r="J2015" s="3" t="n">
        <f aca="false">IF(AND(LEFT(A2015,1)&lt;&gt;"C",D2015&gt;0,F2015&gt;0),1,0)</f>
        <v>1</v>
      </c>
      <c r="K2015" s="3" t="n">
        <f aca="false">IF(AND(H2015="United Kingdom",G2015&lt;&gt;"",COUNTIFS($G$2:G2015,G2015,$H$2:H2015,"United Kingdom")=1),1,0)</f>
        <v>0</v>
      </c>
    </row>
    <row r="2016" customFormat="false" ht="15" hidden="false" customHeight="false" outlineLevel="0" collapsed="false">
      <c r="A2016" s="0" t="s">
        <v>450</v>
      </c>
      <c r="B2016" s="0" t="s">
        <v>60</v>
      </c>
      <c r="C2016" s="0" t="s">
        <v>61</v>
      </c>
      <c r="D2016" s="0" t="n">
        <v>6</v>
      </c>
      <c r="E2016" s="2" t="n">
        <v>40742.6270833333</v>
      </c>
      <c r="F2016" s="0" t="n">
        <v>0.63</v>
      </c>
      <c r="G2016" s="0" t="n">
        <v>14386</v>
      </c>
      <c r="H2016" s="3" t="s">
        <v>14</v>
      </c>
      <c r="I2016" s="4" t="n">
        <f aca="false">D2016*F2016</f>
        <v>3.78</v>
      </c>
      <c r="J2016" s="3" t="n">
        <f aca="false">IF(AND(LEFT(A2016,1)&lt;&gt;"C",D2016&gt;0,F2016&gt;0),1,0)</f>
        <v>1</v>
      </c>
      <c r="K2016" s="3" t="n">
        <f aca="false">IF(AND(H2016="United Kingdom",G2016&lt;&gt;"",COUNTIFS($G$2:G2016,G2016,$H$2:H2016,"United Kingdom")=1),1,0)</f>
        <v>0</v>
      </c>
    </row>
    <row r="2017" customFormat="false" ht="15" hidden="false" customHeight="false" outlineLevel="0" collapsed="false">
      <c r="A2017" s="0" t="s">
        <v>450</v>
      </c>
      <c r="B2017" s="0" t="s">
        <v>63</v>
      </c>
      <c r="C2017" s="0" t="s">
        <v>64</v>
      </c>
      <c r="D2017" s="0" t="n">
        <v>12</v>
      </c>
      <c r="E2017" s="2" t="n">
        <v>40742.6270833333</v>
      </c>
      <c r="F2017" s="0" t="n">
        <v>2.43</v>
      </c>
      <c r="G2017" s="0" t="n">
        <v>14386</v>
      </c>
      <c r="H2017" s="3" t="s">
        <v>14</v>
      </c>
      <c r="I2017" s="4" t="n">
        <f aca="false">D2017*F2017</f>
        <v>29.16</v>
      </c>
      <c r="J2017" s="3" t="n">
        <f aca="false">IF(AND(LEFT(A2017,1)&lt;&gt;"C",D2017&gt;0,F2017&gt;0),1,0)</f>
        <v>1</v>
      </c>
      <c r="K2017" s="3" t="n">
        <f aca="false">IF(AND(H2017="United Kingdom",G2017&lt;&gt;"",COUNTIFS($G$2:G2017,G2017,$H$2:H2017,"United Kingdom")=1),1,0)</f>
        <v>0</v>
      </c>
    </row>
    <row r="2018" customFormat="false" ht="15" hidden="false" customHeight="false" outlineLevel="0" collapsed="false">
      <c r="A2018" s="0" t="s">
        <v>450</v>
      </c>
      <c r="B2018" s="0" t="s">
        <v>34</v>
      </c>
      <c r="C2018" s="0" t="s">
        <v>35</v>
      </c>
      <c r="D2018" s="0" t="n">
        <v>1</v>
      </c>
      <c r="E2018" s="2" t="n">
        <v>40742.6270833333</v>
      </c>
      <c r="F2018" s="0" t="n">
        <v>2.38</v>
      </c>
      <c r="G2018" s="0" t="n">
        <v>14386</v>
      </c>
      <c r="H2018" s="3" t="s">
        <v>14</v>
      </c>
      <c r="I2018" s="4" t="n">
        <f aca="false">D2018*F2018</f>
        <v>2.38</v>
      </c>
      <c r="J2018" s="3" t="n">
        <f aca="false">IF(AND(LEFT(A2018,1)&lt;&gt;"C",D2018&gt;0,F2018&gt;0),1,0)</f>
        <v>1</v>
      </c>
      <c r="K2018" s="3" t="n">
        <f aca="false">IF(AND(H2018="United Kingdom",G2018&lt;&gt;"",COUNTIFS($G$2:G2018,G2018,$H$2:H2018,"United Kingdom")=1),1,0)</f>
        <v>0</v>
      </c>
    </row>
    <row r="2019" customFormat="false" ht="15" hidden="false" customHeight="false" outlineLevel="0" collapsed="false">
      <c r="A2019" s="0" t="s">
        <v>451</v>
      </c>
      <c r="B2019" s="0" t="s">
        <v>43</v>
      </c>
      <c r="C2019" s="0" t="s">
        <v>44</v>
      </c>
      <c r="D2019" s="0" t="n">
        <v>12</v>
      </c>
      <c r="E2019" s="2" t="n">
        <v>40742.7284722222</v>
      </c>
      <c r="F2019" s="0" t="n">
        <v>1.35</v>
      </c>
      <c r="H2019" s="3" t="s">
        <v>14</v>
      </c>
      <c r="I2019" s="4" t="n">
        <f aca="false">D2019*F2019</f>
        <v>16.2</v>
      </c>
      <c r="J2019" s="3" t="n">
        <f aca="false">IF(AND(LEFT(A2019,1)&lt;&gt;"C",D2019&gt;0,F2019&gt;0),1,0)</f>
        <v>1</v>
      </c>
      <c r="K2019" s="3" t="n">
        <f aca="false">IF(AND(H2019="United Kingdom",G2019&lt;&gt;"",COUNTIFS($G$2:G2019,G2019,$H$2:H2019,"United Kingdom")=1),1,0)</f>
        <v>0</v>
      </c>
    </row>
    <row r="2020" customFormat="false" ht="15" hidden="false" customHeight="false" outlineLevel="0" collapsed="false">
      <c r="A2020" s="0" t="s">
        <v>452</v>
      </c>
      <c r="B2020" s="0" t="s">
        <v>41</v>
      </c>
      <c r="C2020" s="0" t="s">
        <v>42</v>
      </c>
      <c r="D2020" s="0" t="n">
        <v>144</v>
      </c>
      <c r="E2020" s="2" t="n">
        <v>40743.4576388889</v>
      </c>
      <c r="F2020" s="0" t="n">
        <v>3.28</v>
      </c>
      <c r="G2020" s="0" t="n">
        <v>16461</v>
      </c>
      <c r="H2020" s="3" t="s">
        <v>14</v>
      </c>
      <c r="I2020" s="4" t="n">
        <f aca="false">D2020*F2020</f>
        <v>472.32</v>
      </c>
      <c r="J2020" s="3" t="n">
        <f aca="false">IF(AND(LEFT(A2020,1)&lt;&gt;"C",D2020&gt;0,F2020&gt;0),1,0)</f>
        <v>1</v>
      </c>
      <c r="K2020" s="3" t="n">
        <f aca="false">IF(AND(H2020="United Kingdom",G2020&lt;&gt;"",COUNTIFS($G$2:G2020,G2020,$H$2:H2020,"United Kingdom")=1),1,0)</f>
        <v>0</v>
      </c>
    </row>
    <row r="2021" customFormat="false" ht="15" hidden="false" customHeight="false" outlineLevel="0" collapsed="false">
      <c r="A2021" s="0" t="s">
        <v>452</v>
      </c>
      <c r="B2021" s="0" t="s">
        <v>43</v>
      </c>
      <c r="C2021" s="0" t="s">
        <v>44</v>
      </c>
      <c r="D2021" s="0" t="n">
        <v>24</v>
      </c>
      <c r="E2021" s="2" t="n">
        <v>40743.4576388889</v>
      </c>
      <c r="F2021" s="0" t="n">
        <v>1.35</v>
      </c>
      <c r="G2021" s="0" t="n">
        <v>16461</v>
      </c>
      <c r="H2021" s="3" t="s">
        <v>14</v>
      </c>
      <c r="I2021" s="4" t="n">
        <f aca="false">D2021*F2021</f>
        <v>32.4</v>
      </c>
      <c r="J2021" s="3" t="n">
        <f aca="false">IF(AND(LEFT(A2021,1)&lt;&gt;"C",D2021&gt;0,F2021&gt;0),1,0)</f>
        <v>1</v>
      </c>
      <c r="K2021" s="3" t="n">
        <f aca="false">IF(AND(H2021="United Kingdom",G2021&lt;&gt;"",COUNTIFS($G$2:G2021,G2021,$H$2:H2021,"United Kingdom")=1),1,0)</f>
        <v>0</v>
      </c>
    </row>
    <row r="2022" customFormat="false" ht="15" hidden="false" customHeight="false" outlineLevel="0" collapsed="false">
      <c r="A2022" s="0" t="s">
        <v>452</v>
      </c>
      <c r="B2022" s="0" t="s">
        <v>77</v>
      </c>
      <c r="C2022" s="0" t="s">
        <v>78</v>
      </c>
      <c r="D2022" s="0" t="n">
        <v>216</v>
      </c>
      <c r="E2022" s="2" t="n">
        <v>40743.4576388889</v>
      </c>
      <c r="F2022" s="0" t="n">
        <v>3.41</v>
      </c>
      <c r="G2022" s="0" t="n">
        <v>16461</v>
      </c>
      <c r="H2022" s="3" t="s">
        <v>14</v>
      </c>
      <c r="I2022" s="4" t="n">
        <f aca="false">D2022*F2022</f>
        <v>736.56</v>
      </c>
      <c r="J2022" s="3" t="n">
        <f aca="false">IF(AND(LEFT(A2022,1)&lt;&gt;"C",D2022&gt;0,F2022&gt;0),1,0)</f>
        <v>1</v>
      </c>
      <c r="K2022" s="3" t="n">
        <f aca="false">IF(AND(H2022="United Kingdom",G2022&lt;&gt;"",COUNTIFS($G$2:G2022,G2022,$H$2:H2022,"United Kingdom")=1),1,0)</f>
        <v>0</v>
      </c>
    </row>
    <row r="2023" customFormat="false" ht="15" hidden="false" customHeight="false" outlineLevel="0" collapsed="false">
      <c r="A2023" s="0" t="s">
        <v>452</v>
      </c>
      <c r="B2023" s="0" t="s">
        <v>63</v>
      </c>
      <c r="C2023" s="0" t="s">
        <v>64</v>
      </c>
      <c r="D2023" s="0" t="n">
        <v>72</v>
      </c>
      <c r="E2023" s="2" t="n">
        <v>40743.4576388889</v>
      </c>
      <c r="F2023" s="0" t="n">
        <v>2.43</v>
      </c>
      <c r="G2023" s="0" t="n">
        <v>16461</v>
      </c>
      <c r="H2023" s="3" t="s">
        <v>14</v>
      </c>
      <c r="I2023" s="4" t="n">
        <f aca="false">D2023*F2023</f>
        <v>174.96</v>
      </c>
      <c r="J2023" s="3" t="n">
        <f aca="false">IF(AND(LEFT(A2023,1)&lt;&gt;"C",D2023&gt;0,F2023&gt;0),1,0)</f>
        <v>1</v>
      </c>
      <c r="K2023" s="3" t="n">
        <f aca="false">IF(AND(H2023="United Kingdom",G2023&lt;&gt;"",COUNTIFS($G$2:G2023,G2023,$H$2:H2023,"United Kingdom")=1),1,0)</f>
        <v>0</v>
      </c>
    </row>
    <row r="2024" customFormat="false" ht="15" hidden="false" customHeight="false" outlineLevel="0" collapsed="false">
      <c r="A2024" s="0" t="s">
        <v>452</v>
      </c>
      <c r="B2024" s="0" t="s">
        <v>72</v>
      </c>
      <c r="C2024" s="0" t="s">
        <v>73</v>
      </c>
      <c r="D2024" s="0" t="n">
        <v>18</v>
      </c>
      <c r="E2024" s="2" t="n">
        <v>40743.4576388889</v>
      </c>
      <c r="F2024" s="0" t="n">
        <v>2.69</v>
      </c>
      <c r="G2024" s="0" t="n">
        <v>16461</v>
      </c>
      <c r="H2024" s="3" t="s">
        <v>14</v>
      </c>
      <c r="I2024" s="4" t="n">
        <f aca="false">D2024*F2024</f>
        <v>48.42</v>
      </c>
      <c r="J2024" s="3" t="n">
        <f aca="false">IF(AND(LEFT(A2024,1)&lt;&gt;"C",D2024&gt;0,F2024&gt;0),1,0)</f>
        <v>1</v>
      </c>
      <c r="K2024" s="3" t="n">
        <f aca="false">IF(AND(H2024="United Kingdom",G2024&lt;&gt;"",COUNTIFS($G$2:G2024,G2024,$H$2:H2024,"United Kingdom")=1),1,0)</f>
        <v>0</v>
      </c>
    </row>
    <row r="2025" customFormat="false" ht="15" hidden="false" customHeight="false" outlineLevel="0" collapsed="false">
      <c r="A2025" s="0" t="s">
        <v>453</v>
      </c>
      <c r="B2025" s="0" t="s">
        <v>54</v>
      </c>
      <c r="C2025" s="0" t="s">
        <v>55</v>
      </c>
      <c r="D2025" s="0" t="n">
        <v>2</v>
      </c>
      <c r="E2025" s="2" t="n">
        <v>40743.4680555556</v>
      </c>
      <c r="F2025" s="0" t="n">
        <v>0.99</v>
      </c>
      <c r="G2025" s="0" t="n">
        <v>16499</v>
      </c>
      <c r="H2025" s="3" t="s">
        <v>14</v>
      </c>
      <c r="I2025" s="4" t="n">
        <f aca="false">D2025*F2025</f>
        <v>1.98</v>
      </c>
      <c r="J2025" s="3" t="n">
        <f aca="false">IF(AND(LEFT(A2025,1)&lt;&gt;"C",D2025&gt;0,F2025&gt;0),1,0)</f>
        <v>1</v>
      </c>
      <c r="K2025" s="3" t="n">
        <f aca="false">IF(AND(H2025="United Kingdom",G2025&lt;&gt;"",COUNTIFS($G$2:G2025,G2025,$H$2:H2025,"United Kingdom")=1),1,0)</f>
        <v>0</v>
      </c>
    </row>
    <row r="2026" customFormat="false" ht="15" hidden="false" customHeight="false" outlineLevel="0" collapsed="false">
      <c r="A2026" s="0" t="s">
        <v>453</v>
      </c>
      <c r="B2026" s="0" t="s">
        <v>80</v>
      </c>
      <c r="C2026" s="0" t="s">
        <v>81</v>
      </c>
      <c r="D2026" s="0" t="n">
        <v>6</v>
      </c>
      <c r="E2026" s="2" t="n">
        <v>40743.4680555556</v>
      </c>
      <c r="F2026" s="0" t="n">
        <v>1.53</v>
      </c>
      <c r="G2026" s="0" t="n">
        <v>16499</v>
      </c>
      <c r="H2026" s="3" t="s">
        <v>14</v>
      </c>
      <c r="I2026" s="4" t="n">
        <f aca="false">D2026*F2026</f>
        <v>9.18</v>
      </c>
      <c r="J2026" s="3" t="n">
        <f aca="false">IF(AND(LEFT(A2026,1)&lt;&gt;"C",D2026&gt;0,F2026&gt;0),1,0)</f>
        <v>1</v>
      </c>
      <c r="K2026" s="3" t="n">
        <f aca="false">IF(AND(H2026="United Kingdom",G2026&lt;&gt;"",COUNTIFS($G$2:G2026,G2026,$H$2:H2026,"United Kingdom")=1),1,0)</f>
        <v>0</v>
      </c>
    </row>
    <row r="2027" customFormat="false" ht="15" hidden="false" customHeight="false" outlineLevel="0" collapsed="false">
      <c r="A2027" s="0" t="s">
        <v>453</v>
      </c>
      <c r="B2027" s="0" t="s">
        <v>27</v>
      </c>
      <c r="C2027" s="0" t="s">
        <v>28</v>
      </c>
      <c r="D2027" s="0" t="n">
        <v>12</v>
      </c>
      <c r="E2027" s="2" t="n">
        <v>40743.4680555556</v>
      </c>
      <c r="F2027" s="0" t="n">
        <v>4.55</v>
      </c>
      <c r="G2027" s="0" t="n">
        <v>16499</v>
      </c>
      <c r="H2027" s="3" t="s">
        <v>14</v>
      </c>
      <c r="I2027" s="4" t="n">
        <f aca="false">D2027*F2027</f>
        <v>54.6</v>
      </c>
      <c r="J2027" s="3" t="n">
        <f aca="false">IF(AND(LEFT(A2027,1)&lt;&gt;"C",D2027&gt;0,F2027&gt;0),1,0)</f>
        <v>1</v>
      </c>
      <c r="K2027" s="3" t="n">
        <f aca="false">IF(AND(H2027="United Kingdom",G2027&lt;&gt;"",COUNTIFS($G$2:G2027,G2027,$H$2:H2027,"United Kingdom")=1),1,0)</f>
        <v>0</v>
      </c>
    </row>
    <row r="2028" customFormat="false" ht="15" hidden="false" customHeight="false" outlineLevel="0" collapsed="false">
      <c r="A2028" s="0" t="s">
        <v>453</v>
      </c>
      <c r="B2028" s="0" t="s">
        <v>77</v>
      </c>
      <c r="C2028" s="0" t="s">
        <v>78</v>
      </c>
      <c r="D2028" s="0" t="n">
        <v>2</v>
      </c>
      <c r="E2028" s="2" t="n">
        <v>40743.4680555556</v>
      </c>
      <c r="F2028" s="0" t="n">
        <v>3.41</v>
      </c>
      <c r="G2028" s="0" t="n">
        <v>16499</v>
      </c>
      <c r="H2028" s="3" t="s">
        <v>14</v>
      </c>
      <c r="I2028" s="4" t="n">
        <f aca="false">D2028*F2028</f>
        <v>6.82</v>
      </c>
      <c r="J2028" s="3" t="n">
        <f aca="false">IF(AND(LEFT(A2028,1)&lt;&gt;"C",D2028&gt;0,F2028&gt;0),1,0)</f>
        <v>1</v>
      </c>
      <c r="K2028" s="3" t="n">
        <f aca="false">IF(AND(H2028="United Kingdom",G2028&lt;&gt;"",COUNTIFS($G$2:G2028,G2028,$H$2:H2028,"United Kingdom")=1),1,0)</f>
        <v>0</v>
      </c>
    </row>
    <row r="2029" customFormat="false" ht="15" hidden="false" customHeight="false" outlineLevel="0" collapsed="false">
      <c r="A2029" s="0" t="s">
        <v>453</v>
      </c>
      <c r="B2029" s="0" t="s">
        <v>17</v>
      </c>
      <c r="C2029" s="0" t="s">
        <v>18</v>
      </c>
      <c r="D2029" s="0" t="n">
        <v>2</v>
      </c>
      <c r="E2029" s="2" t="n">
        <v>40743.4680555556</v>
      </c>
      <c r="F2029" s="0" t="n">
        <v>1.92</v>
      </c>
      <c r="G2029" s="0" t="n">
        <v>16499</v>
      </c>
      <c r="H2029" s="3" t="s">
        <v>14</v>
      </c>
      <c r="I2029" s="4" t="n">
        <f aca="false">D2029*F2029</f>
        <v>3.84</v>
      </c>
      <c r="J2029" s="3" t="n">
        <f aca="false">IF(AND(LEFT(A2029,1)&lt;&gt;"C",D2029&gt;0,F2029&gt;0),1,0)</f>
        <v>1</v>
      </c>
      <c r="K2029" s="3" t="n">
        <f aca="false">IF(AND(H2029="United Kingdom",G2029&lt;&gt;"",COUNTIFS($G$2:G2029,G2029,$H$2:H2029,"United Kingdom")=1),1,0)</f>
        <v>0</v>
      </c>
    </row>
    <row r="2030" customFormat="false" ht="15" hidden="false" customHeight="false" outlineLevel="0" collapsed="false">
      <c r="A2030" s="0" t="s">
        <v>453</v>
      </c>
      <c r="B2030" s="0" t="s">
        <v>25</v>
      </c>
      <c r="C2030" s="0" t="s">
        <v>26</v>
      </c>
      <c r="D2030" s="0" t="n">
        <v>24</v>
      </c>
      <c r="E2030" s="2" t="n">
        <v>40743.4680555556</v>
      </c>
      <c r="F2030" s="0" t="n">
        <v>2.21</v>
      </c>
      <c r="G2030" s="0" t="n">
        <v>16499</v>
      </c>
      <c r="H2030" s="3" t="s">
        <v>14</v>
      </c>
      <c r="I2030" s="4" t="n">
        <f aca="false">D2030*F2030</f>
        <v>53.04</v>
      </c>
      <c r="J2030" s="3" t="n">
        <f aca="false">IF(AND(LEFT(A2030,1)&lt;&gt;"C",D2030&gt;0,F2030&gt;0),1,0)</f>
        <v>1</v>
      </c>
      <c r="K2030" s="3" t="n">
        <f aca="false">IF(AND(H2030="United Kingdom",G2030&lt;&gt;"",COUNTIFS($G$2:G2030,G2030,$H$2:H2030,"United Kingdom")=1),1,0)</f>
        <v>0</v>
      </c>
    </row>
    <row r="2031" customFormat="false" ht="15" hidden="false" customHeight="false" outlineLevel="0" collapsed="false">
      <c r="A2031" s="0" t="s">
        <v>454</v>
      </c>
      <c r="B2031" s="0" t="s">
        <v>63</v>
      </c>
      <c r="C2031" s="0" t="s">
        <v>64</v>
      </c>
      <c r="D2031" s="0" t="n">
        <v>42</v>
      </c>
      <c r="E2031" s="2" t="n">
        <v>40743.5708333333</v>
      </c>
      <c r="F2031" s="0" t="n">
        <v>2.43</v>
      </c>
      <c r="G2031" s="0" t="n">
        <v>12428</v>
      </c>
      <c r="H2031" s="3" t="s">
        <v>177</v>
      </c>
      <c r="I2031" s="4" t="n">
        <f aca="false">D2031*F2031</f>
        <v>102.06</v>
      </c>
      <c r="J2031" s="3" t="n">
        <f aca="false">IF(AND(LEFT(A2031,1)&lt;&gt;"C",D2031&gt;0,F2031&gt;0),1,0)</f>
        <v>1</v>
      </c>
      <c r="K2031" s="3" t="n">
        <f aca="false">IF(AND(H2031="United Kingdom",G2031&lt;&gt;"",COUNTIFS($G$2:G2031,G2031,$H$2:H2031,"United Kingdom")=1),1,0)</f>
        <v>0</v>
      </c>
    </row>
    <row r="2032" customFormat="false" ht="15" hidden="false" customHeight="false" outlineLevel="0" collapsed="false">
      <c r="A2032" s="0" t="s">
        <v>454</v>
      </c>
      <c r="B2032" s="0" t="s">
        <v>113</v>
      </c>
      <c r="C2032" s="0" t="s">
        <v>114</v>
      </c>
      <c r="D2032" s="0" t="n">
        <v>14</v>
      </c>
      <c r="E2032" s="2" t="n">
        <v>40743.5708333333</v>
      </c>
      <c r="F2032" s="0" t="n">
        <v>3.57</v>
      </c>
      <c r="G2032" s="0" t="n">
        <v>12428</v>
      </c>
      <c r="H2032" s="3" t="s">
        <v>177</v>
      </c>
      <c r="I2032" s="4" t="n">
        <f aca="false">D2032*F2032</f>
        <v>49.98</v>
      </c>
      <c r="J2032" s="3" t="n">
        <f aca="false">IF(AND(LEFT(A2032,1)&lt;&gt;"C",D2032&gt;0,F2032&gt;0),1,0)</f>
        <v>1</v>
      </c>
      <c r="K2032" s="3" t="n">
        <f aca="false">IF(AND(H2032="United Kingdom",G2032&lt;&gt;"",COUNTIFS($G$2:G2032,G2032,$H$2:H2032,"United Kingdom")=1),1,0)</f>
        <v>0</v>
      </c>
    </row>
    <row r="2033" customFormat="false" ht="15" hidden="false" customHeight="false" outlineLevel="0" collapsed="false">
      <c r="A2033" s="0" t="s">
        <v>454</v>
      </c>
      <c r="B2033" s="0" t="s">
        <v>34</v>
      </c>
      <c r="C2033" s="0" t="s">
        <v>35</v>
      </c>
      <c r="D2033" s="0" t="n">
        <v>21</v>
      </c>
      <c r="E2033" s="2" t="n">
        <v>40743.5708333333</v>
      </c>
      <c r="F2033" s="0" t="n">
        <v>2.38</v>
      </c>
      <c r="G2033" s="0" t="n">
        <v>12428</v>
      </c>
      <c r="H2033" s="3" t="s">
        <v>177</v>
      </c>
      <c r="I2033" s="4" t="n">
        <f aca="false">D2033*F2033</f>
        <v>49.98</v>
      </c>
      <c r="J2033" s="3" t="n">
        <f aca="false">IF(AND(LEFT(A2033,1)&lt;&gt;"C",D2033&gt;0,F2033&gt;0),1,0)</f>
        <v>1</v>
      </c>
      <c r="K2033" s="3" t="n">
        <f aca="false">IF(AND(H2033="United Kingdom",G2033&lt;&gt;"",COUNTIFS($G$2:G2033,G2033,$H$2:H2033,"United Kingdom")=1),1,0)</f>
        <v>0</v>
      </c>
    </row>
    <row r="2034" customFormat="false" ht="15" hidden="false" customHeight="false" outlineLevel="0" collapsed="false">
      <c r="A2034" s="0" t="s">
        <v>454</v>
      </c>
      <c r="B2034" s="0" t="s">
        <v>60</v>
      </c>
      <c r="C2034" s="0" t="s">
        <v>61</v>
      </c>
      <c r="D2034" s="0" t="n">
        <v>3</v>
      </c>
      <c r="E2034" s="2" t="n">
        <v>40743.5708333333</v>
      </c>
      <c r="F2034" s="0" t="n">
        <v>0.63</v>
      </c>
      <c r="G2034" s="0" t="n">
        <v>12428</v>
      </c>
      <c r="H2034" s="3" t="s">
        <v>177</v>
      </c>
      <c r="I2034" s="4" t="n">
        <f aca="false">D2034*F2034</f>
        <v>1.89</v>
      </c>
      <c r="J2034" s="3" t="n">
        <f aca="false">IF(AND(LEFT(A2034,1)&lt;&gt;"C",D2034&gt;0,F2034&gt;0),1,0)</f>
        <v>1</v>
      </c>
      <c r="K2034" s="3" t="n">
        <f aca="false">IF(AND(H2034="United Kingdom",G2034&lt;&gt;"",COUNTIFS($G$2:G2034,G2034,$H$2:H2034,"United Kingdom")=1),1,0)</f>
        <v>0</v>
      </c>
    </row>
    <row r="2035" customFormat="false" ht="15" hidden="false" customHeight="false" outlineLevel="0" collapsed="false">
      <c r="A2035" s="0" t="s">
        <v>454</v>
      </c>
      <c r="B2035" s="0" t="s">
        <v>54</v>
      </c>
      <c r="C2035" s="0" t="s">
        <v>55</v>
      </c>
      <c r="D2035" s="0" t="n">
        <v>10</v>
      </c>
      <c r="E2035" s="2" t="n">
        <v>40743.5708333333</v>
      </c>
      <c r="F2035" s="0" t="n">
        <v>0.99</v>
      </c>
      <c r="G2035" s="0" t="n">
        <v>12428</v>
      </c>
      <c r="H2035" s="3" t="s">
        <v>177</v>
      </c>
      <c r="I2035" s="4" t="n">
        <f aca="false">D2035*F2035</f>
        <v>9.9</v>
      </c>
      <c r="J2035" s="3" t="n">
        <f aca="false">IF(AND(LEFT(A2035,1)&lt;&gt;"C",D2035&gt;0,F2035&gt;0),1,0)</f>
        <v>1</v>
      </c>
      <c r="K2035" s="3" t="n">
        <f aca="false">IF(AND(H2035="United Kingdom",G2035&lt;&gt;"",COUNTIFS($G$2:G2035,G2035,$H$2:H2035,"United Kingdom")=1),1,0)</f>
        <v>0</v>
      </c>
    </row>
    <row r="2036" customFormat="false" ht="15" hidden="false" customHeight="false" outlineLevel="0" collapsed="false">
      <c r="A2036" s="0" t="s">
        <v>455</v>
      </c>
      <c r="B2036" s="0" t="s">
        <v>68</v>
      </c>
      <c r="C2036" s="0" t="s">
        <v>69</v>
      </c>
      <c r="D2036" s="0" t="n">
        <v>3</v>
      </c>
      <c r="E2036" s="2" t="n">
        <v>40744.4444444445</v>
      </c>
      <c r="F2036" s="0" t="n">
        <v>1.26</v>
      </c>
      <c r="G2036" s="0" t="n">
        <v>16261</v>
      </c>
      <c r="H2036" s="3" t="s">
        <v>14</v>
      </c>
      <c r="I2036" s="4" t="n">
        <f aca="false">D2036*F2036</f>
        <v>3.78</v>
      </c>
      <c r="J2036" s="3" t="n">
        <f aca="false">IF(AND(LEFT(A2036,1)&lt;&gt;"C",D2036&gt;0,F2036&gt;0),1,0)</f>
        <v>1</v>
      </c>
      <c r="K2036" s="3" t="n">
        <f aca="false">IF(AND(H2036="United Kingdom",G2036&lt;&gt;"",COUNTIFS($G$2:G2036,G2036,$H$2:H2036,"United Kingdom")=1),1,0)</f>
        <v>1</v>
      </c>
    </row>
    <row r="2037" customFormat="false" ht="15" hidden="false" customHeight="false" outlineLevel="0" collapsed="false">
      <c r="A2037" s="0" t="s">
        <v>455</v>
      </c>
      <c r="B2037" s="0" t="s">
        <v>27</v>
      </c>
      <c r="C2037" s="0" t="s">
        <v>28</v>
      </c>
      <c r="D2037" s="0" t="n">
        <v>8</v>
      </c>
      <c r="E2037" s="2" t="n">
        <v>40744.4444444445</v>
      </c>
      <c r="F2037" s="0" t="n">
        <v>4.55</v>
      </c>
      <c r="G2037" s="0" t="n">
        <v>16261</v>
      </c>
      <c r="H2037" s="3" t="s">
        <v>14</v>
      </c>
      <c r="I2037" s="4" t="n">
        <f aca="false">D2037*F2037</f>
        <v>36.4</v>
      </c>
      <c r="J2037" s="3" t="n">
        <f aca="false">IF(AND(LEFT(A2037,1)&lt;&gt;"C",D2037&gt;0,F2037&gt;0),1,0)</f>
        <v>1</v>
      </c>
      <c r="K2037" s="3" t="n">
        <f aca="false">IF(AND(H2037="United Kingdom",G2037&lt;&gt;"",COUNTIFS($G$2:G2037,G2037,$H$2:H2037,"United Kingdom")=1),1,0)</f>
        <v>0</v>
      </c>
    </row>
    <row r="2038" customFormat="false" ht="15" hidden="false" customHeight="false" outlineLevel="0" collapsed="false">
      <c r="A2038" s="0" t="s">
        <v>455</v>
      </c>
      <c r="B2038" s="0" t="s">
        <v>63</v>
      </c>
      <c r="C2038" s="0" t="s">
        <v>64</v>
      </c>
      <c r="D2038" s="0" t="n">
        <v>8</v>
      </c>
      <c r="E2038" s="2" t="n">
        <v>40744.4444444445</v>
      </c>
      <c r="F2038" s="0" t="n">
        <v>2.43</v>
      </c>
      <c r="G2038" s="0" t="n">
        <v>16261</v>
      </c>
      <c r="H2038" s="3" t="s">
        <v>14</v>
      </c>
      <c r="I2038" s="4" t="n">
        <f aca="false">D2038*F2038</f>
        <v>19.44</v>
      </c>
      <c r="J2038" s="3" t="n">
        <f aca="false">IF(AND(LEFT(A2038,1)&lt;&gt;"C",D2038&gt;0,F2038&gt;0),1,0)</f>
        <v>1</v>
      </c>
      <c r="K2038" s="3" t="n">
        <f aca="false">IF(AND(H2038="United Kingdom",G2038&lt;&gt;"",COUNTIFS($G$2:G2038,G2038,$H$2:H2038,"United Kingdom")=1),1,0)</f>
        <v>0</v>
      </c>
    </row>
    <row r="2039" customFormat="false" ht="15" hidden="false" customHeight="false" outlineLevel="0" collapsed="false">
      <c r="A2039" s="0" t="s">
        <v>455</v>
      </c>
      <c r="B2039" s="0" t="s">
        <v>54</v>
      </c>
      <c r="C2039" s="0" t="s">
        <v>55</v>
      </c>
      <c r="D2039" s="0" t="n">
        <v>4</v>
      </c>
      <c r="E2039" s="2" t="n">
        <v>40744.4444444445</v>
      </c>
      <c r="F2039" s="0" t="n">
        <v>0.99</v>
      </c>
      <c r="G2039" s="0" t="n">
        <v>16261</v>
      </c>
      <c r="H2039" s="3" t="s">
        <v>14</v>
      </c>
      <c r="I2039" s="4" t="n">
        <f aca="false">D2039*F2039</f>
        <v>3.96</v>
      </c>
      <c r="J2039" s="3" t="n">
        <f aca="false">IF(AND(LEFT(A2039,1)&lt;&gt;"C",D2039&gt;0,F2039&gt;0),1,0)</f>
        <v>1</v>
      </c>
      <c r="K2039" s="3" t="n">
        <f aca="false">IF(AND(H2039="United Kingdom",G2039&lt;&gt;"",COUNTIFS($G$2:G2039,G2039,$H$2:H2039,"United Kingdom")=1),1,0)</f>
        <v>0</v>
      </c>
    </row>
    <row r="2040" customFormat="false" ht="15" hidden="false" customHeight="false" outlineLevel="0" collapsed="false">
      <c r="A2040" s="0" t="s">
        <v>455</v>
      </c>
      <c r="B2040" s="0" t="s">
        <v>34</v>
      </c>
      <c r="C2040" s="0" t="s">
        <v>35</v>
      </c>
      <c r="D2040" s="0" t="n">
        <v>1</v>
      </c>
      <c r="E2040" s="2" t="n">
        <v>40744.4444444445</v>
      </c>
      <c r="F2040" s="0" t="n">
        <v>2.38</v>
      </c>
      <c r="G2040" s="0" t="n">
        <v>16261</v>
      </c>
      <c r="H2040" s="3" t="s">
        <v>14</v>
      </c>
      <c r="I2040" s="4" t="n">
        <f aca="false">D2040*F2040</f>
        <v>2.38</v>
      </c>
      <c r="J2040" s="3" t="n">
        <f aca="false">IF(AND(LEFT(A2040,1)&lt;&gt;"C",D2040&gt;0,F2040&gt;0),1,0)</f>
        <v>1</v>
      </c>
      <c r="K2040" s="3" t="n">
        <f aca="false">IF(AND(H2040="United Kingdom",G2040&lt;&gt;"",COUNTIFS($G$2:G2040,G2040,$H$2:H2040,"United Kingdom")=1),1,0)</f>
        <v>0</v>
      </c>
    </row>
    <row r="2041" customFormat="false" ht="15" hidden="false" customHeight="false" outlineLevel="0" collapsed="false">
      <c r="A2041" s="0" t="s">
        <v>455</v>
      </c>
      <c r="B2041" s="0" t="s">
        <v>45</v>
      </c>
      <c r="C2041" s="0" t="s">
        <v>46</v>
      </c>
      <c r="D2041" s="0" t="n">
        <v>8</v>
      </c>
      <c r="E2041" s="2" t="n">
        <v>40744.4444444445</v>
      </c>
      <c r="F2041" s="0" t="n">
        <v>4.55</v>
      </c>
      <c r="G2041" s="0" t="n">
        <v>16261</v>
      </c>
      <c r="H2041" s="3" t="s">
        <v>14</v>
      </c>
      <c r="I2041" s="4" t="n">
        <f aca="false">D2041*F2041</f>
        <v>36.4</v>
      </c>
      <c r="J2041" s="3" t="n">
        <f aca="false">IF(AND(LEFT(A2041,1)&lt;&gt;"C",D2041&gt;0,F2041&gt;0),1,0)</f>
        <v>1</v>
      </c>
      <c r="K2041" s="3" t="n">
        <f aca="false">IF(AND(H2041="United Kingdom",G2041&lt;&gt;"",COUNTIFS($G$2:G2041,G2041,$H$2:H2041,"United Kingdom")=1),1,0)</f>
        <v>0</v>
      </c>
    </row>
    <row r="2042" customFormat="false" ht="15" hidden="false" customHeight="false" outlineLevel="0" collapsed="false">
      <c r="A2042" s="0" t="s">
        <v>455</v>
      </c>
      <c r="B2042" s="0" t="s">
        <v>37</v>
      </c>
      <c r="C2042" s="0" t="s">
        <v>38</v>
      </c>
      <c r="D2042" s="0" t="n">
        <v>1</v>
      </c>
      <c r="E2042" s="2" t="n">
        <v>40744.4444444445</v>
      </c>
      <c r="F2042" s="0" t="n">
        <v>1.82</v>
      </c>
      <c r="G2042" s="0" t="n">
        <v>16261</v>
      </c>
      <c r="H2042" s="3" t="s">
        <v>14</v>
      </c>
      <c r="I2042" s="4" t="n">
        <f aca="false">D2042*F2042</f>
        <v>1.82</v>
      </c>
      <c r="J2042" s="3" t="n">
        <f aca="false">IF(AND(LEFT(A2042,1)&lt;&gt;"C",D2042&gt;0,F2042&gt;0),1,0)</f>
        <v>1</v>
      </c>
      <c r="K2042" s="3" t="n">
        <f aca="false">IF(AND(H2042="United Kingdom",G2042&lt;&gt;"",COUNTIFS($G$2:G2042,G2042,$H$2:H2042,"United Kingdom")=1),1,0)</f>
        <v>0</v>
      </c>
    </row>
    <row r="2043" customFormat="false" ht="15" hidden="false" customHeight="false" outlineLevel="0" collapsed="false">
      <c r="A2043" s="0" t="s">
        <v>455</v>
      </c>
      <c r="B2043" s="0" t="s">
        <v>80</v>
      </c>
      <c r="C2043" s="0" t="s">
        <v>81</v>
      </c>
      <c r="D2043" s="0" t="n">
        <v>6</v>
      </c>
      <c r="E2043" s="2" t="n">
        <v>40744.4444444445</v>
      </c>
      <c r="F2043" s="0" t="n">
        <v>1.53</v>
      </c>
      <c r="G2043" s="0" t="n">
        <v>16261</v>
      </c>
      <c r="H2043" s="3" t="s">
        <v>14</v>
      </c>
      <c r="I2043" s="4" t="n">
        <f aca="false">D2043*F2043</f>
        <v>9.18</v>
      </c>
      <c r="J2043" s="3" t="n">
        <f aca="false">IF(AND(LEFT(A2043,1)&lt;&gt;"C",D2043&gt;0,F2043&gt;0),1,0)</f>
        <v>1</v>
      </c>
      <c r="K2043" s="3" t="n">
        <f aca="false">IF(AND(H2043="United Kingdom",G2043&lt;&gt;"",COUNTIFS($G$2:G2043,G2043,$H$2:H2043,"United Kingdom")=1),1,0)</f>
        <v>0</v>
      </c>
    </row>
    <row r="2044" customFormat="false" ht="15" hidden="false" customHeight="false" outlineLevel="0" collapsed="false">
      <c r="A2044" s="0" t="s">
        <v>455</v>
      </c>
      <c r="B2044" s="0" t="s">
        <v>15</v>
      </c>
      <c r="C2044" s="0" t="s">
        <v>16</v>
      </c>
      <c r="D2044" s="0" t="n">
        <v>8</v>
      </c>
      <c r="E2044" s="2" t="n">
        <v>40744.4444444445</v>
      </c>
      <c r="F2044" s="0" t="n">
        <v>3.18</v>
      </c>
      <c r="G2044" s="0" t="n">
        <v>16261</v>
      </c>
      <c r="H2044" s="3" t="s">
        <v>14</v>
      </c>
      <c r="I2044" s="4" t="n">
        <f aca="false">D2044*F2044</f>
        <v>25.44</v>
      </c>
      <c r="J2044" s="3" t="n">
        <f aca="false">IF(AND(LEFT(A2044,1)&lt;&gt;"C",D2044&gt;0,F2044&gt;0),1,0)</f>
        <v>1</v>
      </c>
      <c r="K2044" s="3" t="n">
        <f aca="false">IF(AND(H2044="United Kingdom",G2044&lt;&gt;"",COUNTIFS($G$2:G2044,G2044,$H$2:H2044,"United Kingdom")=1),1,0)</f>
        <v>0</v>
      </c>
    </row>
    <row r="2045" customFormat="false" ht="15" hidden="false" customHeight="false" outlineLevel="0" collapsed="false">
      <c r="A2045" s="0" t="s">
        <v>455</v>
      </c>
      <c r="B2045" s="0" t="s">
        <v>41</v>
      </c>
      <c r="C2045" s="0" t="s">
        <v>42</v>
      </c>
      <c r="D2045" s="0" t="n">
        <v>12</v>
      </c>
      <c r="E2045" s="2" t="n">
        <v>40744.4444444445</v>
      </c>
      <c r="F2045" s="0" t="n">
        <v>3.28</v>
      </c>
      <c r="G2045" s="0" t="n">
        <v>16261</v>
      </c>
      <c r="H2045" s="3" t="s">
        <v>14</v>
      </c>
      <c r="I2045" s="4" t="n">
        <f aca="false">D2045*F2045</f>
        <v>39.36</v>
      </c>
      <c r="J2045" s="3" t="n">
        <f aca="false">IF(AND(LEFT(A2045,1)&lt;&gt;"C",D2045&gt;0,F2045&gt;0),1,0)</f>
        <v>1</v>
      </c>
      <c r="K2045" s="3" t="n">
        <f aca="false">IF(AND(H2045="United Kingdom",G2045&lt;&gt;"",COUNTIFS($G$2:G2045,G2045,$H$2:H2045,"United Kingdom")=1),1,0)</f>
        <v>0</v>
      </c>
    </row>
    <row r="2046" customFormat="false" ht="15" hidden="false" customHeight="false" outlineLevel="0" collapsed="false">
      <c r="A2046" s="0" t="s">
        <v>455</v>
      </c>
      <c r="B2046" s="0" t="s">
        <v>75</v>
      </c>
      <c r="C2046" s="0" t="s">
        <v>76</v>
      </c>
      <c r="D2046" s="0" t="n">
        <v>8</v>
      </c>
      <c r="E2046" s="2" t="n">
        <v>40744.4444444445</v>
      </c>
      <c r="F2046" s="0" t="n">
        <v>1.97</v>
      </c>
      <c r="G2046" s="0" t="n">
        <v>16261</v>
      </c>
      <c r="H2046" s="3" t="s">
        <v>14</v>
      </c>
      <c r="I2046" s="4" t="n">
        <f aca="false">D2046*F2046</f>
        <v>15.76</v>
      </c>
      <c r="J2046" s="3" t="n">
        <f aca="false">IF(AND(LEFT(A2046,1)&lt;&gt;"C",D2046&gt;0,F2046&gt;0),1,0)</f>
        <v>1</v>
      </c>
      <c r="K2046" s="3" t="n">
        <f aca="false">IF(AND(H2046="United Kingdom",G2046&lt;&gt;"",COUNTIFS($G$2:G2046,G2046,$H$2:H2046,"United Kingdom")=1),1,0)</f>
        <v>0</v>
      </c>
    </row>
    <row r="2047" customFormat="false" ht="15" hidden="false" customHeight="false" outlineLevel="0" collapsed="false">
      <c r="A2047" s="0" t="s">
        <v>455</v>
      </c>
      <c r="B2047" s="0" t="s">
        <v>52</v>
      </c>
      <c r="C2047" s="0" t="s">
        <v>53</v>
      </c>
      <c r="D2047" s="0" t="n">
        <v>3</v>
      </c>
      <c r="E2047" s="2" t="n">
        <v>40744.4444444445</v>
      </c>
      <c r="F2047" s="0" t="n">
        <v>4.16</v>
      </c>
      <c r="G2047" s="0" t="n">
        <v>16261</v>
      </c>
      <c r="H2047" s="3" t="s">
        <v>14</v>
      </c>
      <c r="I2047" s="4" t="n">
        <f aca="false">D2047*F2047</f>
        <v>12.48</v>
      </c>
      <c r="J2047" s="3" t="n">
        <f aca="false">IF(AND(LEFT(A2047,1)&lt;&gt;"C",D2047&gt;0,F2047&gt;0),1,0)</f>
        <v>1</v>
      </c>
      <c r="K2047" s="3" t="n">
        <f aca="false">IF(AND(H2047="United Kingdom",G2047&lt;&gt;"",COUNTIFS($G$2:G2047,G2047,$H$2:H2047,"United Kingdom")=1),1,0)</f>
        <v>0</v>
      </c>
    </row>
    <row r="2048" customFormat="false" ht="15" hidden="false" customHeight="false" outlineLevel="0" collapsed="false">
      <c r="A2048" s="0" t="s">
        <v>455</v>
      </c>
      <c r="B2048" s="0" t="s">
        <v>48</v>
      </c>
      <c r="C2048" s="0" t="s">
        <v>49</v>
      </c>
      <c r="D2048" s="0" t="n">
        <v>2</v>
      </c>
      <c r="E2048" s="2" t="n">
        <v>40744.4444444445</v>
      </c>
      <c r="F2048" s="0" t="n">
        <v>1.35</v>
      </c>
      <c r="G2048" s="0" t="n">
        <v>16261</v>
      </c>
      <c r="H2048" s="3" t="s">
        <v>14</v>
      </c>
      <c r="I2048" s="4" t="n">
        <f aca="false">D2048*F2048</f>
        <v>2.7</v>
      </c>
      <c r="J2048" s="3" t="n">
        <f aca="false">IF(AND(LEFT(A2048,1)&lt;&gt;"C",D2048&gt;0,F2048&gt;0),1,0)</f>
        <v>1</v>
      </c>
      <c r="K2048" s="3" t="n">
        <f aca="false">IF(AND(H2048="United Kingdom",G2048&lt;&gt;"",COUNTIFS($G$2:G2048,G2048,$H$2:H2048,"United Kingdom")=1),1,0)</f>
        <v>0</v>
      </c>
    </row>
    <row r="2049" customFormat="false" ht="15" hidden="false" customHeight="false" outlineLevel="0" collapsed="false">
      <c r="A2049" s="0" t="s">
        <v>455</v>
      </c>
      <c r="B2049" s="0" t="s">
        <v>65</v>
      </c>
      <c r="C2049" s="0" t="s">
        <v>66</v>
      </c>
      <c r="D2049" s="0" t="n">
        <v>1</v>
      </c>
      <c r="E2049" s="2" t="n">
        <v>40744.4444444445</v>
      </c>
      <c r="F2049" s="0" t="n">
        <v>4.75</v>
      </c>
      <c r="G2049" s="0" t="n">
        <v>16261</v>
      </c>
      <c r="H2049" s="3" t="s">
        <v>14</v>
      </c>
      <c r="I2049" s="4" t="n">
        <f aca="false">D2049*F2049</f>
        <v>4.75</v>
      </c>
      <c r="J2049" s="3" t="n">
        <f aca="false">IF(AND(LEFT(A2049,1)&lt;&gt;"C",D2049&gt;0,F2049&gt;0),1,0)</f>
        <v>1</v>
      </c>
      <c r="K2049" s="3" t="n">
        <f aca="false">IF(AND(H2049="United Kingdom",G2049&lt;&gt;"",COUNTIFS($G$2:G2049,G2049,$H$2:H2049,"United Kingdom")=1),1,0)</f>
        <v>0</v>
      </c>
    </row>
    <row r="2050" customFormat="false" ht="15" hidden="false" customHeight="false" outlineLevel="0" collapsed="false">
      <c r="A2050" s="0" t="s">
        <v>455</v>
      </c>
      <c r="B2050" s="0" t="s">
        <v>50</v>
      </c>
      <c r="C2050" s="0" t="s">
        <v>51</v>
      </c>
      <c r="D2050" s="0" t="n">
        <v>4</v>
      </c>
      <c r="E2050" s="2" t="n">
        <v>40744.4444444445</v>
      </c>
      <c r="F2050" s="0" t="n">
        <v>5.41</v>
      </c>
      <c r="G2050" s="0" t="n">
        <v>16261</v>
      </c>
      <c r="H2050" s="3" t="s">
        <v>14</v>
      </c>
      <c r="I2050" s="4" t="n">
        <f aca="false">D2050*F2050</f>
        <v>21.64</v>
      </c>
      <c r="J2050" s="3" t="n">
        <f aca="false">IF(AND(LEFT(A2050,1)&lt;&gt;"C",D2050&gt;0,F2050&gt;0),1,0)</f>
        <v>1</v>
      </c>
      <c r="K2050" s="3" t="n">
        <f aca="false">IF(AND(H2050="United Kingdom",G2050&lt;&gt;"",COUNTIFS($G$2:G2050,G2050,$H$2:H2050,"United Kingdom")=1),1,0)</f>
        <v>0</v>
      </c>
    </row>
    <row r="2051" customFormat="false" ht="15" hidden="false" customHeight="false" outlineLevel="0" collapsed="false">
      <c r="A2051" s="0" t="s">
        <v>455</v>
      </c>
      <c r="B2051" s="0" t="s">
        <v>39</v>
      </c>
      <c r="C2051" s="0" t="s">
        <v>40</v>
      </c>
      <c r="D2051" s="0" t="n">
        <v>3</v>
      </c>
      <c r="E2051" s="2" t="n">
        <v>40744.4444444445</v>
      </c>
      <c r="F2051" s="0" t="n">
        <v>2.58</v>
      </c>
      <c r="G2051" s="0" t="n">
        <v>16261</v>
      </c>
      <c r="H2051" s="3" t="s">
        <v>14</v>
      </c>
      <c r="I2051" s="4" t="n">
        <f aca="false">D2051*F2051</f>
        <v>7.74</v>
      </c>
      <c r="J2051" s="3" t="n">
        <f aca="false">IF(AND(LEFT(A2051,1)&lt;&gt;"C",D2051&gt;0,F2051&gt;0),1,0)</f>
        <v>1</v>
      </c>
      <c r="K2051" s="3" t="n">
        <f aca="false">IF(AND(H2051="United Kingdom",G2051&lt;&gt;"",COUNTIFS($G$2:G2051,G2051,$H$2:H2051,"United Kingdom")=1),1,0)</f>
        <v>0</v>
      </c>
    </row>
    <row r="2052" customFormat="false" ht="15" hidden="false" customHeight="false" outlineLevel="0" collapsed="false">
      <c r="A2052" s="0" t="s">
        <v>455</v>
      </c>
      <c r="B2052" s="0" t="s">
        <v>20</v>
      </c>
      <c r="C2052" s="0" t="s">
        <v>21</v>
      </c>
      <c r="D2052" s="0" t="n">
        <v>8</v>
      </c>
      <c r="E2052" s="2" t="n">
        <v>40744.4444444445</v>
      </c>
      <c r="F2052" s="0" t="n">
        <v>4.24</v>
      </c>
      <c r="G2052" s="0" t="n">
        <v>16261</v>
      </c>
      <c r="H2052" s="3" t="s">
        <v>14</v>
      </c>
      <c r="I2052" s="4" t="n">
        <f aca="false">D2052*F2052</f>
        <v>33.92</v>
      </c>
      <c r="J2052" s="3" t="n">
        <f aca="false">IF(AND(LEFT(A2052,1)&lt;&gt;"C",D2052&gt;0,F2052&gt;0),1,0)</f>
        <v>1</v>
      </c>
      <c r="K2052" s="3" t="n">
        <f aca="false">IF(AND(H2052="United Kingdom",G2052&lt;&gt;"",COUNTIFS($G$2:G2052,G2052,$H$2:H2052,"United Kingdom")=1),1,0)</f>
        <v>0</v>
      </c>
    </row>
    <row r="2053" customFormat="false" ht="15" hidden="false" customHeight="false" outlineLevel="0" collapsed="false">
      <c r="A2053" s="0" t="s">
        <v>456</v>
      </c>
      <c r="B2053" s="0" t="s">
        <v>77</v>
      </c>
      <c r="C2053" s="0" t="s">
        <v>78</v>
      </c>
      <c r="D2053" s="0" t="n">
        <v>14</v>
      </c>
      <c r="E2053" s="2" t="n">
        <v>40744.7756944444</v>
      </c>
      <c r="F2053" s="0" t="n">
        <v>3.41</v>
      </c>
      <c r="G2053" s="0" t="n">
        <v>12428</v>
      </c>
      <c r="H2053" s="3" t="s">
        <v>177</v>
      </c>
      <c r="I2053" s="4" t="n">
        <f aca="false">D2053*F2053</f>
        <v>47.74</v>
      </c>
      <c r="J2053" s="3" t="n">
        <f aca="false">IF(AND(LEFT(A2053,1)&lt;&gt;"C",D2053&gt;0,F2053&gt;0),1,0)</f>
        <v>1</v>
      </c>
      <c r="K2053" s="3" t="n">
        <f aca="false">IF(AND(H2053="United Kingdom",G2053&lt;&gt;"",COUNTIFS($G$2:G2053,G2053,$H$2:H2053,"United Kingdom")=1),1,0)</f>
        <v>0</v>
      </c>
    </row>
    <row r="2054" customFormat="false" ht="15" hidden="false" customHeight="false" outlineLevel="0" collapsed="false">
      <c r="A2054" s="0" t="s">
        <v>457</v>
      </c>
      <c r="B2054" s="0" t="s">
        <v>90</v>
      </c>
      <c r="C2054" s="0" t="s">
        <v>91</v>
      </c>
      <c r="D2054" s="0" t="n">
        <v>12</v>
      </c>
      <c r="E2054" s="2" t="n">
        <v>40745.5590277778</v>
      </c>
      <c r="F2054" s="0" t="n">
        <v>3.04</v>
      </c>
      <c r="G2054" s="0" t="n">
        <v>13970</v>
      </c>
      <c r="H2054" s="3" t="s">
        <v>14</v>
      </c>
      <c r="I2054" s="4" t="n">
        <f aca="false">D2054*F2054</f>
        <v>36.48</v>
      </c>
      <c r="J2054" s="3" t="n">
        <f aca="false">IF(AND(LEFT(A2054,1)&lt;&gt;"C",D2054&gt;0,F2054&gt;0),1,0)</f>
        <v>1</v>
      </c>
      <c r="K2054" s="3" t="n">
        <f aca="false">IF(AND(H2054="United Kingdom",G2054&lt;&gt;"",COUNTIFS($G$2:G2054,G2054,$H$2:H2054,"United Kingdom")=1),1,0)</f>
        <v>1</v>
      </c>
    </row>
    <row r="2055" customFormat="false" ht="15" hidden="false" customHeight="false" outlineLevel="0" collapsed="false">
      <c r="A2055" s="0" t="s">
        <v>457</v>
      </c>
      <c r="B2055" s="0" t="s">
        <v>45</v>
      </c>
      <c r="C2055" s="0" t="s">
        <v>46</v>
      </c>
      <c r="D2055" s="0" t="n">
        <v>8</v>
      </c>
      <c r="E2055" s="2" t="n">
        <v>40745.5590277778</v>
      </c>
      <c r="F2055" s="0" t="n">
        <v>4.55</v>
      </c>
      <c r="G2055" s="0" t="n">
        <v>13970</v>
      </c>
      <c r="H2055" s="3" t="s">
        <v>14</v>
      </c>
      <c r="I2055" s="4" t="n">
        <f aca="false">D2055*F2055</f>
        <v>36.4</v>
      </c>
      <c r="J2055" s="3" t="n">
        <f aca="false">IF(AND(LEFT(A2055,1)&lt;&gt;"C",D2055&gt;0,F2055&gt;0),1,0)</f>
        <v>1</v>
      </c>
      <c r="K2055" s="3" t="n">
        <f aca="false">IF(AND(H2055="United Kingdom",G2055&lt;&gt;"",COUNTIFS($G$2:G2055,G2055,$H$2:H2055,"United Kingdom")=1),1,0)</f>
        <v>0</v>
      </c>
    </row>
    <row r="2056" customFormat="false" ht="15" hidden="false" customHeight="false" outlineLevel="0" collapsed="false">
      <c r="A2056" s="0" t="s">
        <v>457</v>
      </c>
      <c r="B2056" s="0" t="s">
        <v>113</v>
      </c>
      <c r="C2056" s="0" t="s">
        <v>114</v>
      </c>
      <c r="D2056" s="0" t="n">
        <v>4</v>
      </c>
      <c r="E2056" s="2" t="n">
        <v>40745.5590277778</v>
      </c>
      <c r="F2056" s="0" t="n">
        <v>3.57</v>
      </c>
      <c r="G2056" s="0" t="n">
        <v>13970</v>
      </c>
      <c r="H2056" s="3" t="s">
        <v>14</v>
      </c>
      <c r="I2056" s="4" t="n">
        <f aca="false">D2056*F2056</f>
        <v>14.28</v>
      </c>
      <c r="J2056" s="3" t="n">
        <f aca="false">IF(AND(LEFT(A2056,1)&lt;&gt;"C",D2056&gt;0,F2056&gt;0),1,0)</f>
        <v>1</v>
      </c>
      <c r="K2056" s="3" t="n">
        <f aca="false">IF(AND(H2056="United Kingdom",G2056&lt;&gt;"",COUNTIFS($G$2:G2056,G2056,$H$2:H2056,"United Kingdom")=1),1,0)</f>
        <v>0</v>
      </c>
    </row>
    <row r="2057" customFormat="false" ht="15" hidden="false" customHeight="false" outlineLevel="0" collapsed="false">
      <c r="A2057" s="0" t="s">
        <v>457</v>
      </c>
      <c r="B2057" s="0" t="s">
        <v>34</v>
      </c>
      <c r="C2057" s="0" t="s">
        <v>35</v>
      </c>
      <c r="D2057" s="0" t="n">
        <v>4</v>
      </c>
      <c r="E2057" s="2" t="n">
        <v>40745.5590277778</v>
      </c>
      <c r="F2057" s="0" t="n">
        <v>2.38</v>
      </c>
      <c r="G2057" s="0" t="n">
        <v>13970</v>
      </c>
      <c r="H2057" s="3" t="s">
        <v>14</v>
      </c>
      <c r="I2057" s="4" t="n">
        <f aca="false">D2057*F2057</f>
        <v>9.52</v>
      </c>
      <c r="J2057" s="3" t="n">
        <f aca="false">IF(AND(LEFT(A2057,1)&lt;&gt;"C",D2057&gt;0,F2057&gt;0),1,0)</f>
        <v>1</v>
      </c>
      <c r="K2057" s="3" t="n">
        <f aca="false">IF(AND(H2057="United Kingdom",G2057&lt;&gt;"",COUNTIFS($G$2:G2057,G2057,$H$2:H2057,"United Kingdom")=1),1,0)</f>
        <v>0</v>
      </c>
    </row>
    <row r="2058" customFormat="false" ht="15" hidden="false" customHeight="false" outlineLevel="0" collapsed="false">
      <c r="A2058" s="0" t="s">
        <v>458</v>
      </c>
      <c r="B2058" s="0" t="s">
        <v>37</v>
      </c>
      <c r="C2058" s="0" t="s">
        <v>38</v>
      </c>
      <c r="D2058" s="0" t="n">
        <v>8</v>
      </c>
      <c r="E2058" s="2" t="n">
        <v>40745.6645833333</v>
      </c>
      <c r="F2058" s="0" t="n">
        <v>1.82</v>
      </c>
      <c r="G2058" s="0" t="n">
        <v>16371</v>
      </c>
      <c r="H2058" s="3" t="s">
        <v>459</v>
      </c>
      <c r="I2058" s="4" t="n">
        <f aca="false">D2058*F2058</f>
        <v>14.56</v>
      </c>
      <c r="J2058" s="3" t="n">
        <f aca="false">IF(AND(LEFT(A2058,1)&lt;&gt;"C",D2058&gt;0,F2058&gt;0),1,0)</f>
        <v>1</v>
      </c>
      <c r="K2058" s="3" t="n">
        <f aca="false">IF(AND(H2058="United Kingdom",G2058&lt;&gt;"",COUNTIFS($G$2:G2058,G2058,$H$2:H2058,"United Kingdom")=1),1,0)</f>
        <v>0</v>
      </c>
    </row>
    <row r="2059" customFormat="false" ht="15" hidden="false" customHeight="false" outlineLevel="0" collapsed="false">
      <c r="A2059" s="0" t="s">
        <v>458</v>
      </c>
      <c r="B2059" s="0" t="s">
        <v>45</v>
      </c>
      <c r="C2059" s="0" t="s">
        <v>46</v>
      </c>
      <c r="D2059" s="0" t="n">
        <v>24</v>
      </c>
      <c r="E2059" s="2" t="n">
        <v>40745.6645833333</v>
      </c>
      <c r="F2059" s="0" t="n">
        <v>4.55</v>
      </c>
      <c r="G2059" s="0" t="n">
        <v>16371</v>
      </c>
      <c r="H2059" s="3" t="s">
        <v>459</v>
      </c>
      <c r="I2059" s="4" t="n">
        <f aca="false">D2059*F2059</f>
        <v>109.2</v>
      </c>
      <c r="J2059" s="3" t="n">
        <f aca="false">IF(AND(LEFT(A2059,1)&lt;&gt;"C",D2059&gt;0,F2059&gt;0),1,0)</f>
        <v>1</v>
      </c>
      <c r="K2059" s="3" t="n">
        <f aca="false">IF(AND(H2059="United Kingdom",G2059&lt;&gt;"",COUNTIFS($G$2:G2059,G2059,$H$2:H2059,"United Kingdom")=1),1,0)</f>
        <v>0</v>
      </c>
    </row>
    <row r="2060" customFormat="false" ht="15" hidden="false" customHeight="false" outlineLevel="0" collapsed="false">
      <c r="A2060" s="0" t="s">
        <v>460</v>
      </c>
      <c r="B2060" s="0" t="s">
        <v>65</v>
      </c>
      <c r="C2060" s="0" t="s">
        <v>66</v>
      </c>
      <c r="D2060" s="0" t="n">
        <v>2</v>
      </c>
      <c r="E2060" s="2" t="n">
        <v>40746.3888888889</v>
      </c>
      <c r="F2060" s="0" t="n">
        <v>4.75</v>
      </c>
      <c r="G2060" s="0" t="n">
        <v>14163</v>
      </c>
      <c r="H2060" s="3" t="s">
        <v>14</v>
      </c>
      <c r="I2060" s="4" t="n">
        <f aca="false">D2060*F2060</f>
        <v>9.5</v>
      </c>
      <c r="J2060" s="3" t="n">
        <f aca="false">IF(AND(LEFT(A2060,1)&lt;&gt;"C",D2060&gt;0,F2060&gt;0),1,0)</f>
        <v>1</v>
      </c>
      <c r="K2060" s="3" t="n">
        <f aca="false">IF(AND(H2060="United Kingdom",G2060&lt;&gt;"",COUNTIFS($G$2:G2060,G2060,$H$2:H2060,"United Kingdom")=1),1,0)</f>
        <v>0</v>
      </c>
    </row>
    <row r="2061" customFormat="false" ht="15" hidden="false" customHeight="false" outlineLevel="0" collapsed="false">
      <c r="A2061" s="0" t="s">
        <v>461</v>
      </c>
      <c r="B2061" s="0" t="s">
        <v>27</v>
      </c>
      <c r="C2061" s="0" t="s">
        <v>28</v>
      </c>
      <c r="D2061" s="0" t="n">
        <v>24</v>
      </c>
      <c r="E2061" s="2" t="n">
        <v>40746.6881944445</v>
      </c>
      <c r="F2061" s="0" t="n">
        <v>4.55</v>
      </c>
      <c r="G2061" s="0" t="n">
        <v>18250</v>
      </c>
      <c r="H2061" s="3" t="s">
        <v>14</v>
      </c>
      <c r="I2061" s="4" t="n">
        <f aca="false">D2061*F2061</f>
        <v>109.2</v>
      </c>
      <c r="J2061" s="3" t="n">
        <f aca="false">IF(AND(LEFT(A2061,1)&lt;&gt;"C",D2061&gt;0,F2061&gt;0),1,0)</f>
        <v>1</v>
      </c>
      <c r="K2061" s="3" t="n">
        <f aca="false">IF(AND(H2061="United Kingdom",G2061&lt;&gt;"",COUNTIFS($G$2:G2061,G2061,$H$2:H2061,"United Kingdom")=1),1,0)</f>
        <v>0</v>
      </c>
    </row>
    <row r="2062" customFormat="false" ht="15" hidden="false" customHeight="false" outlineLevel="0" collapsed="false">
      <c r="A2062" s="0" t="s">
        <v>461</v>
      </c>
      <c r="B2062" s="0" t="s">
        <v>43</v>
      </c>
      <c r="C2062" s="0" t="s">
        <v>44</v>
      </c>
      <c r="D2062" s="0" t="n">
        <v>576</v>
      </c>
      <c r="E2062" s="2" t="n">
        <v>40746.6881944445</v>
      </c>
      <c r="F2062" s="0" t="n">
        <v>1.35</v>
      </c>
      <c r="G2062" s="0" t="n">
        <v>18250</v>
      </c>
      <c r="H2062" s="3" t="s">
        <v>14</v>
      </c>
      <c r="I2062" s="4" t="n">
        <f aca="false">D2062*F2062</f>
        <v>777.6</v>
      </c>
      <c r="J2062" s="3" t="n">
        <f aca="false">IF(AND(LEFT(A2062,1)&lt;&gt;"C",D2062&gt;0,F2062&gt;0),1,0)</f>
        <v>1</v>
      </c>
      <c r="K2062" s="3" t="n">
        <f aca="false">IF(AND(H2062="United Kingdom",G2062&lt;&gt;"",COUNTIFS($G$2:G2062,G2062,$H$2:H2062,"United Kingdom")=1),1,0)</f>
        <v>0</v>
      </c>
    </row>
    <row r="2063" customFormat="false" ht="15" hidden="false" customHeight="false" outlineLevel="0" collapsed="false">
      <c r="A2063" s="0" t="s">
        <v>461</v>
      </c>
      <c r="B2063" s="0" t="s">
        <v>12</v>
      </c>
      <c r="C2063" s="0" t="s">
        <v>13</v>
      </c>
      <c r="D2063" s="0" t="n">
        <v>288</v>
      </c>
      <c r="E2063" s="2" t="n">
        <v>40746.6881944445</v>
      </c>
      <c r="F2063" s="0" t="n">
        <v>3.33</v>
      </c>
      <c r="G2063" s="0" t="n">
        <v>18250</v>
      </c>
      <c r="H2063" s="3" t="s">
        <v>14</v>
      </c>
      <c r="I2063" s="4" t="n">
        <f aca="false">D2063*F2063</f>
        <v>959.04</v>
      </c>
      <c r="J2063" s="3" t="n">
        <f aca="false">IF(AND(LEFT(A2063,1)&lt;&gt;"C",D2063&gt;0,F2063&gt;0),1,0)</f>
        <v>1</v>
      </c>
      <c r="K2063" s="3" t="n">
        <f aca="false">IF(AND(H2063="United Kingdom",G2063&lt;&gt;"",COUNTIFS($G$2:G2063,G2063,$H$2:H2063,"United Kingdom")=1),1,0)</f>
        <v>0</v>
      </c>
    </row>
    <row r="2064" customFormat="false" ht="15" hidden="false" customHeight="false" outlineLevel="0" collapsed="false">
      <c r="A2064" s="0" t="s">
        <v>461</v>
      </c>
      <c r="B2064" s="0" t="s">
        <v>90</v>
      </c>
      <c r="C2064" s="0" t="s">
        <v>91</v>
      </c>
      <c r="D2064" s="0" t="n">
        <v>12</v>
      </c>
      <c r="E2064" s="2" t="n">
        <v>40746.6881944445</v>
      </c>
      <c r="F2064" s="0" t="n">
        <v>3.04</v>
      </c>
      <c r="G2064" s="0" t="n">
        <v>18250</v>
      </c>
      <c r="H2064" s="3" t="s">
        <v>14</v>
      </c>
      <c r="I2064" s="4" t="n">
        <f aca="false">D2064*F2064</f>
        <v>36.48</v>
      </c>
      <c r="J2064" s="3" t="n">
        <f aca="false">IF(AND(LEFT(A2064,1)&lt;&gt;"C",D2064&gt;0,F2064&gt;0),1,0)</f>
        <v>1</v>
      </c>
      <c r="K2064" s="3" t="n">
        <f aca="false">IF(AND(H2064="United Kingdom",G2064&lt;&gt;"",COUNTIFS($G$2:G2064,G2064,$H$2:H2064,"United Kingdom")=1),1,0)</f>
        <v>0</v>
      </c>
    </row>
    <row r="2065" customFormat="false" ht="15" hidden="false" customHeight="false" outlineLevel="0" collapsed="false">
      <c r="A2065" s="0" t="s">
        <v>461</v>
      </c>
      <c r="B2065" s="0" t="s">
        <v>17</v>
      </c>
      <c r="C2065" s="0" t="s">
        <v>18</v>
      </c>
      <c r="D2065" s="0" t="n">
        <v>24</v>
      </c>
      <c r="E2065" s="2" t="n">
        <v>40746.6881944445</v>
      </c>
      <c r="F2065" s="0" t="n">
        <v>1.92</v>
      </c>
      <c r="G2065" s="0" t="n">
        <v>18250</v>
      </c>
      <c r="H2065" s="3" t="s">
        <v>14</v>
      </c>
      <c r="I2065" s="4" t="n">
        <f aca="false">D2065*F2065</f>
        <v>46.08</v>
      </c>
      <c r="J2065" s="3" t="n">
        <f aca="false">IF(AND(LEFT(A2065,1)&lt;&gt;"C",D2065&gt;0,F2065&gt;0),1,0)</f>
        <v>1</v>
      </c>
      <c r="K2065" s="3" t="n">
        <f aca="false">IF(AND(H2065="United Kingdom",G2065&lt;&gt;"",COUNTIFS($G$2:G2065,G2065,$H$2:H2065,"United Kingdom")=1),1,0)</f>
        <v>0</v>
      </c>
    </row>
    <row r="2066" customFormat="false" ht="15" hidden="false" customHeight="false" outlineLevel="0" collapsed="false">
      <c r="A2066" s="0" t="s">
        <v>461</v>
      </c>
      <c r="B2066" s="0" t="s">
        <v>113</v>
      </c>
      <c r="C2066" s="0" t="s">
        <v>114</v>
      </c>
      <c r="D2066" s="0" t="n">
        <v>48</v>
      </c>
      <c r="E2066" s="2" t="n">
        <v>40746.6881944445</v>
      </c>
      <c r="F2066" s="0" t="n">
        <v>3.57</v>
      </c>
      <c r="G2066" s="0" t="n">
        <v>18250</v>
      </c>
      <c r="H2066" s="3" t="s">
        <v>14</v>
      </c>
      <c r="I2066" s="4" t="n">
        <f aca="false">D2066*F2066</f>
        <v>171.36</v>
      </c>
      <c r="J2066" s="3" t="n">
        <f aca="false">IF(AND(LEFT(A2066,1)&lt;&gt;"C",D2066&gt;0,F2066&gt;0),1,0)</f>
        <v>1</v>
      </c>
      <c r="K2066" s="3" t="n">
        <f aca="false">IF(AND(H2066="United Kingdom",G2066&lt;&gt;"",COUNTIFS($G$2:G2066,G2066,$H$2:H2066,"United Kingdom")=1),1,0)</f>
        <v>0</v>
      </c>
    </row>
    <row r="2067" customFormat="false" ht="15" hidden="false" customHeight="false" outlineLevel="0" collapsed="false">
      <c r="A2067" s="0" t="s">
        <v>462</v>
      </c>
      <c r="B2067" s="0" t="s">
        <v>77</v>
      </c>
      <c r="C2067" s="0" t="s">
        <v>78</v>
      </c>
      <c r="D2067" s="0" t="n">
        <v>2</v>
      </c>
      <c r="E2067" s="2" t="n">
        <v>40747.6208333333</v>
      </c>
      <c r="F2067" s="0" t="n">
        <v>3.41</v>
      </c>
      <c r="G2067" s="0" t="n">
        <v>15104</v>
      </c>
      <c r="H2067" s="3" t="s">
        <v>14</v>
      </c>
      <c r="I2067" s="4" t="n">
        <f aca="false">D2067*F2067</f>
        <v>6.82</v>
      </c>
      <c r="J2067" s="3" t="n">
        <f aca="false">IF(AND(LEFT(A2067,1)&lt;&gt;"C",D2067&gt;0,F2067&gt;0),1,0)</f>
        <v>1</v>
      </c>
      <c r="K2067" s="3" t="n">
        <f aca="false">IF(AND(H2067="United Kingdom",G2067&lt;&gt;"",COUNTIFS($G$2:G2067,G2067,$H$2:H2067,"United Kingdom")=1),1,0)</f>
        <v>1</v>
      </c>
    </row>
    <row r="2068" customFormat="false" ht="15" hidden="false" customHeight="false" outlineLevel="0" collapsed="false">
      <c r="A2068" s="0" t="s">
        <v>462</v>
      </c>
      <c r="B2068" s="0" t="s">
        <v>22</v>
      </c>
      <c r="C2068" s="0" t="s">
        <v>23</v>
      </c>
      <c r="D2068" s="0" t="n">
        <v>6</v>
      </c>
      <c r="E2068" s="2" t="n">
        <v>40747.6208333333</v>
      </c>
      <c r="F2068" s="0" t="n">
        <v>3.18</v>
      </c>
      <c r="G2068" s="0" t="n">
        <v>15104</v>
      </c>
      <c r="H2068" s="3" t="s">
        <v>14</v>
      </c>
      <c r="I2068" s="4" t="n">
        <f aca="false">D2068*F2068</f>
        <v>19.08</v>
      </c>
      <c r="J2068" s="3" t="n">
        <f aca="false">IF(AND(LEFT(A2068,1)&lt;&gt;"C",D2068&gt;0,F2068&gt;0),1,0)</f>
        <v>1</v>
      </c>
      <c r="K2068" s="3" t="n">
        <f aca="false">IF(AND(H2068="United Kingdom",G2068&lt;&gt;"",COUNTIFS($G$2:G2068,G2068,$H$2:H2068,"United Kingdom")=1),1,0)</f>
        <v>0</v>
      </c>
    </row>
    <row r="2069" customFormat="false" ht="15" hidden="false" customHeight="false" outlineLevel="0" collapsed="false">
      <c r="A2069" s="0" t="s">
        <v>462</v>
      </c>
      <c r="B2069" s="0" t="s">
        <v>113</v>
      </c>
      <c r="C2069" s="0" t="s">
        <v>114</v>
      </c>
      <c r="D2069" s="0" t="n">
        <v>6</v>
      </c>
      <c r="E2069" s="2" t="n">
        <v>40747.6208333333</v>
      </c>
      <c r="F2069" s="0" t="n">
        <v>3.57</v>
      </c>
      <c r="G2069" s="0" t="n">
        <v>15104</v>
      </c>
      <c r="H2069" s="3" t="s">
        <v>14</v>
      </c>
      <c r="I2069" s="4" t="n">
        <f aca="false">D2069*F2069</f>
        <v>21.42</v>
      </c>
      <c r="J2069" s="3" t="n">
        <f aca="false">IF(AND(LEFT(A2069,1)&lt;&gt;"C",D2069&gt;0,F2069&gt;0),1,0)</f>
        <v>1</v>
      </c>
      <c r="K2069" s="3" t="n">
        <f aca="false">IF(AND(H2069="United Kingdom",G2069&lt;&gt;"",COUNTIFS($G$2:G2069,G2069,$H$2:H2069,"United Kingdom")=1),1,0)</f>
        <v>0</v>
      </c>
    </row>
    <row r="2070" customFormat="false" ht="15" hidden="false" customHeight="false" outlineLevel="0" collapsed="false">
      <c r="A2070" s="0" t="s">
        <v>462</v>
      </c>
      <c r="B2070" s="0" t="s">
        <v>58</v>
      </c>
      <c r="C2070" s="0" t="s">
        <v>59</v>
      </c>
      <c r="D2070" s="0" t="n">
        <v>3</v>
      </c>
      <c r="E2070" s="2" t="n">
        <v>40747.6208333333</v>
      </c>
      <c r="F2070" s="0" t="n">
        <v>2.16</v>
      </c>
      <c r="G2070" s="0" t="n">
        <v>15104</v>
      </c>
      <c r="H2070" s="3" t="s">
        <v>14</v>
      </c>
      <c r="I2070" s="4" t="n">
        <f aca="false">D2070*F2070</f>
        <v>6.48</v>
      </c>
      <c r="J2070" s="3" t="n">
        <f aca="false">IF(AND(LEFT(A2070,1)&lt;&gt;"C",D2070&gt;0,F2070&gt;0),1,0)</f>
        <v>1</v>
      </c>
      <c r="K2070" s="3" t="n">
        <f aca="false">IF(AND(H2070="United Kingdom",G2070&lt;&gt;"",COUNTIFS($G$2:G2070,G2070,$H$2:H2070,"United Kingdom")=1),1,0)</f>
        <v>0</v>
      </c>
    </row>
    <row r="2071" customFormat="false" ht="15" hidden="false" customHeight="false" outlineLevel="0" collapsed="false">
      <c r="A2071" s="0" t="s">
        <v>462</v>
      </c>
      <c r="B2071" s="0" t="s">
        <v>65</v>
      </c>
      <c r="C2071" s="0" t="s">
        <v>66</v>
      </c>
      <c r="D2071" s="0" t="n">
        <v>2</v>
      </c>
      <c r="E2071" s="2" t="n">
        <v>40747.6208333333</v>
      </c>
      <c r="F2071" s="0" t="n">
        <v>4.75</v>
      </c>
      <c r="G2071" s="0" t="n">
        <v>15104</v>
      </c>
      <c r="H2071" s="3" t="s">
        <v>14</v>
      </c>
      <c r="I2071" s="4" t="n">
        <f aca="false">D2071*F2071</f>
        <v>9.5</v>
      </c>
      <c r="J2071" s="3" t="n">
        <f aca="false">IF(AND(LEFT(A2071,1)&lt;&gt;"C",D2071&gt;0,F2071&gt;0),1,0)</f>
        <v>1</v>
      </c>
      <c r="K2071" s="3" t="n">
        <f aca="false">IF(AND(H2071="United Kingdom",G2071&lt;&gt;"",COUNTIFS($G$2:G2071,G2071,$H$2:H2071,"United Kingdom")=1),1,0)</f>
        <v>0</v>
      </c>
    </row>
    <row r="2072" customFormat="false" ht="15" hidden="false" customHeight="false" outlineLevel="0" collapsed="false">
      <c r="A2072" s="0" t="s">
        <v>462</v>
      </c>
      <c r="B2072" s="0" t="s">
        <v>15</v>
      </c>
      <c r="C2072" s="0" t="s">
        <v>16</v>
      </c>
      <c r="D2072" s="0" t="n">
        <v>4</v>
      </c>
      <c r="E2072" s="2" t="n">
        <v>40747.6208333333</v>
      </c>
      <c r="F2072" s="0" t="n">
        <v>3.18</v>
      </c>
      <c r="G2072" s="0" t="n">
        <v>15104</v>
      </c>
      <c r="H2072" s="3" t="s">
        <v>14</v>
      </c>
      <c r="I2072" s="4" t="n">
        <f aca="false">D2072*F2072</f>
        <v>12.72</v>
      </c>
      <c r="J2072" s="3" t="n">
        <f aca="false">IF(AND(LEFT(A2072,1)&lt;&gt;"C",D2072&gt;0,F2072&gt;0),1,0)</f>
        <v>1</v>
      </c>
      <c r="K2072" s="3" t="n">
        <f aca="false">IF(AND(H2072="United Kingdom",G2072&lt;&gt;"",COUNTIFS($G$2:G2072,G2072,$H$2:H2072,"United Kingdom")=1),1,0)</f>
        <v>0</v>
      </c>
    </row>
    <row r="2073" customFormat="false" ht="15" hidden="false" customHeight="false" outlineLevel="0" collapsed="false">
      <c r="A2073" s="0" t="s">
        <v>462</v>
      </c>
      <c r="B2073" s="0" t="s">
        <v>50</v>
      </c>
      <c r="C2073" s="0" t="s">
        <v>51</v>
      </c>
      <c r="D2073" s="0" t="n">
        <v>4</v>
      </c>
      <c r="E2073" s="2" t="n">
        <v>40747.6208333333</v>
      </c>
      <c r="F2073" s="0" t="n">
        <v>5.41</v>
      </c>
      <c r="G2073" s="0" t="n">
        <v>15104</v>
      </c>
      <c r="H2073" s="3" t="s">
        <v>14</v>
      </c>
      <c r="I2073" s="4" t="n">
        <f aca="false">D2073*F2073</f>
        <v>21.64</v>
      </c>
      <c r="J2073" s="3" t="n">
        <f aca="false">IF(AND(LEFT(A2073,1)&lt;&gt;"C",D2073&gt;0,F2073&gt;0),1,0)</f>
        <v>1</v>
      </c>
      <c r="K2073" s="3" t="n">
        <f aca="false">IF(AND(H2073="United Kingdom",G2073&lt;&gt;"",COUNTIFS($G$2:G2073,G2073,$H$2:H2073,"United Kingdom")=1),1,0)</f>
        <v>0</v>
      </c>
    </row>
    <row r="2074" customFormat="false" ht="15" hidden="false" customHeight="false" outlineLevel="0" collapsed="false">
      <c r="A2074" s="0" t="s">
        <v>462</v>
      </c>
      <c r="B2074" s="0" t="s">
        <v>32</v>
      </c>
      <c r="C2074" s="0" t="s">
        <v>33</v>
      </c>
      <c r="D2074" s="0" t="n">
        <v>3</v>
      </c>
      <c r="E2074" s="2" t="n">
        <v>40747.6208333333</v>
      </c>
      <c r="F2074" s="0" t="n">
        <v>1.19</v>
      </c>
      <c r="G2074" s="0" t="n">
        <v>15104</v>
      </c>
      <c r="H2074" s="3" t="s">
        <v>14</v>
      </c>
      <c r="I2074" s="4" t="n">
        <f aca="false">D2074*F2074</f>
        <v>3.57</v>
      </c>
      <c r="J2074" s="3" t="n">
        <f aca="false">IF(AND(LEFT(A2074,1)&lt;&gt;"C",D2074&gt;0,F2074&gt;0),1,0)</f>
        <v>1</v>
      </c>
      <c r="K2074" s="3" t="n">
        <f aca="false">IF(AND(H2074="United Kingdom",G2074&lt;&gt;"",COUNTIFS($G$2:G2074,G2074,$H$2:H2074,"United Kingdom")=1),1,0)</f>
        <v>0</v>
      </c>
    </row>
    <row r="2075" customFormat="false" ht="15" hidden="false" customHeight="false" outlineLevel="0" collapsed="false">
      <c r="A2075" s="0" t="s">
        <v>463</v>
      </c>
      <c r="B2075" s="0" t="s">
        <v>25</v>
      </c>
      <c r="C2075" s="0" t="s">
        <v>26</v>
      </c>
      <c r="D2075" s="0" t="n">
        <v>12</v>
      </c>
      <c r="E2075" s="2" t="n">
        <v>40747.7493055556</v>
      </c>
      <c r="F2075" s="0" t="n">
        <v>2.21</v>
      </c>
      <c r="G2075" s="0" t="n">
        <v>18051</v>
      </c>
      <c r="H2075" s="3" t="s">
        <v>14</v>
      </c>
      <c r="I2075" s="4" t="n">
        <f aca="false">D2075*F2075</f>
        <v>26.52</v>
      </c>
      <c r="J2075" s="3" t="n">
        <f aca="false">IF(AND(LEFT(A2075,1)&lt;&gt;"C",D2075&gt;0,F2075&gt;0),1,0)</f>
        <v>1</v>
      </c>
      <c r="K2075" s="3" t="n">
        <f aca="false">IF(AND(H2075="United Kingdom",G2075&lt;&gt;"",COUNTIFS($G$2:G2075,G2075,$H$2:H2075,"United Kingdom")=1),1,0)</f>
        <v>0</v>
      </c>
    </row>
    <row r="2076" customFormat="false" ht="15" hidden="false" customHeight="false" outlineLevel="0" collapsed="false">
      <c r="A2076" s="0" t="s">
        <v>463</v>
      </c>
      <c r="B2076" s="0" t="s">
        <v>20</v>
      </c>
      <c r="C2076" s="0" t="s">
        <v>21</v>
      </c>
      <c r="D2076" s="0" t="n">
        <v>18</v>
      </c>
      <c r="E2076" s="2" t="n">
        <v>40747.7493055556</v>
      </c>
      <c r="F2076" s="0" t="n">
        <v>4.24</v>
      </c>
      <c r="G2076" s="0" t="n">
        <v>18051</v>
      </c>
      <c r="H2076" s="3" t="s">
        <v>14</v>
      </c>
      <c r="I2076" s="4" t="n">
        <f aca="false">D2076*F2076</f>
        <v>76.32</v>
      </c>
      <c r="J2076" s="3" t="n">
        <f aca="false">IF(AND(LEFT(A2076,1)&lt;&gt;"C",D2076&gt;0,F2076&gt;0),1,0)</f>
        <v>1</v>
      </c>
      <c r="K2076" s="3" t="n">
        <f aca="false">IF(AND(H2076="United Kingdom",G2076&lt;&gt;"",COUNTIFS($G$2:G2076,G2076,$H$2:H2076,"United Kingdom")=1),1,0)</f>
        <v>0</v>
      </c>
    </row>
    <row r="2077" customFormat="false" ht="15" hidden="false" customHeight="false" outlineLevel="0" collapsed="false">
      <c r="A2077" s="0" t="s">
        <v>463</v>
      </c>
      <c r="B2077" s="0" t="s">
        <v>17</v>
      </c>
      <c r="C2077" s="0" t="s">
        <v>18</v>
      </c>
      <c r="D2077" s="0" t="n">
        <v>48</v>
      </c>
      <c r="E2077" s="2" t="n">
        <v>40747.7493055556</v>
      </c>
      <c r="F2077" s="0" t="n">
        <v>1.92</v>
      </c>
      <c r="G2077" s="0" t="n">
        <v>18051</v>
      </c>
      <c r="H2077" s="3" t="s">
        <v>14</v>
      </c>
      <c r="I2077" s="4" t="n">
        <f aca="false">D2077*F2077</f>
        <v>92.16</v>
      </c>
      <c r="J2077" s="3" t="n">
        <f aca="false">IF(AND(LEFT(A2077,1)&lt;&gt;"C",D2077&gt;0,F2077&gt;0),1,0)</f>
        <v>1</v>
      </c>
      <c r="K2077" s="3" t="n">
        <f aca="false">IF(AND(H2077="United Kingdom",G2077&lt;&gt;"",COUNTIFS($G$2:G2077,G2077,$H$2:H2077,"United Kingdom")=1),1,0)</f>
        <v>0</v>
      </c>
    </row>
    <row r="2078" customFormat="false" ht="15" hidden="false" customHeight="false" outlineLevel="0" collapsed="false">
      <c r="A2078" s="0" t="s">
        <v>463</v>
      </c>
      <c r="B2078" s="0" t="s">
        <v>39</v>
      </c>
      <c r="C2078" s="0" t="s">
        <v>40</v>
      </c>
      <c r="D2078" s="0" t="n">
        <v>108</v>
      </c>
      <c r="E2078" s="2" t="n">
        <v>40747.7493055556</v>
      </c>
      <c r="F2078" s="0" t="n">
        <v>2.58</v>
      </c>
      <c r="G2078" s="0" t="n">
        <v>18051</v>
      </c>
      <c r="H2078" s="3" t="s">
        <v>14</v>
      </c>
      <c r="I2078" s="4" t="n">
        <f aca="false">D2078*F2078</f>
        <v>278.64</v>
      </c>
      <c r="J2078" s="3" t="n">
        <f aca="false">IF(AND(LEFT(A2078,1)&lt;&gt;"C",D2078&gt;0,F2078&gt;0),1,0)</f>
        <v>1</v>
      </c>
      <c r="K2078" s="3" t="n">
        <f aca="false">IF(AND(H2078="United Kingdom",G2078&lt;&gt;"",COUNTIFS($G$2:G2078,G2078,$H$2:H2078,"United Kingdom")=1),1,0)</f>
        <v>0</v>
      </c>
    </row>
    <row r="2079" customFormat="false" ht="15" hidden="false" customHeight="false" outlineLevel="0" collapsed="false">
      <c r="A2079" s="0" t="s">
        <v>463</v>
      </c>
      <c r="B2079" s="0" t="s">
        <v>27</v>
      </c>
      <c r="C2079" s="0" t="s">
        <v>28</v>
      </c>
      <c r="D2079" s="0" t="n">
        <v>288</v>
      </c>
      <c r="E2079" s="2" t="n">
        <v>40747.7493055556</v>
      </c>
      <c r="F2079" s="0" t="n">
        <v>4.55</v>
      </c>
      <c r="G2079" s="0" t="n">
        <v>18051</v>
      </c>
      <c r="H2079" s="3" t="s">
        <v>14</v>
      </c>
      <c r="I2079" s="4" t="n">
        <f aca="false">D2079*F2079</f>
        <v>1310.4</v>
      </c>
      <c r="J2079" s="3" t="n">
        <f aca="false">IF(AND(LEFT(A2079,1)&lt;&gt;"C",D2079&gt;0,F2079&gt;0),1,0)</f>
        <v>1</v>
      </c>
      <c r="K2079" s="3" t="n">
        <f aca="false">IF(AND(H2079="United Kingdom",G2079&lt;&gt;"",COUNTIFS($G$2:G2079,G2079,$H$2:H2079,"United Kingdom")=1),1,0)</f>
        <v>0</v>
      </c>
    </row>
    <row r="2080" customFormat="false" ht="15" hidden="false" customHeight="false" outlineLevel="0" collapsed="false">
      <c r="A2080" s="0" t="s">
        <v>463</v>
      </c>
      <c r="B2080" s="0" t="s">
        <v>48</v>
      </c>
      <c r="C2080" s="0" t="s">
        <v>49</v>
      </c>
      <c r="D2080" s="0" t="n">
        <v>48</v>
      </c>
      <c r="E2080" s="2" t="n">
        <v>40747.7493055556</v>
      </c>
      <c r="F2080" s="0" t="n">
        <v>1.35</v>
      </c>
      <c r="G2080" s="0" t="n">
        <v>18051</v>
      </c>
      <c r="H2080" s="3" t="s">
        <v>14</v>
      </c>
      <c r="I2080" s="4" t="n">
        <f aca="false">D2080*F2080</f>
        <v>64.8</v>
      </c>
      <c r="J2080" s="3" t="n">
        <f aca="false">IF(AND(LEFT(A2080,1)&lt;&gt;"C",D2080&gt;0,F2080&gt;0),1,0)</f>
        <v>1</v>
      </c>
      <c r="K2080" s="3" t="n">
        <f aca="false">IF(AND(H2080="United Kingdom",G2080&lt;&gt;"",COUNTIFS($G$2:G2080,G2080,$H$2:H2080,"United Kingdom")=1),1,0)</f>
        <v>0</v>
      </c>
    </row>
    <row r="2081" customFormat="false" ht="15" hidden="false" customHeight="false" outlineLevel="0" collapsed="false">
      <c r="A2081" s="0" t="s">
        <v>463</v>
      </c>
      <c r="B2081" s="0" t="s">
        <v>65</v>
      </c>
      <c r="C2081" s="0" t="s">
        <v>66</v>
      </c>
      <c r="D2081" s="0" t="n">
        <v>576</v>
      </c>
      <c r="E2081" s="2" t="n">
        <v>40747.7493055556</v>
      </c>
      <c r="F2081" s="0" t="n">
        <v>4.75</v>
      </c>
      <c r="G2081" s="0" t="n">
        <v>18051</v>
      </c>
      <c r="H2081" s="3" t="s">
        <v>14</v>
      </c>
      <c r="I2081" s="4" t="n">
        <f aca="false">D2081*F2081</f>
        <v>2736</v>
      </c>
      <c r="J2081" s="3" t="n">
        <f aca="false">IF(AND(LEFT(A2081,1)&lt;&gt;"C",D2081&gt;0,F2081&gt;0),1,0)</f>
        <v>1</v>
      </c>
      <c r="K2081" s="3" t="n">
        <f aca="false">IF(AND(H2081="United Kingdom",G2081&lt;&gt;"",COUNTIFS($G$2:G2081,G2081,$H$2:H2081,"United Kingdom")=1),1,0)</f>
        <v>0</v>
      </c>
    </row>
    <row r="2082" customFormat="false" ht="15" hidden="false" customHeight="false" outlineLevel="0" collapsed="false">
      <c r="A2082" s="0" t="s">
        <v>463</v>
      </c>
      <c r="B2082" s="0" t="s">
        <v>29</v>
      </c>
      <c r="C2082" s="0" t="s">
        <v>30</v>
      </c>
      <c r="D2082" s="0" t="n">
        <v>24</v>
      </c>
      <c r="E2082" s="2" t="n">
        <v>40747.7493055556</v>
      </c>
      <c r="F2082" s="0" t="n">
        <v>5.79</v>
      </c>
      <c r="G2082" s="0" t="n">
        <v>18051</v>
      </c>
      <c r="H2082" s="3" t="s">
        <v>14</v>
      </c>
      <c r="I2082" s="4" t="n">
        <f aca="false">D2082*F2082</f>
        <v>138.96</v>
      </c>
      <c r="J2082" s="3" t="n">
        <f aca="false">IF(AND(LEFT(A2082,1)&lt;&gt;"C",D2082&gt;0,F2082&gt;0),1,0)</f>
        <v>1</v>
      </c>
      <c r="K2082" s="3" t="n">
        <f aca="false">IF(AND(H2082="United Kingdom",G2082&lt;&gt;"",COUNTIFS($G$2:G2082,G2082,$H$2:H2082,"United Kingdom")=1),1,0)</f>
        <v>0</v>
      </c>
    </row>
    <row r="2083" customFormat="false" ht="15" hidden="false" customHeight="false" outlineLevel="0" collapsed="false">
      <c r="A2083" s="0" t="s">
        <v>463</v>
      </c>
      <c r="B2083" s="0" t="s">
        <v>90</v>
      </c>
      <c r="C2083" s="0" t="s">
        <v>91</v>
      </c>
      <c r="D2083" s="0" t="n">
        <v>36</v>
      </c>
      <c r="E2083" s="2" t="n">
        <v>40747.7493055556</v>
      </c>
      <c r="F2083" s="0" t="n">
        <v>3.04</v>
      </c>
      <c r="G2083" s="0" t="n">
        <v>18051</v>
      </c>
      <c r="H2083" s="3" t="s">
        <v>14</v>
      </c>
      <c r="I2083" s="4" t="n">
        <f aca="false">D2083*F2083</f>
        <v>109.44</v>
      </c>
      <c r="J2083" s="3" t="n">
        <f aca="false">IF(AND(LEFT(A2083,1)&lt;&gt;"C",D2083&gt;0,F2083&gt;0),1,0)</f>
        <v>1</v>
      </c>
      <c r="K2083" s="3" t="n">
        <f aca="false">IF(AND(H2083="United Kingdom",G2083&lt;&gt;"",COUNTIFS($G$2:G2083,G2083,$H$2:H2083,"United Kingdom")=1),1,0)</f>
        <v>0</v>
      </c>
    </row>
    <row r="2084" customFormat="false" ht="15" hidden="false" customHeight="false" outlineLevel="0" collapsed="false">
      <c r="A2084" s="0" t="s">
        <v>463</v>
      </c>
      <c r="B2084" s="0" t="s">
        <v>50</v>
      </c>
      <c r="C2084" s="0" t="s">
        <v>51</v>
      </c>
      <c r="D2084" s="0" t="n">
        <v>12</v>
      </c>
      <c r="E2084" s="2" t="n">
        <v>40747.7493055556</v>
      </c>
      <c r="F2084" s="0" t="n">
        <v>5.41</v>
      </c>
      <c r="G2084" s="0" t="n">
        <v>18051</v>
      </c>
      <c r="H2084" s="3" t="s">
        <v>14</v>
      </c>
      <c r="I2084" s="4" t="n">
        <f aca="false">D2084*F2084</f>
        <v>64.92</v>
      </c>
      <c r="J2084" s="3" t="n">
        <f aca="false">IF(AND(LEFT(A2084,1)&lt;&gt;"C",D2084&gt;0,F2084&gt;0),1,0)</f>
        <v>1</v>
      </c>
      <c r="K2084" s="3" t="n">
        <f aca="false">IF(AND(H2084="United Kingdom",G2084&lt;&gt;"",COUNTIFS($G$2:G2084,G2084,$H$2:H2084,"United Kingdom")=1),1,0)</f>
        <v>0</v>
      </c>
    </row>
    <row r="2085" customFormat="false" ht="15" hidden="false" customHeight="false" outlineLevel="0" collapsed="false">
      <c r="A2085" s="0" t="s">
        <v>463</v>
      </c>
      <c r="B2085" s="0" t="s">
        <v>41</v>
      </c>
      <c r="C2085" s="0" t="s">
        <v>42</v>
      </c>
      <c r="D2085" s="0" t="n">
        <v>144</v>
      </c>
      <c r="E2085" s="2" t="n">
        <v>40747.7493055556</v>
      </c>
      <c r="F2085" s="0" t="n">
        <v>3.28</v>
      </c>
      <c r="G2085" s="0" t="n">
        <v>18051</v>
      </c>
      <c r="H2085" s="3" t="s">
        <v>14</v>
      </c>
      <c r="I2085" s="4" t="n">
        <f aca="false">D2085*F2085</f>
        <v>472.32</v>
      </c>
      <c r="J2085" s="3" t="n">
        <f aca="false">IF(AND(LEFT(A2085,1)&lt;&gt;"C",D2085&gt;0,F2085&gt;0),1,0)</f>
        <v>1</v>
      </c>
      <c r="K2085" s="3" t="n">
        <f aca="false">IF(AND(H2085="United Kingdom",G2085&lt;&gt;"",COUNTIFS($G$2:G2085,G2085,$H$2:H2085,"United Kingdom")=1),1,0)</f>
        <v>0</v>
      </c>
    </row>
    <row r="2086" customFormat="false" ht="15" hidden="false" customHeight="false" outlineLevel="0" collapsed="false">
      <c r="A2086" s="0" t="s">
        <v>463</v>
      </c>
      <c r="B2086" s="0" t="s">
        <v>68</v>
      </c>
      <c r="C2086" s="0" t="s">
        <v>69</v>
      </c>
      <c r="D2086" s="0" t="n">
        <v>864</v>
      </c>
      <c r="E2086" s="2" t="n">
        <v>40747.7493055556</v>
      </c>
      <c r="F2086" s="0" t="n">
        <v>1.26</v>
      </c>
      <c r="G2086" s="0" t="n">
        <v>18051</v>
      </c>
      <c r="H2086" s="3" t="s">
        <v>14</v>
      </c>
      <c r="I2086" s="4" t="n">
        <f aca="false">D2086*F2086</f>
        <v>1088.64</v>
      </c>
      <c r="J2086" s="3" t="n">
        <f aca="false">IF(AND(LEFT(A2086,1)&lt;&gt;"C",D2086&gt;0,F2086&gt;0),1,0)</f>
        <v>1</v>
      </c>
      <c r="K2086" s="3" t="n">
        <f aca="false">IF(AND(H2086="United Kingdom",G2086&lt;&gt;"",COUNTIFS($G$2:G2086,G2086,$H$2:H2086,"United Kingdom")=1),1,0)</f>
        <v>0</v>
      </c>
    </row>
    <row r="2087" customFormat="false" ht="15" hidden="false" customHeight="false" outlineLevel="0" collapsed="false">
      <c r="A2087" s="0" t="s">
        <v>463</v>
      </c>
      <c r="B2087" s="0" t="s">
        <v>45</v>
      </c>
      <c r="C2087" s="0" t="s">
        <v>46</v>
      </c>
      <c r="D2087" s="0" t="n">
        <v>24</v>
      </c>
      <c r="E2087" s="2" t="n">
        <v>40747.7493055556</v>
      </c>
      <c r="F2087" s="0" t="n">
        <v>4.55</v>
      </c>
      <c r="G2087" s="0" t="n">
        <v>18051</v>
      </c>
      <c r="H2087" s="3" t="s">
        <v>14</v>
      </c>
      <c r="I2087" s="4" t="n">
        <f aca="false">D2087*F2087</f>
        <v>109.2</v>
      </c>
      <c r="J2087" s="3" t="n">
        <f aca="false">IF(AND(LEFT(A2087,1)&lt;&gt;"C",D2087&gt;0,F2087&gt;0),1,0)</f>
        <v>1</v>
      </c>
      <c r="K2087" s="3" t="n">
        <f aca="false">IF(AND(H2087="United Kingdom",G2087&lt;&gt;"",COUNTIFS($G$2:G2087,G2087,$H$2:H2087,"United Kingdom")=1),1,0)</f>
        <v>0</v>
      </c>
    </row>
    <row r="2088" customFormat="false" ht="15" hidden="false" customHeight="false" outlineLevel="0" collapsed="false">
      <c r="A2088" s="0" t="s">
        <v>463</v>
      </c>
      <c r="B2088" s="0" t="s">
        <v>72</v>
      </c>
      <c r="C2088" s="0" t="s">
        <v>73</v>
      </c>
      <c r="D2088" s="0" t="n">
        <v>72</v>
      </c>
      <c r="E2088" s="2" t="n">
        <v>40747.7493055556</v>
      </c>
      <c r="F2088" s="0" t="n">
        <v>2.69</v>
      </c>
      <c r="G2088" s="0" t="n">
        <v>18051</v>
      </c>
      <c r="H2088" s="3" t="s">
        <v>14</v>
      </c>
      <c r="I2088" s="4" t="n">
        <f aca="false">D2088*F2088</f>
        <v>193.68</v>
      </c>
      <c r="J2088" s="3" t="n">
        <f aca="false">IF(AND(LEFT(A2088,1)&lt;&gt;"C",D2088&gt;0,F2088&gt;0),1,0)</f>
        <v>1</v>
      </c>
      <c r="K2088" s="3" t="n">
        <f aca="false">IF(AND(H2088="United Kingdom",G2088&lt;&gt;"",COUNTIFS($G$2:G2088,G2088,$H$2:H2088,"United Kingdom")=1),1,0)</f>
        <v>0</v>
      </c>
    </row>
    <row r="2089" customFormat="false" ht="15" hidden="false" customHeight="false" outlineLevel="0" collapsed="false">
      <c r="A2089" s="0" t="s">
        <v>463</v>
      </c>
      <c r="B2089" s="0" t="s">
        <v>75</v>
      </c>
      <c r="C2089" s="0" t="s">
        <v>76</v>
      </c>
      <c r="D2089" s="0" t="n">
        <v>12</v>
      </c>
      <c r="E2089" s="2" t="n">
        <v>40747.7493055556</v>
      </c>
      <c r="F2089" s="0" t="n">
        <v>1.97</v>
      </c>
      <c r="G2089" s="0" t="n">
        <v>18051</v>
      </c>
      <c r="H2089" s="3" t="s">
        <v>14</v>
      </c>
      <c r="I2089" s="4" t="n">
        <f aca="false">D2089*F2089</f>
        <v>23.64</v>
      </c>
      <c r="J2089" s="3" t="n">
        <f aca="false">IF(AND(LEFT(A2089,1)&lt;&gt;"C",D2089&gt;0,F2089&gt;0),1,0)</f>
        <v>1</v>
      </c>
      <c r="K2089" s="3" t="n">
        <f aca="false">IF(AND(H2089="United Kingdom",G2089&lt;&gt;"",COUNTIFS($G$2:G2089,G2089,$H$2:H2089,"United Kingdom")=1),1,0)</f>
        <v>0</v>
      </c>
    </row>
    <row r="2090" customFormat="false" ht="15" hidden="false" customHeight="false" outlineLevel="0" collapsed="false">
      <c r="A2090" s="0" t="s">
        <v>463</v>
      </c>
      <c r="B2090" s="0" t="s">
        <v>60</v>
      </c>
      <c r="C2090" s="0" t="s">
        <v>61</v>
      </c>
      <c r="D2090" s="0" t="n">
        <v>144</v>
      </c>
      <c r="E2090" s="2" t="n">
        <v>40747.7493055556</v>
      </c>
      <c r="F2090" s="0" t="n">
        <v>0.63</v>
      </c>
      <c r="G2090" s="0" t="n">
        <v>18051</v>
      </c>
      <c r="H2090" s="3" t="s">
        <v>14</v>
      </c>
      <c r="I2090" s="4" t="n">
        <f aca="false">D2090*F2090</f>
        <v>90.72</v>
      </c>
      <c r="J2090" s="3" t="n">
        <f aca="false">IF(AND(LEFT(A2090,1)&lt;&gt;"C",D2090&gt;0,F2090&gt;0),1,0)</f>
        <v>1</v>
      </c>
      <c r="K2090" s="3" t="n">
        <f aca="false">IF(AND(H2090="United Kingdom",G2090&lt;&gt;"",COUNTIFS($G$2:G2090,G2090,$H$2:H2090,"United Kingdom")=1),1,0)</f>
        <v>0</v>
      </c>
    </row>
    <row r="2091" customFormat="false" ht="15" hidden="false" customHeight="false" outlineLevel="0" collapsed="false">
      <c r="A2091" s="0" t="s">
        <v>463</v>
      </c>
      <c r="B2091" s="0" t="s">
        <v>113</v>
      </c>
      <c r="C2091" s="0" t="s">
        <v>114</v>
      </c>
      <c r="D2091" s="0" t="n">
        <v>24</v>
      </c>
      <c r="E2091" s="2" t="n">
        <v>40747.7493055556</v>
      </c>
      <c r="F2091" s="0" t="n">
        <v>3.57</v>
      </c>
      <c r="G2091" s="0" t="n">
        <v>18051</v>
      </c>
      <c r="H2091" s="3" t="s">
        <v>14</v>
      </c>
      <c r="I2091" s="4" t="n">
        <f aca="false">D2091*F2091</f>
        <v>85.68</v>
      </c>
      <c r="J2091" s="3" t="n">
        <f aca="false">IF(AND(LEFT(A2091,1)&lt;&gt;"C",D2091&gt;0,F2091&gt;0),1,0)</f>
        <v>1</v>
      </c>
      <c r="K2091" s="3" t="n">
        <f aca="false">IF(AND(H2091="United Kingdom",G2091&lt;&gt;"",COUNTIFS($G$2:G2091,G2091,$H$2:H2091,"United Kingdom")=1),1,0)</f>
        <v>0</v>
      </c>
    </row>
    <row r="2092" customFormat="false" ht="15" hidden="false" customHeight="false" outlineLevel="0" collapsed="false">
      <c r="A2092" s="0" t="s">
        <v>463</v>
      </c>
      <c r="B2092" s="0" t="s">
        <v>63</v>
      </c>
      <c r="C2092" s="0" t="s">
        <v>64</v>
      </c>
      <c r="D2092" s="0" t="n">
        <v>18</v>
      </c>
      <c r="E2092" s="2" t="n">
        <v>40747.7493055556</v>
      </c>
      <c r="F2092" s="0" t="n">
        <v>2.43</v>
      </c>
      <c r="G2092" s="0" t="n">
        <v>18051</v>
      </c>
      <c r="H2092" s="3" t="s">
        <v>14</v>
      </c>
      <c r="I2092" s="4" t="n">
        <f aca="false">D2092*F2092</f>
        <v>43.74</v>
      </c>
      <c r="J2092" s="3" t="n">
        <f aca="false">IF(AND(LEFT(A2092,1)&lt;&gt;"C",D2092&gt;0,F2092&gt;0),1,0)</f>
        <v>1</v>
      </c>
      <c r="K2092" s="3" t="n">
        <f aca="false">IF(AND(H2092="United Kingdom",G2092&lt;&gt;"",COUNTIFS($G$2:G2092,G2092,$H$2:H2092,"United Kingdom")=1),1,0)</f>
        <v>0</v>
      </c>
    </row>
    <row r="2093" customFormat="false" ht="15" hidden="false" customHeight="false" outlineLevel="0" collapsed="false">
      <c r="A2093" s="0" t="s">
        <v>464</v>
      </c>
      <c r="B2093" s="0" t="s">
        <v>29</v>
      </c>
      <c r="C2093" s="0" t="s">
        <v>30</v>
      </c>
      <c r="D2093" s="0" t="n">
        <v>2</v>
      </c>
      <c r="E2093" s="2" t="n">
        <v>40749.4111111111</v>
      </c>
      <c r="F2093" s="0" t="n">
        <v>5.79</v>
      </c>
      <c r="G2093" s="0" t="n">
        <v>14074</v>
      </c>
      <c r="H2093" s="3" t="s">
        <v>14</v>
      </c>
      <c r="I2093" s="4" t="n">
        <f aca="false">D2093*F2093</f>
        <v>11.58</v>
      </c>
      <c r="J2093" s="3" t="n">
        <f aca="false">IF(AND(LEFT(A2093,1)&lt;&gt;"C",D2093&gt;0,F2093&gt;0),1,0)</f>
        <v>1</v>
      </c>
      <c r="K2093" s="3" t="n">
        <f aca="false">IF(AND(H2093="United Kingdom",G2093&lt;&gt;"",COUNTIFS($G$2:G2093,G2093,$H$2:H2093,"United Kingdom")=1),1,0)</f>
        <v>0</v>
      </c>
    </row>
    <row r="2094" customFormat="false" ht="15" hidden="false" customHeight="false" outlineLevel="0" collapsed="false">
      <c r="A2094" s="0" t="s">
        <v>464</v>
      </c>
      <c r="B2094" s="0" t="s">
        <v>63</v>
      </c>
      <c r="C2094" s="0" t="s">
        <v>64</v>
      </c>
      <c r="D2094" s="0" t="n">
        <v>8</v>
      </c>
      <c r="E2094" s="2" t="n">
        <v>40749.4111111111</v>
      </c>
      <c r="F2094" s="0" t="n">
        <v>2.43</v>
      </c>
      <c r="G2094" s="0" t="n">
        <v>14074</v>
      </c>
      <c r="H2094" s="3" t="s">
        <v>14</v>
      </c>
      <c r="I2094" s="4" t="n">
        <f aca="false">D2094*F2094</f>
        <v>19.44</v>
      </c>
      <c r="J2094" s="3" t="n">
        <f aca="false">IF(AND(LEFT(A2094,1)&lt;&gt;"C",D2094&gt;0,F2094&gt;0),1,0)</f>
        <v>1</v>
      </c>
      <c r="K2094" s="3" t="n">
        <f aca="false">IF(AND(H2094="United Kingdom",G2094&lt;&gt;"",COUNTIFS($G$2:G2094,G2094,$H$2:H2094,"United Kingdom")=1),1,0)</f>
        <v>0</v>
      </c>
    </row>
    <row r="2095" customFormat="false" ht="15" hidden="false" customHeight="false" outlineLevel="0" collapsed="false">
      <c r="A2095" s="0" t="s">
        <v>465</v>
      </c>
      <c r="B2095" s="0" t="s">
        <v>90</v>
      </c>
      <c r="C2095" s="0" t="s">
        <v>91</v>
      </c>
      <c r="D2095" s="0" t="n">
        <v>1</v>
      </c>
      <c r="E2095" s="2" t="n">
        <v>40749.4208333333</v>
      </c>
      <c r="F2095" s="0" t="n">
        <v>3.04</v>
      </c>
      <c r="G2095" s="0" t="n">
        <v>17009</v>
      </c>
      <c r="H2095" s="3" t="s">
        <v>14</v>
      </c>
      <c r="I2095" s="4" t="n">
        <f aca="false">D2095*F2095</f>
        <v>3.04</v>
      </c>
      <c r="J2095" s="3" t="n">
        <f aca="false">IF(AND(LEFT(A2095,1)&lt;&gt;"C",D2095&gt;0,F2095&gt;0),1,0)</f>
        <v>1</v>
      </c>
      <c r="K2095" s="3" t="n">
        <f aca="false">IF(AND(H2095="United Kingdom",G2095&lt;&gt;"",COUNTIFS($G$2:G2095,G2095,$H$2:H2095,"United Kingdom")=1),1,0)</f>
        <v>0</v>
      </c>
    </row>
    <row r="2096" customFormat="false" ht="15" hidden="false" customHeight="false" outlineLevel="0" collapsed="false">
      <c r="A2096" s="0" t="s">
        <v>465</v>
      </c>
      <c r="B2096" s="0" t="s">
        <v>75</v>
      </c>
      <c r="C2096" s="0" t="s">
        <v>76</v>
      </c>
      <c r="D2096" s="0" t="n">
        <v>1</v>
      </c>
      <c r="E2096" s="2" t="n">
        <v>40749.4208333333</v>
      </c>
      <c r="F2096" s="0" t="n">
        <v>1.97</v>
      </c>
      <c r="G2096" s="0" t="n">
        <v>17009</v>
      </c>
      <c r="H2096" s="3" t="s">
        <v>14</v>
      </c>
      <c r="I2096" s="4" t="n">
        <f aca="false">D2096*F2096</f>
        <v>1.97</v>
      </c>
      <c r="J2096" s="3" t="n">
        <f aca="false">IF(AND(LEFT(A2096,1)&lt;&gt;"C",D2096&gt;0,F2096&gt;0),1,0)</f>
        <v>1</v>
      </c>
      <c r="K2096" s="3" t="n">
        <f aca="false">IF(AND(H2096="United Kingdom",G2096&lt;&gt;"",COUNTIFS($G$2:G2096,G2096,$H$2:H2096,"United Kingdom")=1),1,0)</f>
        <v>0</v>
      </c>
    </row>
    <row r="2097" customFormat="false" ht="15" hidden="false" customHeight="false" outlineLevel="0" collapsed="false">
      <c r="A2097" s="0" t="s">
        <v>465</v>
      </c>
      <c r="B2097" s="0" t="s">
        <v>27</v>
      </c>
      <c r="C2097" s="0" t="s">
        <v>28</v>
      </c>
      <c r="D2097" s="0" t="n">
        <v>24</v>
      </c>
      <c r="E2097" s="2" t="n">
        <v>40749.4208333333</v>
      </c>
      <c r="F2097" s="0" t="n">
        <v>4.55</v>
      </c>
      <c r="G2097" s="0" t="n">
        <v>17009</v>
      </c>
      <c r="H2097" s="3" t="s">
        <v>14</v>
      </c>
      <c r="I2097" s="4" t="n">
        <f aca="false">D2097*F2097</f>
        <v>109.2</v>
      </c>
      <c r="J2097" s="3" t="n">
        <f aca="false">IF(AND(LEFT(A2097,1)&lt;&gt;"C",D2097&gt;0,F2097&gt;0),1,0)</f>
        <v>1</v>
      </c>
      <c r="K2097" s="3" t="n">
        <f aca="false">IF(AND(H2097="United Kingdom",G2097&lt;&gt;"",COUNTIFS($G$2:G2097,G2097,$H$2:H2097,"United Kingdom")=1),1,0)</f>
        <v>0</v>
      </c>
    </row>
    <row r="2098" customFormat="false" ht="15" hidden="false" customHeight="false" outlineLevel="0" collapsed="false">
      <c r="A2098" s="0" t="s">
        <v>465</v>
      </c>
      <c r="B2098" s="0" t="s">
        <v>63</v>
      </c>
      <c r="C2098" s="0" t="s">
        <v>64</v>
      </c>
      <c r="D2098" s="0" t="n">
        <v>24</v>
      </c>
      <c r="E2098" s="2" t="n">
        <v>40749.4208333333</v>
      </c>
      <c r="F2098" s="0" t="n">
        <v>2.43</v>
      </c>
      <c r="G2098" s="0" t="n">
        <v>17009</v>
      </c>
      <c r="H2098" s="3" t="s">
        <v>14</v>
      </c>
      <c r="I2098" s="4" t="n">
        <f aca="false">D2098*F2098</f>
        <v>58.32</v>
      </c>
      <c r="J2098" s="3" t="n">
        <f aca="false">IF(AND(LEFT(A2098,1)&lt;&gt;"C",D2098&gt;0,F2098&gt;0),1,0)</f>
        <v>1</v>
      </c>
      <c r="K2098" s="3" t="n">
        <f aca="false">IF(AND(H2098="United Kingdom",G2098&lt;&gt;"",COUNTIFS($G$2:G2098,G2098,$H$2:H2098,"United Kingdom")=1),1,0)</f>
        <v>0</v>
      </c>
    </row>
    <row r="2099" customFormat="false" ht="15" hidden="false" customHeight="false" outlineLevel="0" collapsed="false">
      <c r="A2099" s="0" t="s">
        <v>465</v>
      </c>
      <c r="B2099" s="0" t="s">
        <v>60</v>
      </c>
      <c r="C2099" s="0" t="s">
        <v>61</v>
      </c>
      <c r="D2099" s="0" t="n">
        <v>8</v>
      </c>
      <c r="E2099" s="2" t="n">
        <v>40749.4208333333</v>
      </c>
      <c r="F2099" s="0" t="n">
        <v>0.63</v>
      </c>
      <c r="G2099" s="0" t="n">
        <v>17009</v>
      </c>
      <c r="H2099" s="3" t="s">
        <v>14</v>
      </c>
      <c r="I2099" s="4" t="n">
        <f aca="false">D2099*F2099</f>
        <v>5.04</v>
      </c>
      <c r="J2099" s="3" t="n">
        <f aca="false">IF(AND(LEFT(A2099,1)&lt;&gt;"C",D2099&gt;0,F2099&gt;0),1,0)</f>
        <v>1</v>
      </c>
      <c r="K2099" s="3" t="n">
        <f aca="false">IF(AND(H2099="United Kingdom",G2099&lt;&gt;"",COUNTIFS($G$2:G2099,G2099,$H$2:H2099,"United Kingdom")=1),1,0)</f>
        <v>0</v>
      </c>
    </row>
    <row r="2100" customFormat="false" ht="15" hidden="false" customHeight="false" outlineLevel="0" collapsed="false">
      <c r="A2100" s="0" t="s">
        <v>465</v>
      </c>
      <c r="B2100" s="0" t="s">
        <v>15</v>
      </c>
      <c r="C2100" s="0" t="s">
        <v>16</v>
      </c>
      <c r="D2100" s="0" t="n">
        <v>4</v>
      </c>
      <c r="E2100" s="2" t="n">
        <v>40749.4208333333</v>
      </c>
      <c r="F2100" s="0" t="n">
        <v>3.18</v>
      </c>
      <c r="G2100" s="0" t="n">
        <v>17009</v>
      </c>
      <c r="H2100" s="3" t="s">
        <v>14</v>
      </c>
      <c r="I2100" s="4" t="n">
        <f aca="false">D2100*F2100</f>
        <v>12.72</v>
      </c>
      <c r="J2100" s="3" t="n">
        <f aca="false">IF(AND(LEFT(A2100,1)&lt;&gt;"C",D2100&gt;0,F2100&gt;0),1,0)</f>
        <v>1</v>
      </c>
      <c r="K2100" s="3" t="n">
        <f aca="false">IF(AND(H2100="United Kingdom",G2100&lt;&gt;"",COUNTIFS($G$2:G2100,G2100,$H$2:H2100,"United Kingdom")=1),1,0)</f>
        <v>0</v>
      </c>
    </row>
    <row r="2101" customFormat="false" ht="15" hidden="false" customHeight="false" outlineLevel="0" collapsed="false">
      <c r="A2101" s="0" t="s">
        <v>465</v>
      </c>
      <c r="B2101" s="0" t="s">
        <v>52</v>
      </c>
      <c r="C2101" s="0" t="s">
        <v>53</v>
      </c>
      <c r="D2101" s="0" t="n">
        <v>2</v>
      </c>
      <c r="E2101" s="2" t="n">
        <v>40749.4208333333</v>
      </c>
      <c r="F2101" s="0" t="n">
        <v>4.16</v>
      </c>
      <c r="G2101" s="0" t="n">
        <v>17009</v>
      </c>
      <c r="H2101" s="3" t="s">
        <v>14</v>
      </c>
      <c r="I2101" s="4" t="n">
        <f aca="false">D2101*F2101</f>
        <v>8.32</v>
      </c>
      <c r="J2101" s="3" t="n">
        <f aca="false">IF(AND(LEFT(A2101,1)&lt;&gt;"C",D2101&gt;0,F2101&gt;0),1,0)</f>
        <v>1</v>
      </c>
      <c r="K2101" s="3" t="n">
        <f aca="false">IF(AND(H2101="United Kingdom",G2101&lt;&gt;"",COUNTIFS($G$2:G2101,G2101,$H$2:H2101,"United Kingdom")=1),1,0)</f>
        <v>0</v>
      </c>
    </row>
    <row r="2102" customFormat="false" ht="15" hidden="false" customHeight="false" outlineLevel="0" collapsed="false">
      <c r="A2102" s="0" t="s">
        <v>465</v>
      </c>
      <c r="B2102" s="0" t="s">
        <v>20</v>
      </c>
      <c r="C2102" s="0" t="s">
        <v>21</v>
      </c>
      <c r="D2102" s="0" t="n">
        <v>2</v>
      </c>
      <c r="E2102" s="2" t="n">
        <v>40749.4208333333</v>
      </c>
      <c r="F2102" s="0" t="n">
        <v>4.24</v>
      </c>
      <c r="G2102" s="0" t="n">
        <v>17009</v>
      </c>
      <c r="H2102" s="3" t="s">
        <v>14</v>
      </c>
      <c r="I2102" s="4" t="n">
        <f aca="false">D2102*F2102</f>
        <v>8.48</v>
      </c>
      <c r="J2102" s="3" t="n">
        <f aca="false">IF(AND(LEFT(A2102,1)&lt;&gt;"C",D2102&gt;0,F2102&gt;0),1,0)</f>
        <v>1</v>
      </c>
      <c r="K2102" s="3" t="n">
        <f aca="false">IF(AND(H2102="United Kingdom",G2102&lt;&gt;"",COUNTIFS($G$2:G2102,G2102,$H$2:H2102,"United Kingdom")=1),1,0)</f>
        <v>0</v>
      </c>
    </row>
    <row r="2103" customFormat="false" ht="15" hidden="false" customHeight="false" outlineLevel="0" collapsed="false">
      <c r="A2103" s="0" t="s">
        <v>465</v>
      </c>
      <c r="B2103" s="0" t="s">
        <v>22</v>
      </c>
      <c r="C2103" s="0" t="s">
        <v>23</v>
      </c>
      <c r="D2103" s="0" t="n">
        <v>1</v>
      </c>
      <c r="E2103" s="2" t="n">
        <v>40749.4208333333</v>
      </c>
      <c r="F2103" s="0" t="n">
        <v>3.18</v>
      </c>
      <c r="G2103" s="0" t="n">
        <v>17009</v>
      </c>
      <c r="H2103" s="3" t="s">
        <v>14</v>
      </c>
      <c r="I2103" s="4" t="n">
        <f aca="false">D2103*F2103</f>
        <v>3.18</v>
      </c>
      <c r="J2103" s="3" t="n">
        <f aca="false">IF(AND(LEFT(A2103,1)&lt;&gt;"C",D2103&gt;0,F2103&gt;0),1,0)</f>
        <v>1</v>
      </c>
      <c r="K2103" s="3" t="n">
        <f aca="false">IF(AND(H2103="United Kingdom",G2103&lt;&gt;"",COUNTIFS($G$2:G2103,G2103,$H$2:H2103,"United Kingdom")=1),1,0)</f>
        <v>0</v>
      </c>
    </row>
    <row r="2104" customFormat="false" ht="15" hidden="false" customHeight="false" outlineLevel="0" collapsed="false">
      <c r="A2104" s="0" t="s">
        <v>466</v>
      </c>
      <c r="B2104" s="0" t="s">
        <v>48</v>
      </c>
      <c r="C2104" s="0" t="s">
        <v>49</v>
      </c>
      <c r="D2104" s="0" t="n">
        <v>4</v>
      </c>
      <c r="E2104" s="2" t="n">
        <v>40750.5444444444</v>
      </c>
      <c r="F2104" s="0" t="n">
        <v>1.35</v>
      </c>
      <c r="G2104" s="0" t="n">
        <v>13759</v>
      </c>
      <c r="H2104" s="3" t="s">
        <v>14</v>
      </c>
      <c r="I2104" s="4" t="n">
        <f aca="false">D2104*F2104</f>
        <v>5.4</v>
      </c>
      <c r="J2104" s="3" t="n">
        <f aca="false">IF(AND(LEFT(A2104,1)&lt;&gt;"C",D2104&gt;0,F2104&gt;0),1,0)</f>
        <v>1</v>
      </c>
      <c r="K2104" s="3" t="n">
        <f aca="false">IF(AND(H2104="United Kingdom",G2104&lt;&gt;"",COUNTIFS($G$2:G2104,G2104,$H$2:H2104,"United Kingdom")=1),1,0)</f>
        <v>1</v>
      </c>
    </row>
    <row r="2105" customFormat="false" ht="15" hidden="false" customHeight="false" outlineLevel="0" collapsed="false">
      <c r="A2105" s="0" t="s">
        <v>466</v>
      </c>
      <c r="B2105" s="0" t="s">
        <v>52</v>
      </c>
      <c r="C2105" s="0" t="s">
        <v>53</v>
      </c>
      <c r="D2105" s="0" t="n">
        <v>16</v>
      </c>
      <c r="E2105" s="2" t="n">
        <v>40750.5444444444</v>
      </c>
      <c r="F2105" s="0" t="n">
        <v>4.16</v>
      </c>
      <c r="G2105" s="0" t="n">
        <v>13759</v>
      </c>
      <c r="H2105" s="3" t="s">
        <v>14</v>
      </c>
      <c r="I2105" s="4" t="n">
        <f aca="false">D2105*F2105</f>
        <v>66.56</v>
      </c>
      <c r="J2105" s="3" t="n">
        <f aca="false">IF(AND(LEFT(A2105,1)&lt;&gt;"C",D2105&gt;0,F2105&gt;0),1,0)</f>
        <v>1</v>
      </c>
      <c r="K2105" s="3" t="n">
        <f aca="false">IF(AND(H2105="United Kingdom",G2105&lt;&gt;"",COUNTIFS($G$2:G2105,G2105,$H$2:H2105,"United Kingdom")=1),1,0)</f>
        <v>0</v>
      </c>
    </row>
    <row r="2106" customFormat="false" ht="15" hidden="false" customHeight="false" outlineLevel="0" collapsed="false">
      <c r="A2106" s="0" t="s">
        <v>466</v>
      </c>
      <c r="B2106" s="0" t="s">
        <v>113</v>
      </c>
      <c r="C2106" s="0" t="s">
        <v>114</v>
      </c>
      <c r="D2106" s="0" t="n">
        <v>12</v>
      </c>
      <c r="E2106" s="2" t="n">
        <v>40750.5444444444</v>
      </c>
      <c r="F2106" s="0" t="n">
        <v>3.57</v>
      </c>
      <c r="G2106" s="0" t="n">
        <v>13759</v>
      </c>
      <c r="H2106" s="3" t="s">
        <v>14</v>
      </c>
      <c r="I2106" s="4" t="n">
        <f aca="false">D2106*F2106</f>
        <v>42.84</v>
      </c>
      <c r="J2106" s="3" t="n">
        <f aca="false">IF(AND(LEFT(A2106,1)&lt;&gt;"C",D2106&gt;0,F2106&gt;0),1,0)</f>
        <v>1</v>
      </c>
      <c r="K2106" s="3" t="n">
        <f aca="false">IF(AND(H2106="United Kingdom",G2106&lt;&gt;"",COUNTIFS($G$2:G2106,G2106,$H$2:H2106,"United Kingdom")=1),1,0)</f>
        <v>0</v>
      </c>
    </row>
    <row r="2107" customFormat="false" ht="15" hidden="false" customHeight="false" outlineLevel="0" collapsed="false">
      <c r="A2107" s="0" t="s">
        <v>466</v>
      </c>
      <c r="B2107" s="0" t="s">
        <v>17</v>
      </c>
      <c r="C2107" s="0" t="s">
        <v>18</v>
      </c>
      <c r="D2107" s="0" t="n">
        <v>2</v>
      </c>
      <c r="E2107" s="2" t="n">
        <v>40750.5444444444</v>
      </c>
      <c r="F2107" s="0" t="n">
        <v>1.92</v>
      </c>
      <c r="G2107" s="0" t="n">
        <v>13759</v>
      </c>
      <c r="H2107" s="3" t="s">
        <v>14</v>
      </c>
      <c r="I2107" s="4" t="n">
        <f aca="false">D2107*F2107</f>
        <v>3.84</v>
      </c>
      <c r="J2107" s="3" t="n">
        <f aca="false">IF(AND(LEFT(A2107,1)&lt;&gt;"C",D2107&gt;0,F2107&gt;0),1,0)</f>
        <v>1</v>
      </c>
      <c r="K2107" s="3" t="n">
        <f aca="false">IF(AND(H2107="United Kingdom",G2107&lt;&gt;"",COUNTIFS($G$2:G2107,G2107,$H$2:H2107,"United Kingdom")=1),1,0)</f>
        <v>0</v>
      </c>
    </row>
    <row r="2108" customFormat="false" ht="15" hidden="false" customHeight="false" outlineLevel="0" collapsed="false">
      <c r="A2108" s="0" t="s">
        <v>466</v>
      </c>
      <c r="B2108" s="0" t="s">
        <v>29</v>
      </c>
      <c r="C2108" s="0" t="s">
        <v>30</v>
      </c>
      <c r="D2108" s="0" t="n">
        <v>6</v>
      </c>
      <c r="E2108" s="2" t="n">
        <v>40750.5444444444</v>
      </c>
      <c r="F2108" s="0" t="n">
        <v>5.79</v>
      </c>
      <c r="G2108" s="0" t="n">
        <v>13759</v>
      </c>
      <c r="H2108" s="3" t="s">
        <v>14</v>
      </c>
      <c r="I2108" s="4" t="n">
        <f aca="false">D2108*F2108</f>
        <v>34.74</v>
      </c>
      <c r="J2108" s="3" t="n">
        <f aca="false">IF(AND(LEFT(A2108,1)&lt;&gt;"C",D2108&gt;0,F2108&gt;0),1,0)</f>
        <v>1</v>
      </c>
      <c r="K2108" s="3" t="n">
        <f aca="false">IF(AND(H2108="United Kingdom",G2108&lt;&gt;"",COUNTIFS($G$2:G2108,G2108,$H$2:H2108,"United Kingdom")=1),1,0)</f>
        <v>0</v>
      </c>
    </row>
    <row r="2109" customFormat="false" ht="15" hidden="false" customHeight="false" outlineLevel="0" collapsed="false">
      <c r="A2109" s="0" t="s">
        <v>466</v>
      </c>
      <c r="B2109" s="0" t="s">
        <v>25</v>
      </c>
      <c r="C2109" s="0" t="s">
        <v>26</v>
      </c>
      <c r="D2109" s="0" t="n">
        <v>12</v>
      </c>
      <c r="E2109" s="2" t="n">
        <v>40750.5444444444</v>
      </c>
      <c r="F2109" s="0" t="n">
        <v>2.21</v>
      </c>
      <c r="G2109" s="0" t="n">
        <v>13759</v>
      </c>
      <c r="H2109" s="3" t="s">
        <v>14</v>
      </c>
      <c r="I2109" s="4" t="n">
        <f aca="false">D2109*F2109</f>
        <v>26.52</v>
      </c>
      <c r="J2109" s="3" t="n">
        <f aca="false">IF(AND(LEFT(A2109,1)&lt;&gt;"C",D2109&gt;0,F2109&gt;0),1,0)</f>
        <v>1</v>
      </c>
      <c r="K2109" s="3" t="n">
        <f aca="false">IF(AND(H2109="United Kingdom",G2109&lt;&gt;"",COUNTIFS($G$2:G2109,G2109,$H$2:H2109,"United Kingdom")=1),1,0)</f>
        <v>0</v>
      </c>
    </row>
    <row r="2110" customFormat="false" ht="15" hidden="false" customHeight="false" outlineLevel="0" collapsed="false">
      <c r="A2110" s="0" t="s">
        <v>466</v>
      </c>
      <c r="B2110" s="0" t="s">
        <v>41</v>
      </c>
      <c r="C2110" s="0" t="s">
        <v>42</v>
      </c>
      <c r="D2110" s="0" t="n">
        <v>2</v>
      </c>
      <c r="E2110" s="2" t="n">
        <v>40750.5444444444</v>
      </c>
      <c r="F2110" s="0" t="n">
        <v>3.28</v>
      </c>
      <c r="G2110" s="0" t="n">
        <v>13759</v>
      </c>
      <c r="H2110" s="3" t="s">
        <v>14</v>
      </c>
      <c r="I2110" s="4" t="n">
        <f aca="false">D2110*F2110</f>
        <v>6.56</v>
      </c>
      <c r="J2110" s="3" t="n">
        <f aca="false">IF(AND(LEFT(A2110,1)&lt;&gt;"C",D2110&gt;0,F2110&gt;0),1,0)</f>
        <v>1</v>
      </c>
      <c r="K2110" s="3" t="n">
        <f aca="false">IF(AND(H2110="United Kingdom",G2110&lt;&gt;"",COUNTIFS($G$2:G2110,G2110,$H$2:H2110,"United Kingdom")=1),1,0)</f>
        <v>0</v>
      </c>
    </row>
    <row r="2111" customFormat="false" ht="15" hidden="false" customHeight="false" outlineLevel="0" collapsed="false">
      <c r="A2111" s="0" t="s">
        <v>466</v>
      </c>
      <c r="B2111" s="0" t="s">
        <v>77</v>
      </c>
      <c r="C2111" s="0" t="s">
        <v>78</v>
      </c>
      <c r="D2111" s="0" t="n">
        <v>8</v>
      </c>
      <c r="E2111" s="2" t="n">
        <v>40750.5444444444</v>
      </c>
      <c r="F2111" s="0" t="n">
        <v>3.41</v>
      </c>
      <c r="G2111" s="0" t="n">
        <v>13759</v>
      </c>
      <c r="H2111" s="3" t="s">
        <v>14</v>
      </c>
      <c r="I2111" s="4" t="n">
        <f aca="false">D2111*F2111</f>
        <v>27.28</v>
      </c>
      <c r="J2111" s="3" t="n">
        <f aca="false">IF(AND(LEFT(A2111,1)&lt;&gt;"C",D2111&gt;0,F2111&gt;0),1,0)</f>
        <v>1</v>
      </c>
      <c r="K2111" s="3" t="n">
        <f aca="false">IF(AND(H2111="United Kingdom",G2111&lt;&gt;"",COUNTIFS($G$2:G2111,G2111,$H$2:H2111,"United Kingdom")=1),1,0)</f>
        <v>0</v>
      </c>
    </row>
    <row r="2112" customFormat="false" ht="15" hidden="false" customHeight="false" outlineLevel="0" collapsed="false">
      <c r="A2112" s="0" t="s">
        <v>466</v>
      </c>
      <c r="B2112" s="0" t="s">
        <v>90</v>
      </c>
      <c r="C2112" s="0" t="s">
        <v>91</v>
      </c>
      <c r="D2112" s="0" t="n">
        <v>12</v>
      </c>
      <c r="E2112" s="2" t="n">
        <v>40750.5444444444</v>
      </c>
      <c r="F2112" s="0" t="n">
        <v>3.04</v>
      </c>
      <c r="G2112" s="0" t="n">
        <v>13759</v>
      </c>
      <c r="H2112" s="3" t="s">
        <v>14</v>
      </c>
      <c r="I2112" s="4" t="n">
        <f aca="false">D2112*F2112</f>
        <v>36.48</v>
      </c>
      <c r="J2112" s="3" t="n">
        <f aca="false">IF(AND(LEFT(A2112,1)&lt;&gt;"C",D2112&gt;0,F2112&gt;0),1,0)</f>
        <v>1</v>
      </c>
      <c r="K2112" s="3" t="n">
        <f aca="false">IF(AND(H2112="United Kingdom",G2112&lt;&gt;"",COUNTIFS($G$2:G2112,G2112,$H$2:H2112,"United Kingdom")=1),1,0)</f>
        <v>0</v>
      </c>
    </row>
    <row r="2113" customFormat="false" ht="15" hidden="false" customHeight="false" outlineLevel="0" collapsed="false">
      <c r="A2113" s="0" t="s">
        <v>466</v>
      </c>
      <c r="B2113" s="0" t="s">
        <v>58</v>
      </c>
      <c r="C2113" s="0" t="s">
        <v>59</v>
      </c>
      <c r="D2113" s="0" t="n">
        <v>3</v>
      </c>
      <c r="E2113" s="2" t="n">
        <v>40750.5444444444</v>
      </c>
      <c r="F2113" s="0" t="n">
        <v>2.16</v>
      </c>
      <c r="G2113" s="0" t="n">
        <v>13759</v>
      </c>
      <c r="H2113" s="3" t="s">
        <v>14</v>
      </c>
      <c r="I2113" s="4" t="n">
        <f aca="false">D2113*F2113</f>
        <v>6.48</v>
      </c>
      <c r="J2113" s="3" t="n">
        <f aca="false">IF(AND(LEFT(A2113,1)&lt;&gt;"C",D2113&gt;0,F2113&gt;0),1,0)</f>
        <v>1</v>
      </c>
      <c r="K2113" s="3" t="n">
        <f aca="false">IF(AND(H2113="United Kingdom",G2113&lt;&gt;"",COUNTIFS($G$2:G2113,G2113,$H$2:H2113,"United Kingdom")=1),1,0)</f>
        <v>0</v>
      </c>
    </row>
    <row r="2114" customFormat="false" ht="15" hidden="false" customHeight="false" outlineLevel="0" collapsed="false">
      <c r="A2114" s="0" t="s">
        <v>466</v>
      </c>
      <c r="B2114" s="0" t="s">
        <v>60</v>
      </c>
      <c r="C2114" s="0" t="s">
        <v>61</v>
      </c>
      <c r="D2114" s="0" t="n">
        <v>2</v>
      </c>
      <c r="E2114" s="2" t="n">
        <v>40750.5444444444</v>
      </c>
      <c r="F2114" s="0" t="n">
        <v>0.63</v>
      </c>
      <c r="G2114" s="0" t="n">
        <v>13759</v>
      </c>
      <c r="H2114" s="3" t="s">
        <v>14</v>
      </c>
      <c r="I2114" s="4" t="n">
        <f aca="false">D2114*F2114</f>
        <v>1.26</v>
      </c>
      <c r="J2114" s="3" t="n">
        <f aca="false">IF(AND(LEFT(A2114,1)&lt;&gt;"C",D2114&gt;0,F2114&gt;0),1,0)</f>
        <v>1</v>
      </c>
      <c r="K2114" s="3" t="n">
        <f aca="false">IF(AND(H2114="United Kingdom",G2114&lt;&gt;"",COUNTIFS($G$2:G2114,G2114,$H$2:H2114,"United Kingdom")=1),1,0)</f>
        <v>0</v>
      </c>
    </row>
    <row r="2115" customFormat="false" ht="15" hidden="false" customHeight="false" outlineLevel="0" collapsed="false">
      <c r="A2115" s="0" t="s">
        <v>466</v>
      </c>
      <c r="B2115" s="0" t="s">
        <v>12</v>
      </c>
      <c r="C2115" s="0" t="s">
        <v>13</v>
      </c>
      <c r="D2115" s="0" t="n">
        <v>4</v>
      </c>
      <c r="E2115" s="2" t="n">
        <v>40750.5444444444</v>
      </c>
      <c r="F2115" s="0" t="n">
        <v>3.33</v>
      </c>
      <c r="G2115" s="0" t="n">
        <v>13759</v>
      </c>
      <c r="H2115" s="3" t="s">
        <v>14</v>
      </c>
      <c r="I2115" s="4" t="n">
        <f aca="false">D2115*F2115</f>
        <v>13.32</v>
      </c>
      <c r="J2115" s="3" t="n">
        <f aca="false">IF(AND(LEFT(A2115,1)&lt;&gt;"C",D2115&gt;0,F2115&gt;0),1,0)</f>
        <v>1</v>
      </c>
      <c r="K2115" s="3" t="n">
        <f aca="false">IF(AND(H2115="United Kingdom",G2115&lt;&gt;"",COUNTIFS($G$2:G2115,G2115,$H$2:H2115,"United Kingdom")=1),1,0)</f>
        <v>0</v>
      </c>
    </row>
    <row r="2116" customFormat="false" ht="15" hidden="false" customHeight="false" outlineLevel="0" collapsed="false">
      <c r="A2116" s="0" t="s">
        <v>467</v>
      </c>
      <c r="B2116" s="0" t="s">
        <v>80</v>
      </c>
      <c r="C2116" s="0" t="s">
        <v>81</v>
      </c>
      <c r="D2116" s="0" t="n">
        <v>12</v>
      </c>
      <c r="E2116" s="2" t="n">
        <v>40750.5861111111</v>
      </c>
      <c r="F2116" s="0" t="n">
        <v>1.53</v>
      </c>
      <c r="G2116" s="0" t="n">
        <v>14887</v>
      </c>
      <c r="H2116" s="3" t="s">
        <v>14</v>
      </c>
      <c r="I2116" s="4" t="n">
        <f aca="false">D2116*F2116</f>
        <v>18.36</v>
      </c>
      <c r="J2116" s="3" t="n">
        <f aca="false">IF(AND(LEFT(A2116,1)&lt;&gt;"C",D2116&gt;0,F2116&gt;0),1,0)</f>
        <v>1</v>
      </c>
      <c r="K2116" s="3" t="n">
        <f aca="false">IF(AND(H2116="United Kingdom",G2116&lt;&gt;"",COUNTIFS($G$2:G2116,G2116,$H$2:H2116,"United Kingdom")=1),1,0)</f>
        <v>0</v>
      </c>
    </row>
    <row r="2117" customFormat="false" ht="15" hidden="false" customHeight="false" outlineLevel="0" collapsed="false">
      <c r="A2117" s="0" t="s">
        <v>467</v>
      </c>
      <c r="B2117" s="0" t="s">
        <v>39</v>
      </c>
      <c r="C2117" s="0" t="s">
        <v>40</v>
      </c>
      <c r="D2117" s="0" t="n">
        <v>2</v>
      </c>
      <c r="E2117" s="2" t="n">
        <v>40750.5861111111</v>
      </c>
      <c r="F2117" s="0" t="n">
        <v>2.58</v>
      </c>
      <c r="G2117" s="0" t="n">
        <v>14887</v>
      </c>
      <c r="H2117" s="3" t="s">
        <v>14</v>
      </c>
      <c r="I2117" s="4" t="n">
        <f aca="false">D2117*F2117</f>
        <v>5.16</v>
      </c>
      <c r="J2117" s="3" t="n">
        <f aca="false">IF(AND(LEFT(A2117,1)&lt;&gt;"C",D2117&gt;0,F2117&gt;0),1,0)</f>
        <v>1</v>
      </c>
      <c r="K2117" s="3" t="n">
        <f aca="false">IF(AND(H2117="United Kingdom",G2117&lt;&gt;"",COUNTIFS($G$2:G2117,G2117,$H$2:H2117,"United Kingdom")=1),1,0)</f>
        <v>0</v>
      </c>
    </row>
    <row r="2118" customFormat="false" ht="15" hidden="false" customHeight="false" outlineLevel="0" collapsed="false">
      <c r="A2118" s="0" t="s">
        <v>467</v>
      </c>
      <c r="B2118" s="0" t="s">
        <v>58</v>
      </c>
      <c r="C2118" s="0" t="s">
        <v>59</v>
      </c>
      <c r="D2118" s="0" t="n">
        <v>6</v>
      </c>
      <c r="E2118" s="2" t="n">
        <v>40750.5861111111</v>
      </c>
      <c r="F2118" s="0" t="n">
        <v>2.16</v>
      </c>
      <c r="G2118" s="0" t="n">
        <v>14887</v>
      </c>
      <c r="H2118" s="3" t="s">
        <v>14</v>
      </c>
      <c r="I2118" s="4" t="n">
        <f aca="false">D2118*F2118</f>
        <v>12.96</v>
      </c>
      <c r="J2118" s="3" t="n">
        <f aca="false">IF(AND(LEFT(A2118,1)&lt;&gt;"C",D2118&gt;0,F2118&gt;0),1,0)</f>
        <v>1</v>
      </c>
      <c r="K2118" s="3" t="n">
        <f aca="false">IF(AND(H2118="United Kingdom",G2118&lt;&gt;"",COUNTIFS($G$2:G2118,G2118,$H$2:H2118,"United Kingdom")=1),1,0)</f>
        <v>0</v>
      </c>
    </row>
    <row r="2119" customFormat="false" ht="15" hidden="false" customHeight="false" outlineLevel="0" collapsed="false">
      <c r="A2119" s="0" t="s">
        <v>467</v>
      </c>
      <c r="B2119" s="0" t="s">
        <v>54</v>
      </c>
      <c r="C2119" s="0" t="s">
        <v>55</v>
      </c>
      <c r="D2119" s="0" t="n">
        <v>24</v>
      </c>
      <c r="E2119" s="2" t="n">
        <v>40750.5861111111</v>
      </c>
      <c r="F2119" s="0" t="n">
        <v>0.99</v>
      </c>
      <c r="G2119" s="0" t="n">
        <v>14887</v>
      </c>
      <c r="H2119" s="3" t="s">
        <v>14</v>
      </c>
      <c r="I2119" s="4" t="n">
        <f aca="false">D2119*F2119</f>
        <v>23.76</v>
      </c>
      <c r="J2119" s="3" t="n">
        <f aca="false">IF(AND(LEFT(A2119,1)&lt;&gt;"C",D2119&gt;0,F2119&gt;0),1,0)</f>
        <v>1</v>
      </c>
      <c r="K2119" s="3" t="n">
        <f aca="false">IF(AND(H2119="United Kingdom",G2119&lt;&gt;"",COUNTIFS($G$2:G2119,G2119,$H$2:H2119,"United Kingdom")=1),1,0)</f>
        <v>0</v>
      </c>
    </row>
    <row r="2120" customFormat="false" ht="15" hidden="false" customHeight="false" outlineLevel="0" collapsed="false">
      <c r="A2120" s="0" t="s">
        <v>467</v>
      </c>
      <c r="B2120" s="0" t="s">
        <v>63</v>
      </c>
      <c r="C2120" s="0" t="s">
        <v>64</v>
      </c>
      <c r="D2120" s="0" t="n">
        <v>2</v>
      </c>
      <c r="E2120" s="2" t="n">
        <v>40750.5861111111</v>
      </c>
      <c r="F2120" s="0" t="n">
        <v>2.43</v>
      </c>
      <c r="G2120" s="0" t="n">
        <v>14887</v>
      </c>
      <c r="H2120" s="3" t="s">
        <v>14</v>
      </c>
      <c r="I2120" s="4" t="n">
        <f aca="false">D2120*F2120</f>
        <v>4.86</v>
      </c>
      <c r="J2120" s="3" t="n">
        <f aca="false">IF(AND(LEFT(A2120,1)&lt;&gt;"C",D2120&gt;0,F2120&gt;0),1,0)</f>
        <v>1</v>
      </c>
      <c r="K2120" s="3" t="n">
        <f aca="false">IF(AND(H2120="United Kingdom",G2120&lt;&gt;"",COUNTIFS($G$2:G2120,G2120,$H$2:H2120,"United Kingdom")=1),1,0)</f>
        <v>0</v>
      </c>
    </row>
    <row r="2121" customFormat="false" ht="15" hidden="false" customHeight="false" outlineLevel="0" collapsed="false">
      <c r="A2121" s="0" t="s">
        <v>467</v>
      </c>
      <c r="B2121" s="0" t="s">
        <v>22</v>
      </c>
      <c r="C2121" s="0" t="s">
        <v>23</v>
      </c>
      <c r="D2121" s="0" t="n">
        <v>12</v>
      </c>
      <c r="E2121" s="2" t="n">
        <v>40750.5861111111</v>
      </c>
      <c r="F2121" s="0" t="n">
        <v>3.18</v>
      </c>
      <c r="G2121" s="0" t="n">
        <v>14887</v>
      </c>
      <c r="H2121" s="3" t="s">
        <v>14</v>
      </c>
      <c r="I2121" s="4" t="n">
        <f aca="false">D2121*F2121</f>
        <v>38.16</v>
      </c>
      <c r="J2121" s="3" t="n">
        <f aca="false">IF(AND(LEFT(A2121,1)&lt;&gt;"C",D2121&gt;0,F2121&gt;0),1,0)</f>
        <v>1</v>
      </c>
      <c r="K2121" s="3" t="n">
        <f aca="false">IF(AND(H2121="United Kingdom",G2121&lt;&gt;"",COUNTIFS($G$2:G2121,G2121,$H$2:H2121,"United Kingdom")=1),1,0)</f>
        <v>0</v>
      </c>
    </row>
    <row r="2122" customFormat="false" ht="15" hidden="false" customHeight="false" outlineLevel="0" collapsed="false">
      <c r="A2122" s="0" t="s">
        <v>467</v>
      </c>
      <c r="B2122" s="0" t="s">
        <v>45</v>
      </c>
      <c r="C2122" s="0" t="s">
        <v>46</v>
      </c>
      <c r="D2122" s="0" t="n">
        <v>4</v>
      </c>
      <c r="E2122" s="2" t="n">
        <v>40750.5861111111</v>
      </c>
      <c r="F2122" s="0" t="n">
        <v>4.55</v>
      </c>
      <c r="G2122" s="0" t="n">
        <v>14887</v>
      </c>
      <c r="H2122" s="3" t="s">
        <v>14</v>
      </c>
      <c r="I2122" s="4" t="n">
        <f aca="false">D2122*F2122</f>
        <v>18.2</v>
      </c>
      <c r="J2122" s="3" t="n">
        <f aca="false">IF(AND(LEFT(A2122,1)&lt;&gt;"C",D2122&gt;0,F2122&gt;0),1,0)</f>
        <v>1</v>
      </c>
      <c r="K2122" s="3" t="n">
        <f aca="false">IF(AND(H2122="United Kingdom",G2122&lt;&gt;"",COUNTIFS($G$2:G2122,G2122,$H$2:H2122,"United Kingdom")=1),1,0)</f>
        <v>0</v>
      </c>
    </row>
    <row r="2123" customFormat="false" ht="15" hidden="false" customHeight="false" outlineLevel="0" collapsed="false">
      <c r="A2123" s="0" t="s">
        <v>467</v>
      </c>
      <c r="B2123" s="0" t="s">
        <v>29</v>
      </c>
      <c r="C2123" s="0" t="s">
        <v>30</v>
      </c>
      <c r="D2123" s="0" t="n">
        <v>8</v>
      </c>
      <c r="E2123" s="2" t="n">
        <v>40750.5861111111</v>
      </c>
      <c r="F2123" s="0" t="n">
        <v>5.79</v>
      </c>
      <c r="G2123" s="0" t="n">
        <v>14887</v>
      </c>
      <c r="H2123" s="3" t="s">
        <v>14</v>
      </c>
      <c r="I2123" s="4" t="n">
        <f aca="false">D2123*F2123</f>
        <v>46.32</v>
      </c>
      <c r="J2123" s="3" t="n">
        <f aca="false">IF(AND(LEFT(A2123,1)&lt;&gt;"C",D2123&gt;0,F2123&gt;0),1,0)</f>
        <v>1</v>
      </c>
      <c r="K2123" s="3" t="n">
        <f aca="false">IF(AND(H2123="United Kingdom",G2123&lt;&gt;"",COUNTIFS($G$2:G2123,G2123,$H$2:H2123,"United Kingdom")=1),1,0)</f>
        <v>0</v>
      </c>
    </row>
    <row r="2124" customFormat="false" ht="15" hidden="false" customHeight="false" outlineLevel="0" collapsed="false">
      <c r="A2124" s="0" t="s">
        <v>467</v>
      </c>
      <c r="B2124" s="0" t="s">
        <v>15</v>
      </c>
      <c r="C2124" s="0" t="s">
        <v>16</v>
      </c>
      <c r="D2124" s="0" t="n">
        <v>4</v>
      </c>
      <c r="E2124" s="2" t="n">
        <v>40750.5861111111</v>
      </c>
      <c r="F2124" s="0" t="n">
        <v>3.18</v>
      </c>
      <c r="G2124" s="0" t="n">
        <v>14887</v>
      </c>
      <c r="H2124" s="3" t="s">
        <v>14</v>
      </c>
      <c r="I2124" s="4" t="n">
        <f aca="false">D2124*F2124</f>
        <v>12.72</v>
      </c>
      <c r="J2124" s="3" t="n">
        <f aca="false">IF(AND(LEFT(A2124,1)&lt;&gt;"C",D2124&gt;0,F2124&gt;0),1,0)</f>
        <v>1</v>
      </c>
      <c r="K2124" s="3" t="n">
        <f aca="false">IF(AND(H2124="United Kingdom",G2124&lt;&gt;"",COUNTIFS($G$2:G2124,G2124,$H$2:H2124,"United Kingdom")=1),1,0)</f>
        <v>0</v>
      </c>
    </row>
    <row r="2125" customFormat="false" ht="15" hidden="false" customHeight="false" outlineLevel="0" collapsed="false">
      <c r="A2125" s="0" t="s">
        <v>467</v>
      </c>
      <c r="B2125" s="0" t="s">
        <v>27</v>
      </c>
      <c r="C2125" s="0" t="s">
        <v>28</v>
      </c>
      <c r="D2125" s="0" t="n">
        <v>24</v>
      </c>
      <c r="E2125" s="2" t="n">
        <v>40750.5861111111</v>
      </c>
      <c r="F2125" s="0" t="n">
        <v>4.55</v>
      </c>
      <c r="G2125" s="0" t="n">
        <v>14887</v>
      </c>
      <c r="H2125" s="3" t="s">
        <v>14</v>
      </c>
      <c r="I2125" s="4" t="n">
        <f aca="false">D2125*F2125</f>
        <v>109.2</v>
      </c>
      <c r="J2125" s="3" t="n">
        <f aca="false">IF(AND(LEFT(A2125,1)&lt;&gt;"C",D2125&gt;0,F2125&gt;0),1,0)</f>
        <v>1</v>
      </c>
      <c r="K2125" s="3" t="n">
        <f aca="false">IF(AND(H2125="United Kingdom",G2125&lt;&gt;"",COUNTIFS($G$2:G2125,G2125,$H$2:H2125,"United Kingdom")=1),1,0)</f>
        <v>0</v>
      </c>
    </row>
    <row r="2126" customFormat="false" ht="15" hidden="false" customHeight="false" outlineLevel="0" collapsed="false">
      <c r="A2126" s="0" t="s">
        <v>467</v>
      </c>
      <c r="B2126" s="0" t="s">
        <v>43</v>
      </c>
      <c r="C2126" s="0" t="s">
        <v>44</v>
      </c>
      <c r="D2126" s="0" t="n">
        <v>3</v>
      </c>
      <c r="E2126" s="2" t="n">
        <v>40750.5861111111</v>
      </c>
      <c r="F2126" s="0" t="n">
        <v>1.35</v>
      </c>
      <c r="G2126" s="0" t="n">
        <v>14887</v>
      </c>
      <c r="H2126" s="3" t="s">
        <v>14</v>
      </c>
      <c r="I2126" s="4" t="n">
        <f aca="false">D2126*F2126</f>
        <v>4.05</v>
      </c>
      <c r="J2126" s="3" t="n">
        <f aca="false">IF(AND(LEFT(A2126,1)&lt;&gt;"C",D2126&gt;0,F2126&gt;0),1,0)</f>
        <v>1</v>
      </c>
      <c r="K2126" s="3" t="n">
        <f aca="false">IF(AND(H2126="United Kingdom",G2126&lt;&gt;"",COUNTIFS($G$2:G2126,G2126,$H$2:H2126,"United Kingdom")=1),1,0)</f>
        <v>0</v>
      </c>
    </row>
    <row r="2127" customFormat="false" ht="15" hidden="false" customHeight="false" outlineLevel="0" collapsed="false">
      <c r="A2127" s="0" t="s">
        <v>468</v>
      </c>
      <c r="B2127" s="0" t="s">
        <v>54</v>
      </c>
      <c r="C2127" s="0" t="s">
        <v>55</v>
      </c>
      <c r="D2127" s="0" t="n">
        <v>6</v>
      </c>
      <c r="E2127" s="2" t="n">
        <v>40751.6090277778</v>
      </c>
      <c r="F2127" s="0" t="n">
        <v>0.99</v>
      </c>
      <c r="G2127" s="0" t="n">
        <v>14758</v>
      </c>
      <c r="H2127" s="3" t="s">
        <v>14</v>
      </c>
      <c r="I2127" s="4" t="n">
        <f aca="false">D2127*F2127</f>
        <v>5.94</v>
      </c>
      <c r="J2127" s="3" t="n">
        <f aca="false">IF(AND(LEFT(A2127,1)&lt;&gt;"C",D2127&gt;0,F2127&gt;0),1,0)</f>
        <v>1</v>
      </c>
      <c r="K2127" s="3" t="n">
        <f aca="false">IF(AND(H2127="United Kingdom",G2127&lt;&gt;"",COUNTIFS($G$2:G2127,G2127,$H$2:H2127,"United Kingdom")=1),1,0)</f>
        <v>0</v>
      </c>
    </row>
    <row r="2128" customFormat="false" ht="15" hidden="false" customHeight="false" outlineLevel="0" collapsed="false">
      <c r="A2128" s="0" t="s">
        <v>468</v>
      </c>
      <c r="B2128" s="0" t="s">
        <v>52</v>
      </c>
      <c r="C2128" s="0" t="s">
        <v>53</v>
      </c>
      <c r="D2128" s="0" t="n">
        <v>6</v>
      </c>
      <c r="E2128" s="2" t="n">
        <v>40751.6090277778</v>
      </c>
      <c r="F2128" s="0" t="n">
        <v>4.16</v>
      </c>
      <c r="G2128" s="0" t="n">
        <v>14758</v>
      </c>
      <c r="H2128" s="3" t="s">
        <v>14</v>
      </c>
      <c r="I2128" s="4" t="n">
        <f aca="false">D2128*F2128</f>
        <v>24.96</v>
      </c>
      <c r="J2128" s="3" t="n">
        <f aca="false">IF(AND(LEFT(A2128,1)&lt;&gt;"C",D2128&gt;0,F2128&gt;0),1,0)</f>
        <v>1</v>
      </c>
      <c r="K2128" s="3" t="n">
        <f aca="false">IF(AND(H2128="United Kingdom",G2128&lt;&gt;"",COUNTIFS($G$2:G2128,G2128,$H$2:H2128,"United Kingdom")=1),1,0)</f>
        <v>0</v>
      </c>
    </row>
    <row r="2129" customFormat="false" ht="15" hidden="false" customHeight="false" outlineLevel="0" collapsed="false">
      <c r="A2129" s="0" t="s">
        <v>469</v>
      </c>
      <c r="B2129" s="0" t="s">
        <v>52</v>
      </c>
      <c r="C2129" s="0" t="s">
        <v>53</v>
      </c>
      <c r="D2129" s="0" t="n">
        <v>2</v>
      </c>
      <c r="E2129" s="2" t="n">
        <v>40752.4548611111</v>
      </c>
      <c r="F2129" s="0" t="n">
        <v>4.16</v>
      </c>
      <c r="G2129" s="0" t="n">
        <v>13280</v>
      </c>
      <c r="H2129" s="3" t="s">
        <v>14</v>
      </c>
      <c r="I2129" s="4" t="n">
        <f aca="false">D2129*F2129</f>
        <v>8.32</v>
      </c>
      <c r="J2129" s="3" t="n">
        <f aca="false">IF(AND(LEFT(A2129,1)&lt;&gt;"C",D2129&gt;0,F2129&gt;0),1,0)</f>
        <v>1</v>
      </c>
      <c r="K2129" s="3" t="n">
        <f aca="false">IF(AND(H2129="United Kingdom",G2129&lt;&gt;"",COUNTIFS($G$2:G2129,G2129,$H$2:H2129,"United Kingdom")=1),1,0)</f>
        <v>0</v>
      </c>
    </row>
    <row r="2130" customFormat="false" ht="15" hidden="false" customHeight="false" outlineLevel="0" collapsed="false">
      <c r="A2130" s="0" t="s">
        <v>469</v>
      </c>
      <c r="B2130" s="0" t="s">
        <v>77</v>
      </c>
      <c r="C2130" s="0" t="s">
        <v>78</v>
      </c>
      <c r="D2130" s="0" t="n">
        <v>4</v>
      </c>
      <c r="E2130" s="2" t="n">
        <v>40752.4548611111</v>
      </c>
      <c r="F2130" s="0" t="n">
        <v>3.41</v>
      </c>
      <c r="G2130" s="0" t="n">
        <v>13280</v>
      </c>
      <c r="H2130" s="3" t="s">
        <v>14</v>
      </c>
      <c r="I2130" s="4" t="n">
        <f aca="false">D2130*F2130</f>
        <v>13.64</v>
      </c>
      <c r="J2130" s="3" t="n">
        <f aca="false">IF(AND(LEFT(A2130,1)&lt;&gt;"C",D2130&gt;0,F2130&gt;0),1,0)</f>
        <v>1</v>
      </c>
      <c r="K2130" s="3" t="n">
        <f aca="false">IF(AND(H2130="United Kingdom",G2130&lt;&gt;"",COUNTIFS($G$2:G2130,G2130,$H$2:H2130,"United Kingdom")=1),1,0)</f>
        <v>0</v>
      </c>
    </row>
    <row r="2131" customFormat="false" ht="15" hidden="false" customHeight="false" outlineLevel="0" collapsed="false">
      <c r="A2131" s="0" t="s">
        <v>469</v>
      </c>
      <c r="B2131" s="0" t="s">
        <v>27</v>
      </c>
      <c r="C2131" s="0" t="s">
        <v>28</v>
      </c>
      <c r="D2131" s="0" t="n">
        <v>6</v>
      </c>
      <c r="E2131" s="2" t="n">
        <v>40752.4548611111</v>
      </c>
      <c r="F2131" s="0" t="n">
        <v>4.55</v>
      </c>
      <c r="G2131" s="0" t="n">
        <v>13280</v>
      </c>
      <c r="H2131" s="3" t="s">
        <v>14</v>
      </c>
      <c r="I2131" s="4" t="n">
        <f aca="false">D2131*F2131</f>
        <v>27.3</v>
      </c>
      <c r="J2131" s="3" t="n">
        <f aca="false">IF(AND(LEFT(A2131,1)&lt;&gt;"C",D2131&gt;0,F2131&gt;0),1,0)</f>
        <v>1</v>
      </c>
      <c r="K2131" s="3" t="n">
        <f aca="false">IF(AND(H2131="United Kingdom",G2131&lt;&gt;"",COUNTIFS($G$2:G2131,G2131,$H$2:H2131,"United Kingdom")=1),1,0)</f>
        <v>0</v>
      </c>
    </row>
    <row r="2132" customFormat="false" ht="15" hidden="false" customHeight="false" outlineLevel="0" collapsed="false">
      <c r="A2132" s="0" t="s">
        <v>470</v>
      </c>
      <c r="B2132" s="0" t="s">
        <v>34</v>
      </c>
      <c r="C2132" s="0" t="s">
        <v>35</v>
      </c>
      <c r="D2132" s="0" t="n">
        <v>8</v>
      </c>
      <c r="E2132" s="2" t="n">
        <v>40752.5833333333</v>
      </c>
      <c r="F2132" s="0" t="n">
        <v>2.38</v>
      </c>
      <c r="G2132" s="0" t="n">
        <v>13513</v>
      </c>
      <c r="H2132" s="3" t="s">
        <v>97</v>
      </c>
      <c r="I2132" s="4" t="n">
        <f aca="false">D2132*F2132</f>
        <v>19.04</v>
      </c>
      <c r="J2132" s="3" t="n">
        <f aca="false">IF(AND(LEFT(A2132,1)&lt;&gt;"C",D2132&gt;0,F2132&gt;0),1,0)</f>
        <v>1</v>
      </c>
      <c r="K2132" s="3" t="n">
        <f aca="false">IF(AND(H2132="United Kingdom",G2132&lt;&gt;"",COUNTIFS($G$2:G2132,G2132,$H$2:H2132,"United Kingdom")=1),1,0)</f>
        <v>0</v>
      </c>
    </row>
    <row r="2133" customFormat="false" ht="15" hidden="false" customHeight="false" outlineLevel="0" collapsed="false">
      <c r="A2133" s="0" t="s">
        <v>470</v>
      </c>
      <c r="B2133" s="0" t="s">
        <v>15</v>
      </c>
      <c r="C2133" s="0" t="s">
        <v>16</v>
      </c>
      <c r="D2133" s="0" t="n">
        <v>48</v>
      </c>
      <c r="E2133" s="2" t="n">
        <v>40752.5833333333</v>
      </c>
      <c r="F2133" s="0" t="n">
        <v>3.18</v>
      </c>
      <c r="G2133" s="0" t="n">
        <v>13513</v>
      </c>
      <c r="H2133" s="3" t="s">
        <v>97</v>
      </c>
      <c r="I2133" s="4" t="n">
        <f aca="false">D2133*F2133</f>
        <v>152.64</v>
      </c>
      <c r="J2133" s="3" t="n">
        <f aca="false">IF(AND(LEFT(A2133,1)&lt;&gt;"C",D2133&gt;0,F2133&gt;0),1,0)</f>
        <v>1</v>
      </c>
      <c r="K2133" s="3" t="n">
        <f aca="false">IF(AND(H2133="United Kingdom",G2133&lt;&gt;"",COUNTIFS($G$2:G2133,G2133,$H$2:H2133,"United Kingdom")=1),1,0)</f>
        <v>0</v>
      </c>
    </row>
    <row r="2134" customFormat="false" ht="15" hidden="false" customHeight="false" outlineLevel="0" collapsed="false">
      <c r="A2134" s="0" t="s">
        <v>470</v>
      </c>
      <c r="B2134" s="0" t="s">
        <v>48</v>
      </c>
      <c r="C2134" s="0" t="s">
        <v>49</v>
      </c>
      <c r="D2134" s="0" t="n">
        <v>8</v>
      </c>
      <c r="E2134" s="2" t="n">
        <v>40752.5833333333</v>
      </c>
      <c r="F2134" s="0" t="n">
        <v>1.35</v>
      </c>
      <c r="G2134" s="0" t="n">
        <v>13513</v>
      </c>
      <c r="H2134" s="3" t="s">
        <v>97</v>
      </c>
      <c r="I2134" s="4" t="n">
        <f aca="false">D2134*F2134</f>
        <v>10.8</v>
      </c>
      <c r="J2134" s="3" t="n">
        <f aca="false">IF(AND(LEFT(A2134,1)&lt;&gt;"C",D2134&gt;0,F2134&gt;0),1,0)</f>
        <v>1</v>
      </c>
      <c r="K2134" s="3" t="n">
        <f aca="false">IF(AND(H2134="United Kingdom",G2134&lt;&gt;"",COUNTIFS($G$2:G2134,G2134,$H$2:H2134,"United Kingdom")=1),1,0)</f>
        <v>0</v>
      </c>
    </row>
    <row r="2135" customFormat="false" ht="15" hidden="false" customHeight="false" outlineLevel="0" collapsed="false">
      <c r="A2135" s="0" t="s">
        <v>471</v>
      </c>
      <c r="B2135" s="0" t="s">
        <v>34</v>
      </c>
      <c r="C2135" s="0" t="s">
        <v>35</v>
      </c>
      <c r="D2135" s="0" t="n">
        <v>1</v>
      </c>
      <c r="E2135" s="2" t="n">
        <v>40753.4805555556</v>
      </c>
      <c r="F2135" s="0" t="n">
        <v>2.38</v>
      </c>
      <c r="G2135" s="0" t="n">
        <v>16228</v>
      </c>
      <c r="H2135" s="3" t="s">
        <v>14</v>
      </c>
      <c r="I2135" s="4" t="n">
        <f aca="false">D2135*F2135</f>
        <v>2.38</v>
      </c>
      <c r="J2135" s="3" t="n">
        <f aca="false">IF(AND(LEFT(A2135,1)&lt;&gt;"C",D2135&gt;0,F2135&gt;0),1,0)</f>
        <v>1</v>
      </c>
      <c r="K2135" s="3" t="n">
        <f aca="false">IF(AND(H2135="United Kingdom",G2135&lt;&gt;"",COUNTIFS($G$2:G2135,G2135,$H$2:H2135,"United Kingdom")=1),1,0)</f>
        <v>0</v>
      </c>
    </row>
    <row r="2136" customFormat="false" ht="15" hidden="false" customHeight="false" outlineLevel="0" collapsed="false">
      <c r="A2136" s="0" t="s">
        <v>471</v>
      </c>
      <c r="B2136" s="0" t="s">
        <v>29</v>
      </c>
      <c r="C2136" s="0" t="s">
        <v>30</v>
      </c>
      <c r="D2136" s="0" t="n">
        <v>4</v>
      </c>
      <c r="E2136" s="2" t="n">
        <v>40753.4805555556</v>
      </c>
      <c r="F2136" s="0" t="n">
        <v>5.79</v>
      </c>
      <c r="G2136" s="0" t="n">
        <v>16228</v>
      </c>
      <c r="H2136" s="3" t="s">
        <v>14</v>
      </c>
      <c r="I2136" s="4" t="n">
        <f aca="false">D2136*F2136</f>
        <v>23.16</v>
      </c>
      <c r="J2136" s="3" t="n">
        <f aca="false">IF(AND(LEFT(A2136,1)&lt;&gt;"C",D2136&gt;0,F2136&gt;0),1,0)</f>
        <v>1</v>
      </c>
      <c r="K2136" s="3" t="n">
        <f aca="false">IF(AND(H2136="United Kingdom",G2136&lt;&gt;"",COUNTIFS($G$2:G2136,G2136,$H$2:H2136,"United Kingdom")=1),1,0)</f>
        <v>0</v>
      </c>
    </row>
    <row r="2137" customFormat="false" ht="15" hidden="false" customHeight="false" outlineLevel="0" collapsed="false">
      <c r="A2137" s="0" t="s">
        <v>471</v>
      </c>
      <c r="B2137" s="0" t="s">
        <v>22</v>
      </c>
      <c r="C2137" s="0" t="s">
        <v>23</v>
      </c>
      <c r="D2137" s="0" t="n">
        <v>1</v>
      </c>
      <c r="E2137" s="2" t="n">
        <v>40753.4805555556</v>
      </c>
      <c r="F2137" s="0" t="n">
        <v>3.18</v>
      </c>
      <c r="G2137" s="0" t="n">
        <v>16228</v>
      </c>
      <c r="H2137" s="3" t="s">
        <v>14</v>
      </c>
      <c r="I2137" s="4" t="n">
        <f aca="false">D2137*F2137</f>
        <v>3.18</v>
      </c>
      <c r="J2137" s="3" t="n">
        <f aca="false">IF(AND(LEFT(A2137,1)&lt;&gt;"C",D2137&gt;0,F2137&gt;0),1,0)</f>
        <v>1</v>
      </c>
      <c r="K2137" s="3" t="n">
        <f aca="false">IF(AND(H2137="United Kingdom",G2137&lt;&gt;"",COUNTIFS($G$2:G2137,G2137,$H$2:H2137,"United Kingdom")=1),1,0)</f>
        <v>0</v>
      </c>
    </row>
    <row r="2138" customFormat="false" ht="15" hidden="false" customHeight="false" outlineLevel="0" collapsed="false">
      <c r="A2138" s="0" t="s">
        <v>471</v>
      </c>
      <c r="B2138" s="0" t="s">
        <v>50</v>
      </c>
      <c r="C2138" s="0" t="s">
        <v>51</v>
      </c>
      <c r="D2138" s="0" t="n">
        <v>4</v>
      </c>
      <c r="E2138" s="2" t="n">
        <v>40753.4805555556</v>
      </c>
      <c r="F2138" s="0" t="n">
        <v>5.41</v>
      </c>
      <c r="G2138" s="0" t="n">
        <v>16228</v>
      </c>
      <c r="H2138" s="3" t="s">
        <v>14</v>
      </c>
      <c r="I2138" s="4" t="n">
        <f aca="false">D2138*F2138</f>
        <v>21.64</v>
      </c>
      <c r="J2138" s="3" t="n">
        <f aca="false">IF(AND(LEFT(A2138,1)&lt;&gt;"C",D2138&gt;0,F2138&gt;0),1,0)</f>
        <v>1</v>
      </c>
      <c r="K2138" s="3" t="n">
        <f aca="false">IF(AND(H2138="United Kingdom",G2138&lt;&gt;"",COUNTIFS($G$2:G2138,G2138,$H$2:H2138,"United Kingdom")=1),1,0)</f>
        <v>0</v>
      </c>
    </row>
    <row r="2139" customFormat="false" ht="15" hidden="false" customHeight="false" outlineLevel="0" collapsed="false">
      <c r="A2139" s="0" t="s">
        <v>472</v>
      </c>
      <c r="B2139" s="0" t="s">
        <v>32</v>
      </c>
      <c r="C2139" s="0" t="s">
        <v>33</v>
      </c>
      <c r="D2139" s="0" t="n">
        <v>6</v>
      </c>
      <c r="E2139" s="2" t="n">
        <v>40754.6763888889</v>
      </c>
      <c r="F2139" s="0" t="n">
        <v>1.19</v>
      </c>
      <c r="G2139" s="0" t="n">
        <v>17650</v>
      </c>
      <c r="H2139" s="3" t="s">
        <v>57</v>
      </c>
      <c r="I2139" s="4" t="n">
        <f aca="false">D2139*F2139</f>
        <v>7.14</v>
      </c>
      <c r="J2139" s="3" t="n">
        <f aca="false">IF(AND(LEFT(A2139,1)&lt;&gt;"C",D2139&gt;0,F2139&gt;0),1,0)</f>
        <v>1</v>
      </c>
      <c r="K2139" s="3" t="n">
        <f aca="false">IF(AND(H2139="United Kingdom",G2139&lt;&gt;"",COUNTIFS($G$2:G2139,G2139,$H$2:H2139,"United Kingdom")=1),1,0)</f>
        <v>0</v>
      </c>
    </row>
    <row r="2140" customFormat="false" ht="15" hidden="false" customHeight="false" outlineLevel="0" collapsed="false">
      <c r="A2140" s="0" t="s">
        <v>472</v>
      </c>
      <c r="B2140" s="0" t="s">
        <v>17</v>
      </c>
      <c r="C2140" s="0" t="s">
        <v>18</v>
      </c>
      <c r="D2140" s="0" t="n">
        <v>6</v>
      </c>
      <c r="E2140" s="2" t="n">
        <v>40754.6763888889</v>
      </c>
      <c r="F2140" s="0" t="n">
        <v>1.92</v>
      </c>
      <c r="G2140" s="0" t="n">
        <v>17650</v>
      </c>
      <c r="H2140" s="3" t="s">
        <v>57</v>
      </c>
      <c r="I2140" s="4" t="n">
        <f aca="false">D2140*F2140</f>
        <v>11.52</v>
      </c>
      <c r="J2140" s="3" t="n">
        <f aca="false">IF(AND(LEFT(A2140,1)&lt;&gt;"C",D2140&gt;0,F2140&gt;0),1,0)</f>
        <v>1</v>
      </c>
      <c r="K2140" s="3" t="n">
        <f aca="false">IF(AND(H2140="United Kingdom",G2140&lt;&gt;"",COUNTIFS($G$2:G2140,G2140,$H$2:H2140,"United Kingdom")=1),1,0)</f>
        <v>0</v>
      </c>
    </row>
    <row r="2141" customFormat="false" ht="15" hidden="false" customHeight="false" outlineLevel="0" collapsed="false">
      <c r="A2141" s="0" t="s">
        <v>472</v>
      </c>
      <c r="B2141" s="0" t="s">
        <v>15</v>
      </c>
      <c r="C2141" s="0" t="s">
        <v>16</v>
      </c>
      <c r="D2141" s="0" t="n">
        <v>6</v>
      </c>
      <c r="E2141" s="2" t="n">
        <v>40754.6763888889</v>
      </c>
      <c r="F2141" s="0" t="n">
        <v>3.18</v>
      </c>
      <c r="G2141" s="0" t="n">
        <v>17650</v>
      </c>
      <c r="H2141" s="3" t="s">
        <v>57</v>
      </c>
      <c r="I2141" s="4" t="n">
        <f aca="false">D2141*F2141</f>
        <v>19.08</v>
      </c>
      <c r="J2141" s="3" t="n">
        <f aca="false">IF(AND(LEFT(A2141,1)&lt;&gt;"C",D2141&gt;0,F2141&gt;0),1,0)</f>
        <v>1</v>
      </c>
      <c r="K2141" s="3" t="n">
        <f aca="false">IF(AND(H2141="United Kingdom",G2141&lt;&gt;"",COUNTIFS($G$2:G2141,G2141,$H$2:H2141,"United Kingdom")=1),1,0)</f>
        <v>0</v>
      </c>
    </row>
    <row r="2142" customFormat="false" ht="15" hidden="false" customHeight="false" outlineLevel="0" collapsed="false">
      <c r="A2142" s="0" t="s">
        <v>472</v>
      </c>
      <c r="B2142" s="0" t="s">
        <v>54</v>
      </c>
      <c r="C2142" s="0" t="s">
        <v>55</v>
      </c>
      <c r="D2142" s="0" t="n">
        <v>9</v>
      </c>
      <c r="E2142" s="2" t="n">
        <v>40754.6763888889</v>
      </c>
      <c r="F2142" s="0" t="n">
        <v>0.99</v>
      </c>
      <c r="G2142" s="0" t="n">
        <v>17650</v>
      </c>
      <c r="H2142" s="3" t="s">
        <v>57</v>
      </c>
      <c r="I2142" s="4" t="n">
        <f aca="false">D2142*F2142</f>
        <v>8.91</v>
      </c>
      <c r="J2142" s="3" t="n">
        <f aca="false">IF(AND(LEFT(A2142,1)&lt;&gt;"C",D2142&gt;0,F2142&gt;0),1,0)</f>
        <v>1</v>
      </c>
      <c r="K2142" s="3" t="n">
        <f aca="false">IF(AND(H2142="United Kingdom",G2142&lt;&gt;"",COUNTIFS($G$2:G2142,G2142,$H$2:H2142,"United Kingdom")=1),1,0)</f>
        <v>0</v>
      </c>
    </row>
    <row r="2143" customFormat="false" ht="15" hidden="false" customHeight="false" outlineLevel="0" collapsed="false">
      <c r="A2143" s="0" t="s">
        <v>472</v>
      </c>
      <c r="B2143" s="0" t="s">
        <v>63</v>
      </c>
      <c r="C2143" s="0" t="s">
        <v>64</v>
      </c>
      <c r="D2143" s="0" t="n">
        <v>6</v>
      </c>
      <c r="E2143" s="2" t="n">
        <v>40754.6763888889</v>
      </c>
      <c r="F2143" s="0" t="n">
        <v>2.43</v>
      </c>
      <c r="G2143" s="0" t="n">
        <v>17650</v>
      </c>
      <c r="H2143" s="3" t="s">
        <v>57</v>
      </c>
      <c r="I2143" s="4" t="n">
        <f aca="false">D2143*F2143</f>
        <v>14.58</v>
      </c>
      <c r="J2143" s="3" t="n">
        <f aca="false">IF(AND(LEFT(A2143,1)&lt;&gt;"C",D2143&gt;0,F2143&gt;0),1,0)</f>
        <v>1</v>
      </c>
      <c r="K2143" s="3" t="n">
        <f aca="false">IF(AND(H2143="United Kingdom",G2143&lt;&gt;"",COUNTIFS($G$2:G2143,G2143,$H$2:H2143,"United Kingdom")=1),1,0)</f>
        <v>0</v>
      </c>
    </row>
    <row r="2144" customFormat="false" ht="15" hidden="false" customHeight="false" outlineLevel="0" collapsed="false">
      <c r="A2144" s="0" t="s">
        <v>472</v>
      </c>
      <c r="B2144" s="0" t="s">
        <v>27</v>
      </c>
      <c r="C2144" s="0" t="s">
        <v>28</v>
      </c>
      <c r="D2144" s="0" t="n">
        <v>6</v>
      </c>
      <c r="E2144" s="2" t="n">
        <v>40754.6763888889</v>
      </c>
      <c r="F2144" s="0" t="n">
        <v>4.55</v>
      </c>
      <c r="G2144" s="0" t="n">
        <v>17650</v>
      </c>
      <c r="H2144" s="3" t="s">
        <v>57</v>
      </c>
      <c r="I2144" s="4" t="n">
        <f aca="false">D2144*F2144</f>
        <v>27.3</v>
      </c>
      <c r="J2144" s="3" t="n">
        <f aca="false">IF(AND(LEFT(A2144,1)&lt;&gt;"C",D2144&gt;0,F2144&gt;0),1,0)</f>
        <v>1</v>
      </c>
      <c r="K2144" s="3" t="n">
        <f aca="false">IF(AND(H2144="United Kingdom",G2144&lt;&gt;"",COUNTIFS($G$2:G2144,G2144,$H$2:H2144,"United Kingdom")=1),1,0)</f>
        <v>0</v>
      </c>
    </row>
    <row r="2145" customFormat="false" ht="15" hidden="false" customHeight="false" outlineLevel="0" collapsed="false">
      <c r="A2145" s="0" t="s">
        <v>473</v>
      </c>
      <c r="B2145" s="0" t="s">
        <v>15</v>
      </c>
      <c r="C2145" s="0" t="s">
        <v>16</v>
      </c>
      <c r="D2145" s="0" t="n">
        <v>72</v>
      </c>
      <c r="E2145" s="2" t="n">
        <v>40754.73125</v>
      </c>
      <c r="F2145" s="0" t="n">
        <v>3.18</v>
      </c>
      <c r="G2145" s="0" t="n">
        <v>15353</v>
      </c>
      <c r="H2145" s="3" t="s">
        <v>101</v>
      </c>
      <c r="I2145" s="4" t="n">
        <f aca="false">D2145*F2145</f>
        <v>228.96</v>
      </c>
      <c r="J2145" s="3" t="n">
        <f aca="false">IF(AND(LEFT(A2145,1)&lt;&gt;"C",D2145&gt;0,F2145&gt;0),1,0)</f>
        <v>1</v>
      </c>
      <c r="K2145" s="3" t="n">
        <f aca="false">IF(AND(H2145="United Kingdom",G2145&lt;&gt;"",COUNTIFS($G$2:G2145,G2145,$H$2:H2145,"United Kingdom")=1),1,0)</f>
        <v>0</v>
      </c>
    </row>
    <row r="2146" customFormat="false" ht="15" hidden="false" customHeight="false" outlineLevel="0" collapsed="false">
      <c r="A2146" s="0" t="s">
        <v>473</v>
      </c>
      <c r="B2146" s="0" t="s">
        <v>65</v>
      </c>
      <c r="C2146" s="0" t="s">
        <v>66</v>
      </c>
      <c r="D2146" s="0" t="n">
        <v>36</v>
      </c>
      <c r="E2146" s="2" t="n">
        <v>40754.73125</v>
      </c>
      <c r="F2146" s="0" t="n">
        <v>4.75</v>
      </c>
      <c r="G2146" s="0" t="n">
        <v>15353</v>
      </c>
      <c r="H2146" s="3" t="s">
        <v>101</v>
      </c>
      <c r="I2146" s="4" t="n">
        <f aca="false">D2146*F2146</f>
        <v>171</v>
      </c>
      <c r="J2146" s="3" t="n">
        <f aca="false">IF(AND(LEFT(A2146,1)&lt;&gt;"C",D2146&gt;0,F2146&gt;0),1,0)</f>
        <v>1</v>
      </c>
      <c r="K2146" s="3" t="n">
        <f aca="false">IF(AND(H2146="United Kingdom",G2146&lt;&gt;"",COUNTIFS($G$2:G2146,G2146,$H$2:H2146,"United Kingdom")=1),1,0)</f>
        <v>0</v>
      </c>
    </row>
    <row r="2147" customFormat="false" ht="15" hidden="false" customHeight="false" outlineLevel="0" collapsed="false">
      <c r="A2147" s="0" t="s">
        <v>473</v>
      </c>
      <c r="B2147" s="0" t="s">
        <v>20</v>
      </c>
      <c r="C2147" s="0" t="s">
        <v>21</v>
      </c>
      <c r="D2147" s="0" t="n">
        <v>288</v>
      </c>
      <c r="E2147" s="2" t="n">
        <v>40754.73125</v>
      </c>
      <c r="F2147" s="0" t="n">
        <v>4.24</v>
      </c>
      <c r="G2147" s="0" t="n">
        <v>15353</v>
      </c>
      <c r="H2147" s="3" t="s">
        <v>101</v>
      </c>
      <c r="I2147" s="4" t="n">
        <f aca="false">D2147*F2147</f>
        <v>1221.12</v>
      </c>
      <c r="J2147" s="3" t="n">
        <f aca="false">IF(AND(LEFT(A2147,1)&lt;&gt;"C",D2147&gt;0,F2147&gt;0),1,0)</f>
        <v>1</v>
      </c>
      <c r="K2147" s="3" t="n">
        <f aca="false">IF(AND(H2147="United Kingdom",G2147&lt;&gt;"",COUNTIFS($G$2:G2147,G2147,$H$2:H2147,"United Kingdom")=1),1,0)</f>
        <v>0</v>
      </c>
    </row>
    <row r="2148" customFormat="false" ht="15" hidden="false" customHeight="false" outlineLevel="0" collapsed="false">
      <c r="A2148" s="0" t="s">
        <v>473</v>
      </c>
      <c r="B2148" s="0" t="s">
        <v>72</v>
      </c>
      <c r="C2148" s="0" t="s">
        <v>73</v>
      </c>
      <c r="D2148" s="0" t="n">
        <v>288</v>
      </c>
      <c r="E2148" s="2" t="n">
        <v>40754.73125</v>
      </c>
      <c r="F2148" s="0" t="n">
        <v>2.69</v>
      </c>
      <c r="G2148" s="0" t="n">
        <v>15353</v>
      </c>
      <c r="H2148" s="3" t="s">
        <v>101</v>
      </c>
      <c r="I2148" s="4" t="n">
        <f aca="false">D2148*F2148</f>
        <v>774.72</v>
      </c>
      <c r="J2148" s="3" t="n">
        <f aca="false">IF(AND(LEFT(A2148,1)&lt;&gt;"C",D2148&gt;0,F2148&gt;0),1,0)</f>
        <v>1</v>
      </c>
      <c r="K2148" s="3" t="n">
        <f aca="false">IF(AND(H2148="United Kingdom",G2148&lt;&gt;"",COUNTIFS($G$2:G2148,G2148,$H$2:H2148,"United Kingdom")=1),1,0)</f>
        <v>0</v>
      </c>
    </row>
    <row r="2149" customFormat="false" ht="15" hidden="false" customHeight="false" outlineLevel="0" collapsed="false">
      <c r="A2149" s="0" t="s">
        <v>473</v>
      </c>
      <c r="B2149" s="0" t="s">
        <v>90</v>
      </c>
      <c r="C2149" s="0" t="s">
        <v>91</v>
      </c>
      <c r="D2149" s="0" t="n">
        <v>12</v>
      </c>
      <c r="E2149" s="2" t="n">
        <v>40754.73125</v>
      </c>
      <c r="F2149" s="0" t="n">
        <v>3.04</v>
      </c>
      <c r="G2149" s="0" t="n">
        <v>15353</v>
      </c>
      <c r="H2149" s="3" t="s">
        <v>101</v>
      </c>
      <c r="I2149" s="4" t="n">
        <f aca="false">D2149*F2149</f>
        <v>36.48</v>
      </c>
      <c r="J2149" s="3" t="n">
        <f aca="false">IF(AND(LEFT(A2149,1)&lt;&gt;"C",D2149&gt;0,F2149&gt;0),1,0)</f>
        <v>1</v>
      </c>
      <c r="K2149" s="3" t="n">
        <f aca="false">IF(AND(H2149="United Kingdom",G2149&lt;&gt;"",COUNTIFS($G$2:G2149,G2149,$H$2:H2149,"United Kingdom")=1),1,0)</f>
        <v>0</v>
      </c>
    </row>
    <row r="2150" customFormat="false" ht="15" hidden="false" customHeight="false" outlineLevel="0" collapsed="false">
      <c r="A2150" s="0" t="s">
        <v>473</v>
      </c>
      <c r="B2150" s="0" t="s">
        <v>68</v>
      </c>
      <c r="C2150" s="0" t="s">
        <v>69</v>
      </c>
      <c r="D2150" s="0" t="n">
        <v>18</v>
      </c>
      <c r="E2150" s="2" t="n">
        <v>40754.73125</v>
      </c>
      <c r="F2150" s="0" t="n">
        <v>1.26</v>
      </c>
      <c r="G2150" s="0" t="n">
        <v>15353</v>
      </c>
      <c r="H2150" s="3" t="s">
        <v>101</v>
      </c>
      <c r="I2150" s="4" t="n">
        <f aca="false">D2150*F2150</f>
        <v>22.68</v>
      </c>
      <c r="J2150" s="3" t="n">
        <f aca="false">IF(AND(LEFT(A2150,1)&lt;&gt;"C",D2150&gt;0,F2150&gt;0),1,0)</f>
        <v>1</v>
      </c>
      <c r="K2150" s="3" t="n">
        <f aca="false">IF(AND(H2150="United Kingdom",G2150&lt;&gt;"",COUNTIFS($G$2:G2150,G2150,$H$2:H2150,"United Kingdom")=1),1,0)</f>
        <v>0</v>
      </c>
    </row>
    <row r="2151" customFormat="false" ht="15" hidden="false" customHeight="false" outlineLevel="0" collapsed="false">
      <c r="A2151" s="0" t="s">
        <v>473</v>
      </c>
      <c r="B2151" s="0" t="s">
        <v>43</v>
      </c>
      <c r="C2151" s="0" t="s">
        <v>44</v>
      </c>
      <c r="D2151" s="0" t="n">
        <v>72</v>
      </c>
      <c r="E2151" s="2" t="n">
        <v>40754.73125</v>
      </c>
      <c r="F2151" s="0" t="n">
        <v>1.35</v>
      </c>
      <c r="G2151" s="0" t="n">
        <v>15353</v>
      </c>
      <c r="H2151" s="3" t="s">
        <v>101</v>
      </c>
      <c r="I2151" s="4" t="n">
        <f aca="false">D2151*F2151</f>
        <v>97.2</v>
      </c>
      <c r="J2151" s="3" t="n">
        <f aca="false">IF(AND(LEFT(A2151,1)&lt;&gt;"C",D2151&gt;0,F2151&gt;0),1,0)</f>
        <v>1</v>
      </c>
      <c r="K2151" s="3" t="n">
        <f aca="false">IF(AND(H2151="United Kingdom",G2151&lt;&gt;"",COUNTIFS($G$2:G2151,G2151,$H$2:H2151,"United Kingdom")=1),1,0)</f>
        <v>0</v>
      </c>
    </row>
    <row r="2152" customFormat="false" ht="15" hidden="false" customHeight="false" outlineLevel="0" collapsed="false">
      <c r="A2152" s="0" t="s">
        <v>473</v>
      </c>
      <c r="B2152" s="0" t="s">
        <v>22</v>
      </c>
      <c r="C2152" s="0" t="s">
        <v>23</v>
      </c>
      <c r="D2152" s="0" t="n">
        <v>192</v>
      </c>
      <c r="E2152" s="2" t="n">
        <v>40754.73125</v>
      </c>
      <c r="F2152" s="0" t="n">
        <v>3.18</v>
      </c>
      <c r="G2152" s="0" t="n">
        <v>15353</v>
      </c>
      <c r="H2152" s="3" t="s">
        <v>101</v>
      </c>
      <c r="I2152" s="4" t="n">
        <f aca="false">D2152*F2152</f>
        <v>610.56</v>
      </c>
      <c r="J2152" s="3" t="n">
        <f aca="false">IF(AND(LEFT(A2152,1)&lt;&gt;"C",D2152&gt;0,F2152&gt;0),1,0)</f>
        <v>1</v>
      </c>
      <c r="K2152" s="3" t="n">
        <f aca="false">IF(AND(H2152="United Kingdom",G2152&lt;&gt;"",COUNTIFS($G$2:G2152,G2152,$H$2:H2152,"United Kingdom")=1),1,0)</f>
        <v>0</v>
      </c>
    </row>
    <row r="2153" customFormat="false" ht="15" hidden="false" customHeight="false" outlineLevel="0" collapsed="false">
      <c r="A2153" s="0" t="s">
        <v>473</v>
      </c>
      <c r="B2153" s="0" t="s">
        <v>77</v>
      </c>
      <c r="C2153" s="0" t="s">
        <v>78</v>
      </c>
      <c r="D2153" s="0" t="n">
        <v>72</v>
      </c>
      <c r="E2153" s="2" t="n">
        <v>40754.73125</v>
      </c>
      <c r="F2153" s="0" t="n">
        <v>3.41</v>
      </c>
      <c r="G2153" s="0" t="n">
        <v>15353</v>
      </c>
      <c r="H2153" s="3" t="s">
        <v>101</v>
      </c>
      <c r="I2153" s="4" t="n">
        <f aca="false">D2153*F2153</f>
        <v>245.52</v>
      </c>
      <c r="J2153" s="3" t="n">
        <f aca="false">IF(AND(LEFT(A2153,1)&lt;&gt;"C",D2153&gt;0,F2153&gt;0),1,0)</f>
        <v>1</v>
      </c>
      <c r="K2153" s="3" t="n">
        <f aca="false">IF(AND(H2153="United Kingdom",G2153&lt;&gt;"",COUNTIFS($G$2:G2153,G2153,$H$2:H2153,"United Kingdom")=1),1,0)</f>
        <v>0</v>
      </c>
    </row>
    <row r="2154" customFormat="false" ht="15" hidden="false" customHeight="false" outlineLevel="0" collapsed="false">
      <c r="A2154" s="0" t="s">
        <v>474</v>
      </c>
      <c r="B2154" s="0" t="s">
        <v>25</v>
      </c>
      <c r="C2154" s="0" t="s">
        <v>26</v>
      </c>
      <c r="D2154" s="0" t="n">
        <v>-8</v>
      </c>
      <c r="E2154" s="2" t="n">
        <v>40755.7493055556</v>
      </c>
      <c r="F2154" s="0" t="n">
        <v>2.21</v>
      </c>
      <c r="G2154" s="0" t="n">
        <v>18051</v>
      </c>
      <c r="H2154" s="3" t="s">
        <v>14</v>
      </c>
      <c r="I2154" s="4" t="n">
        <f aca="false">D2154*F2154</f>
        <v>-17.68</v>
      </c>
      <c r="J2154" s="3" t="n">
        <f aca="false">IF(AND(LEFT(A2154,1)&lt;&gt;"C",D2154&gt;0,F2154&gt;0),1,0)</f>
        <v>0</v>
      </c>
      <c r="K2154" s="3" t="n">
        <f aca="false">IF(AND(H2154="United Kingdom",G2154&lt;&gt;"",COUNTIFS($G$2:G2154,G2154,$H$2:H2154,"United Kingdom")=1),1,0)</f>
        <v>0</v>
      </c>
    </row>
    <row r="2155" customFormat="false" ht="15" hidden="false" customHeight="false" outlineLevel="0" collapsed="false">
      <c r="A2155" s="0" t="s">
        <v>475</v>
      </c>
      <c r="B2155" s="0" t="s">
        <v>80</v>
      </c>
      <c r="C2155" s="0" t="s">
        <v>81</v>
      </c>
      <c r="D2155" s="0" t="n">
        <v>25</v>
      </c>
      <c r="E2155" s="2" t="n">
        <v>40757.6590277778</v>
      </c>
      <c r="F2155" s="0" t="n">
        <v>1.53</v>
      </c>
      <c r="G2155" s="0" t="n">
        <v>14222</v>
      </c>
      <c r="H2155" s="3" t="s">
        <v>57</v>
      </c>
      <c r="I2155" s="4" t="n">
        <f aca="false">D2155*F2155</f>
        <v>38.25</v>
      </c>
      <c r="J2155" s="3" t="n">
        <f aca="false">IF(AND(LEFT(A2155,1)&lt;&gt;"C",D2155&gt;0,F2155&gt;0),1,0)</f>
        <v>1</v>
      </c>
      <c r="K2155" s="3" t="n">
        <f aca="false">IF(AND(H2155="United Kingdom",G2155&lt;&gt;"",COUNTIFS($G$2:G2155,G2155,$H$2:H2155,"United Kingdom")=1),1,0)</f>
        <v>0</v>
      </c>
    </row>
    <row r="2156" customFormat="false" ht="15" hidden="false" customHeight="false" outlineLevel="0" collapsed="false">
      <c r="A2156" s="0" t="s">
        <v>475</v>
      </c>
      <c r="B2156" s="0" t="s">
        <v>60</v>
      </c>
      <c r="C2156" s="0" t="s">
        <v>61</v>
      </c>
      <c r="D2156" s="0" t="n">
        <v>6</v>
      </c>
      <c r="E2156" s="2" t="n">
        <v>40757.6590277778</v>
      </c>
      <c r="F2156" s="0" t="n">
        <v>0.63</v>
      </c>
      <c r="G2156" s="0" t="n">
        <v>14222</v>
      </c>
      <c r="H2156" s="3" t="s">
        <v>57</v>
      </c>
      <c r="I2156" s="4" t="n">
        <f aca="false">D2156*F2156</f>
        <v>3.78</v>
      </c>
      <c r="J2156" s="3" t="n">
        <f aca="false">IF(AND(LEFT(A2156,1)&lt;&gt;"C",D2156&gt;0,F2156&gt;0),1,0)</f>
        <v>1</v>
      </c>
      <c r="K2156" s="3" t="n">
        <f aca="false">IF(AND(H2156="United Kingdom",G2156&lt;&gt;"",COUNTIFS($G$2:G2156,G2156,$H$2:H2156,"United Kingdom")=1),1,0)</f>
        <v>0</v>
      </c>
    </row>
    <row r="2157" customFormat="false" ht="15" hidden="false" customHeight="false" outlineLevel="0" collapsed="false">
      <c r="A2157" s="0" t="s">
        <v>475</v>
      </c>
      <c r="B2157" s="0" t="s">
        <v>72</v>
      </c>
      <c r="C2157" s="0" t="s">
        <v>73</v>
      </c>
      <c r="D2157" s="0" t="n">
        <v>6</v>
      </c>
      <c r="E2157" s="2" t="n">
        <v>40757.6590277778</v>
      </c>
      <c r="F2157" s="0" t="n">
        <v>2.69</v>
      </c>
      <c r="G2157" s="0" t="n">
        <v>14222</v>
      </c>
      <c r="H2157" s="3" t="s">
        <v>57</v>
      </c>
      <c r="I2157" s="4" t="n">
        <f aca="false">D2157*F2157</f>
        <v>16.14</v>
      </c>
      <c r="J2157" s="3" t="n">
        <f aca="false">IF(AND(LEFT(A2157,1)&lt;&gt;"C",D2157&gt;0,F2157&gt;0),1,0)</f>
        <v>1</v>
      </c>
      <c r="K2157" s="3" t="n">
        <f aca="false">IF(AND(H2157="United Kingdom",G2157&lt;&gt;"",COUNTIFS($G$2:G2157,G2157,$H$2:H2157,"United Kingdom")=1),1,0)</f>
        <v>0</v>
      </c>
    </row>
    <row r="2158" customFormat="false" ht="15" hidden="false" customHeight="false" outlineLevel="0" collapsed="false">
      <c r="A2158" s="0" t="s">
        <v>476</v>
      </c>
      <c r="B2158" s="0" t="s">
        <v>80</v>
      </c>
      <c r="C2158" s="0" t="s">
        <v>81</v>
      </c>
      <c r="D2158" s="0" t="n">
        <v>6</v>
      </c>
      <c r="E2158" s="2" t="n">
        <v>40758.3333333333</v>
      </c>
      <c r="F2158" s="0" t="n">
        <v>1.53</v>
      </c>
      <c r="G2158" s="0" t="n">
        <v>17203</v>
      </c>
      <c r="H2158" s="3" t="s">
        <v>14</v>
      </c>
      <c r="I2158" s="4" t="n">
        <f aca="false">D2158*F2158</f>
        <v>9.18</v>
      </c>
      <c r="J2158" s="3" t="n">
        <f aca="false">IF(AND(LEFT(A2158,1)&lt;&gt;"C",D2158&gt;0,F2158&gt;0),1,0)</f>
        <v>1</v>
      </c>
      <c r="K2158" s="3" t="n">
        <f aca="false">IF(AND(H2158="United Kingdom",G2158&lt;&gt;"",COUNTIFS($G$2:G2158,G2158,$H$2:H2158,"United Kingdom")=1),1,0)</f>
        <v>0</v>
      </c>
    </row>
    <row r="2159" customFormat="false" ht="15" hidden="false" customHeight="false" outlineLevel="0" collapsed="false">
      <c r="A2159" s="0" t="s">
        <v>477</v>
      </c>
      <c r="B2159" s="0" t="s">
        <v>22</v>
      </c>
      <c r="C2159" s="0" t="s">
        <v>23</v>
      </c>
      <c r="D2159" s="0" t="n">
        <v>6</v>
      </c>
      <c r="E2159" s="2" t="n">
        <v>40758.3451388889</v>
      </c>
      <c r="F2159" s="0" t="n">
        <v>3.18</v>
      </c>
      <c r="G2159" s="0" t="n">
        <v>15626</v>
      </c>
      <c r="H2159" s="3" t="s">
        <v>14</v>
      </c>
      <c r="I2159" s="4" t="n">
        <f aca="false">D2159*F2159</f>
        <v>19.08</v>
      </c>
      <c r="J2159" s="3" t="n">
        <f aca="false">IF(AND(LEFT(A2159,1)&lt;&gt;"C",D2159&gt;0,F2159&gt;0),1,0)</f>
        <v>1</v>
      </c>
      <c r="K2159" s="3" t="n">
        <f aca="false">IF(AND(H2159="United Kingdom",G2159&lt;&gt;"",COUNTIFS($G$2:G2159,G2159,$H$2:H2159,"United Kingdom")=1),1,0)</f>
        <v>0</v>
      </c>
    </row>
    <row r="2160" customFormat="false" ht="15" hidden="false" customHeight="false" outlineLevel="0" collapsed="false">
      <c r="A2160" s="0" t="s">
        <v>477</v>
      </c>
      <c r="B2160" s="0" t="s">
        <v>43</v>
      </c>
      <c r="C2160" s="0" t="s">
        <v>44</v>
      </c>
      <c r="D2160" s="0" t="n">
        <v>4</v>
      </c>
      <c r="E2160" s="2" t="n">
        <v>40758.3451388889</v>
      </c>
      <c r="F2160" s="0" t="n">
        <v>1.35</v>
      </c>
      <c r="G2160" s="0" t="n">
        <v>15626</v>
      </c>
      <c r="H2160" s="3" t="s">
        <v>14</v>
      </c>
      <c r="I2160" s="4" t="n">
        <f aca="false">D2160*F2160</f>
        <v>5.4</v>
      </c>
      <c r="J2160" s="3" t="n">
        <f aca="false">IF(AND(LEFT(A2160,1)&lt;&gt;"C",D2160&gt;0,F2160&gt;0),1,0)</f>
        <v>1</v>
      </c>
      <c r="K2160" s="3" t="n">
        <f aca="false">IF(AND(H2160="United Kingdom",G2160&lt;&gt;"",COUNTIFS($G$2:G2160,G2160,$H$2:H2160,"United Kingdom")=1),1,0)</f>
        <v>0</v>
      </c>
    </row>
    <row r="2161" customFormat="false" ht="15" hidden="false" customHeight="false" outlineLevel="0" collapsed="false">
      <c r="A2161" s="0" t="s">
        <v>477</v>
      </c>
      <c r="B2161" s="0" t="s">
        <v>113</v>
      </c>
      <c r="C2161" s="0" t="s">
        <v>114</v>
      </c>
      <c r="D2161" s="0" t="n">
        <v>24</v>
      </c>
      <c r="E2161" s="2" t="n">
        <v>40758.3451388889</v>
      </c>
      <c r="F2161" s="0" t="n">
        <v>3.57</v>
      </c>
      <c r="G2161" s="0" t="n">
        <v>15626</v>
      </c>
      <c r="H2161" s="3" t="s">
        <v>14</v>
      </c>
      <c r="I2161" s="4" t="n">
        <f aca="false">D2161*F2161</f>
        <v>85.68</v>
      </c>
      <c r="J2161" s="3" t="n">
        <f aca="false">IF(AND(LEFT(A2161,1)&lt;&gt;"C",D2161&gt;0,F2161&gt;0),1,0)</f>
        <v>1</v>
      </c>
      <c r="K2161" s="3" t="n">
        <f aca="false">IF(AND(H2161="United Kingdom",G2161&lt;&gt;"",COUNTIFS($G$2:G2161,G2161,$H$2:H2161,"United Kingdom")=1),1,0)</f>
        <v>0</v>
      </c>
    </row>
    <row r="2162" customFormat="false" ht="15" hidden="false" customHeight="false" outlineLevel="0" collapsed="false">
      <c r="A2162" s="0" t="s">
        <v>477</v>
      </c>
      <c r="B2162" s="0" t="s">
        <v>41</v>
      </c>
      <c r="C2162" s="0" t="s">
        <v>42</v>
      </c>
      <c r="D2162" s="0" t="n">
        <v>4</v>
      </c>
      <c r="E2162" s="2" t="n">
        <v>40758.3451388889</v>
      </c>
      <c r="F2162" s="0" t="n">
        <v>3.28</v>
      </c>
      <c r="G2162" s="0" t="n">
        <v>15626</v>
      </c>
      <c r="H2162" s="3" t="s">
        <v>14</v>
      </c>
      <c r="I2162" s="4" t="n">
        <f aca="false">D2162*F2162</f>
        <v>13.12</v>
      </c>
      <c r="J2162" s="3" t="n">
        <f aca="false">IF(AND(LEFT(A2162,1)&lt;&gt;"C",D2162&gt;0,F2162&gt;0),1,0)</f>
        <v>1</v>
      </c>
      <c r="K2162" s="3" t="n">
        <f aca="false">IF(AND(H2162="United Kingdom",G2162&lt;&gt;"",COUNTIFS($G$2:G2162,G2162,$H$2:H2162,"United Kingdom")=1),1,0)</f>
        <v>0</v>
      </c>
    </row>
    <row r="2163" customFormat="false" ht="15" hidden="false" customHeight="false" outlineLevel="0" collapsed="false">
      <c r="A2163" s="0" t="s">
        <v>477</v>
      </c>
      <c r="B2163" s="0" t="s">
        <v>63</v>
      </c>
      <c r="C2163" s="0" t="s">
        <v>64</v>
      </c>
      <c r="D2163" s="0" t="n">
        <v>8</v>
      </c>
      <c r="E2163" s="2" t="n">
        <v>40758.3451388889</v>
      </c>
      <c r="F2163" s="0" t="n">
        <v>2.43</v>
      </c>
      <c r="G2163" s="0" t="n">
        <v>15626</v>
      </c>
      <c r="H2163" s="3" t="s">
        <v>14</v>
      </c>
      <c r="I2163" s="4" t="n">
        <f aca="false">D2163*F2163</f>
        <v>19.44</v>
      </c>
      <c r="J2163" s="3" t="n">
        <f aca="false">IF(AND(LEFT(A2163,1)&lt;&gt;"C",D2163&gt;0,F2163&gt;0),1,0)</f>
        <v>1</v>
      </c>
      <c r="K2163" s="3" t="n">
        <f aca="false">IF(AND(H2163="United Kingdom",G2163&lt;&gt;"",COUNTIFS($G$2:G2163,G2163,$H$2:H2163,"United Kingdom")=1),1,0)</f>
        <v>0</v>
      </c>
    </row>
    <row r="2164" customFormat="false" ht="15" hidden="false" customHeight="false" outlineLevel="0" collapsed="false">
      <c r="A2164" s="0" t="s">
        <v>477</v>
      </c>
      <c r="B2164" s="0" t="s">
        <v>58</v>
      </c>
      <c r="C2164" s="0" t="s">
        <v>59</v>
      </c>
      <c r="D2164" s="0" t="n">
        <v>1</v>
      </c>
      <c r="E2164" s="2" t="n">
        <v>40758.3451388889</v>
      </c>
      <c r="F2164" s="0" t="n">
        <v>2.16</v>
      </c>
      <c r="G2164" s="0" t="n">
        <v>15626</v>
      </c>
      <c r="H2164" s="3" t="s">
        <v>14</v>
      </c>
      <c r="I2164" s="4" t="n">
        <f aca="false">D2164*F2164</f>
        <v>2.16</v>
      </c>
      <c r="J2164" s="3" t="n">
        <f aca="false">IF(AND(LEFT(A2164,1)&lt;&gt;"C",D2164&gt;0,F2164&gt;0),1,0)</f>
        <v>1</v>
      </c>
      <c r="K2164" s="3" t="n">
        <f aca="false">IF(AND(H2164="United Kingdom",G2164&lt;&gt;"",COUNTIFS($G$2:G2164,G2164,$H$2:H2164,"United Kingdom")=1),1,0)</f>
        <v>0</v>
      </c>
    </row>
    <row r="2165" customFormat="false" ht="15" hidden="false" customHeight="false" outlineLevel="0" collapsed="false">
      <c r="A2165" s="0" t="s">
        <v>478</v>
      </c>
      <c r="B2165" s="0" t="s">
        <v>37</v>
      </c>
      <c r="C2165" s="0" t="s">
        <v>38</v>
      </c>
      <c r="D2165" s="0" t="n">
        <v>1</v>
      </c>
      <c r="E2165" s="2" t="n">
        <v>40758.3486111111</v>
      </c>
      <c r="F2165" s="0" t="n">
        <v>1.82</v>
      </c>
      <c r="G2165" s="0" t="n">
        <v>17042</v>
      </c>
      <c r="H2165" s="3" t="s">
        <v>14</v>
      </c>
      <c r="I2165" s="4" t="n">
        <f aca="false">D2165*F2165</f>
        <v>1.82</v>
      </c>
      <c r="J2165" s="3" t="n">
        <f aca="false">IF(AND(LEFT(A2165,1)&lt;&gt;"C",D2165&gt;0,F2165&gt;0),1,0)</f>
        <v>1</v>
      </c>
      <c r="K2165" s="3" t="n">
        <f aca="false">IF(AND(H2165="United Kingdom",G2165&lt;&gt;"",COUNTIFS($G$2:G2165,G2165,$H$2:H2165,"United Kingdom")=1),1,0)</f>
        <v>1</v>
      </c>
    </row>
    <row r="2166" customFormat="false" ht="15" hidden="false" customHeight="false" outlineLevel="0" collapsed="false">
      <c r="A2166" s="0" t="s">
        <v>478</v>
      </c>
      <c r="B2166" s="0" t="s">
        <v>90</v>
      </c>
      <c r="C2166" s="0" t="s">
        <v>91</v>
      </c>
      <c r="D2166" s="0" t="n">
        <v>3</v>
      </c>
      <c r="E2166" s="2" t="n">
        <v>40758.3486111111</v>
      </c>
      <c r="F2166" s="0" t="n">
        <v>3.04</v>
      </c>
      <c r="G2166" s="0" t="n">
        <v>17042</v>
      </c>
      <c r="H2166" s="3" t="s">
        <v>14</v>
      </c>
      <c r="I2166" s="4" t="n">
        <f aca="false">D2166*F2166</f>
        <v>9.12</v>
      </c>
      <c r="J2166" s="3" t="n">
        <f aca="false">IF(AND(LEFT(A2166,1)&lt;&gt;"C",D2166&gt;0,F2166&gt;0),1,0)</f>
        <v>1</v>
      </c>
      <c r="K2166" s="3" t="n">
        <f aca="false">IF(AND(H2166="United Kingdom",G2166&lt;&gt;"",COUNTIFS($G$2:G2166,G2166,$H$2:H2166,"United Kingdom")=1),1,0)</f>
        <v>0</v>
      </c>
    </row>
    <row r="2167" customFormat="false" ht="15" hidden="false" customHeight="false" outlineLevel="0" collapsed="false">
      <c r="A2167" s="0" t="s">
        <v>479</v>
      </c>
      <c r="B2167" s="0" t="s">
        <v>45</v>
      </c>
      <c r="C2167" s="0" t="s">
        <v>46</v>
      </c>
      <c r="D2167" s="0" t="n">
        <v>19</v>
      </c>
      <c r="E2167" s="2" t="n">
        <v>40758.5909722222</v>
      </c>
      <c r="F2167" s="0" t="n">
        <v>4.55</v>
      </c>
      <c r="G2167" s="0" t="n">
        <v>15427</v>
      </c>
      <c r="H2167" s="3" t="s">
        <v>57</v>
      </c>
      <c r="I2167" s="4" t="n">
        <f aca="false">D2167*F2167</f>
        <v>86.45</v>
      </c>
      <c r="J2167" s="3" t="n">
        <f aca="false">IF(AND(LEFT(A2167,1)&lt;&gt;"C",D2167&gt;0,F2167&gt;0),1,0)</f>
        <v>1</v>
      </c>
      <c r="K2167" s="3" t="n">
        <f aca="false">IF(AND(H2167="United Kingdom",G2167&lt;&gt;"",COUNTIFS($G$2:G2167,G2167,$H$2:H2167,"United Kingdom")=1),1,0)</f>
        <v>0</v>
      </c>
    </row>
    <row r="2168" customFormat="false" ht="15" hidden="false" customHeight="false" outlineLevel="0" collapsed="false">
      <c r="A2168" s="0" t="s">
        <v>479</v>
      </c>
      <c r="B2168" s="0" t="s">
        <v>90</v>
      </c>
      <c r="C2168" s="0" t="s">
        <v>91</v>
      </c>
      <c r="D2168" s="0" t="n">
        <v>12</v>
      </c>
      <c r="E2168" s="2" t="n">
        <v>40758.5909722222</v>
      </c>
      <c r="F2168" s="0" t="n">
        <v>3.04</v>
      </c>
      <c r="G2168" s="0" t="n">
        <v>15427</v>
      </c>
      <c r="H2168" s="3" t="s">
        <v>57</v>
      </c>
      <c r="I2168" s="4" t="n">
        <f aca="false">D2168*F2168</f>
        <v>36.48</v>
      </c>
      <c r="J2168" s="3" t="n">
        <f aca="false">IF(AND(LEFT(A2168,1)&lt;&gt;"C",D2168&gt;0,F2168&gt;0),1,0)</f>
        <v>1</v>
      </c>
      <c r="K2168" s="3" t="n">
        <f aca="false">IF(AND(H2168="United Kingdom",G2168&lt;&gt;"",COUNTIFS($G$2:G2168,G2168,$H$2:H2168,"United Kingdom")=1),1,0)</f>
        <v>0</v>
      </c>
    </row>
    <row r="2169" customFormat="false" ht="15" hidden="false" customHeight="false" outlineLevel="0" collapsed="false">
      <c r="A2169" s="0" t="s">
        <v>479</v>
      </c>
      <c r="B2169" s="0" t="s">
        <v>77</v>
      </c>
      <c r="C2169" s="0" t="s">
        <v>78</v>
      </c>
      <c r="D2169" s="0" t="n">
        <v>9</v>
      </c>
      <c r="E2169" s="2" t="n">
        <v>40758.5909722222</v>
      </c>
      <c r="F2169" s="0" t="n">
        <v>3.41</v>
      </c>
      <c r="G2169" s="0" t="n">
        <v>15427</v>
      </c>
      <c r="H2169" s="3" t="s">
        <v>57</v>
      </c>
      <c r="I2169" s="4" t="n">
        <f aca="false">D2169*F2169</f>
        <v>30.69</v>
      </c>
      <c r="J2169" s="3" t="n">
        <f aca="false">IF(AND(LEFT(A2169,1)&lt;&gt;"C",D2169&gt;0,F2169&gt;0),1,0)</f>
        <v>1</v>
      </c>
      <c r="K2169" s="3" t="n">
        <f aca="false">IF(AND(H2169="United Kingdom",G2169&lt;&gt;"",COUNTIFS($G$2:G2169,G2169,$H$2:H2169,"United Kingdom")=1),1,0)</f>
        <v>0</v>
      </c>
    </row>
    <row r="2170" customFormat="false" ht="15" hidden="false" customHeight="false" outlineLevel="0" collapsed="false">
      <c r="A2170" s="0" t="s">
        <v>480</v>
      </c>
      <c r="B2170" s="0" t="s">
        <v>54</v>
      </c>
      <c r="C2170" s="0" t="s">
        <v>55</v>
      </c>
      <c r="D2170" s="0" t="n">
        <v>6</v>
      </c>
      <c r="E2170" s="2" t="n">
        <v>40758.8291666667</v>
      </c>
      <c r="F2170" s="0" t="n">
        <v>0.99</v>
      </c>
      <c r="G2170" s="0" t="n">
        <v>16228</v>
      </c>
      <c r="H2170" s="3" t="s">
        <v>14</v>
      </c>
      <c r="I2170" s="4" t="n">
        <f aca="false">D2170*F2170</f>
        <v>5.94</v>
      </c>
      <c r="J2170" s="3" t="n">
        <f aca="false">IF(AND(LEFT(A2170,1)&lt;&gt;"C",D2170&gt;0,F2170&gt;0),1,0)</f>
        <v>1</v>
      </c>
      <c r="K2170" s="3" t="n">
        <f aca="false">IF(AND(H2170="United Kingdom",G2170&lt;&gt;"",COUNTIFS($G$2:G2170,G2170,$H$2:H2170,"United Kingdom")=1),1,0)</f>
        <v>0</v>
      </c>
    </row>
    <row r="2171" customFormat="false" ht="15" hidden="false" customHeight="false" outlineLevel="0" collapsed="false">
      <c r="A2171" s="0" t="s">
        <v>480</v>
      </c>
      <c r="B2171" s="0" t="s">
        <v>90</v>
      </c>
      <c r="C2171" s="0" t="s">
        <v>91</v>
      </c>
      <c r="D2171" s="0" t="n">
        <v>4</v>
      </c>
      <c r="E2171" s="2" t="n">
        <v>40758.8291666667</v>
      </c>
      <c r="F2171" s="0" t="n">
        <v>3.04</v>
      </c>
      <c r="G2171" s="0" t="n">
        <v>16228</v>
      </c>
      <c r="H2171" s="3" t="s">
        <v>14</v>
      </c>
      <c r="I2171" s="4" t="n">
        <f aca="false">D2171*F2171</f>
        <v>12.16</v>
      </c>
      <c r="J2171" s="3" t="n">
        <f aca="false">IF(AND(LEFT(A2171,1)&lt;&gt;"C",D2171&gt;0,F2171&gt;0),1,0)</f>
        <v>1</v>
      </c>
      <c r="K2171" s="3" t="n">
        <f aca="false">IF(AND(H2171="United Kingdom",G2171&lt;&gt;"",COUNTIFS($G$2:G2171,G2171,$H$2:H2171,"United Kingdom")=1),1,0)</f>
        <v>0</v>
      </c>
    </row>
    <row r="2172" customFormat="false" ht="15" hidden="false" customHeight="false" outlineLevel="0" collapsed="false">
      <c r="A2172" s="0" t="s">
        <v>480</v>
      </c>
      <c r="B2172" s="0" t="s">
        <v>32</v>
      </c>
      <c r="C2172" s="0" t="s">
        <v>33</v>
      </c>
      <c r="D2172" s="0" t="n">
        <v>3</v>
      </c>
      <c r="E2172" s="2" t="n">
        <v>40758.8291666667</v>
      </c>
      <c r="F2172" s="0" t="n">
        <v>1.19</v>
      </c>
      <c r="G2172" s="0" t="n">
        <v>16228</v>
      </c>
      <c r="H2172" s="3" t="s">
        <v>14</v>
      </c>
      <c r="I2172" s="4" t="n">
        <f aca="false">D2172*F2172</f>
        <v>3.57</v>
      </c>
      <c r="J2172" s="3" t="n">
        <f aca="false">IF(AND(LEFT(A2172,1)&lt;&gt;"C",D2172&gt;0,F2172&gt;0),1,0)</f>
        <v>1</v>
      </c>
      <c r="K2172" s="3" t="n">
        <f aca="false">IF(AND(H2172="United Kingdom",G2172&lt;&gt;"",COUNTIFS($G$2:G2172,G2172,$H$2:H2172,"United Kingdom")=1),1,0)</f>
        <v>0</v>
      </c>
    </row>
    <row r="2173" customFormat="false" ht="15" hidden="false" customHeight="false" outlineLevel="0" collapsed="false">
      <c r="A2173" s="0" t="s">
        <v>480</v>
      </c>
      <c r="B2173" s="0" t="s">
        <v>15</v>
      </c>
      <c r="C2173" s="0" t="s">
        <v>16</v>
      </c>
      <c r="D2173" s="0" t="n">
        <v>8</v>
      </c>
      <c r="E2173" s="2" t="n">
        <v>40758.8291666667</v>
      </c>
      <c r="F2173" s="0" t="n">
        <v>3.18</v>
      </c>
      <c r="G2173" s="0" t="n">
        <v>16228</v>
      </c>
      <c r="H2173" s="3" t="s">
        <v>14</v>
      </c>
      <c r="I2173" s="4" t="n">
        <f aca="false">D2173*F2173</f>
        <v>25.44</v>
      </c>
      <c r="J2173" s="3" t="n">
        <f aca="false">IF(AND(LEFT(A2173,1)&lt;&gt;"C",D2173&gt;0,F2173&gt;0),1,0)</f>
        <v>1</v>
      </c>
      <c r="K2173" s="3" t="n">
        <f aca="false">IF(AND(H2173="United Kingdom",G2173&lt;&gt;"",COUNTIFS($G$2:G2173,G2173,$H$2:H2173,"United Kingdom")=1),1,0)</f>
        <v>0</v>
      </c>
    </row>
    <row r="2174" customFormat="false" ht="15" hidden="false" customHeight="false" outlineLevel="0" collapsed="false">
      <c r="A2174" s="0" t="s">
        <v>480</v>
      </c>
      <c r="B2174" s="0" t="s">
        <v>27</v>
      </c>
      <c r="C2174" s="0" t="s">
        <v>28</v>
      </c>
      <c r="D2174" s="0" t="n">
        <v>6</v>
      </c>
      <c r="E2174" s="2" t="n">
        <v>40758.8291666667</v>
      </c>
      <c r="F2174" s="0" t="n">
        <v>4.55</v>
      </c>
      <c r="G2174" s="0" t="n">
        <v>16228</v>
      </c>
      <c r="H2174" s="3" t="s">
        <v>14</v>
      </c>
      <c r="I2174" s="4" t="n">
        <f aca="false">D2174*F2174</f>
        <v>27.3</v>
      </c>
      <c r="J2174" s="3" t="n">
        <f aca="false">IF(AND(LEFT(A2174,1)&lt;&gt;"C",D2174&gt;0,F2174&gt;0),1,0)</f>
        <v>1</v>
      </c>
      <c r="K2174" s="3" t="n">
        <f aca="false">IF(AND(H2174="United Kingdom",G2174&lt;&gt;"",COUNTIFS($G$2:G2174,G2174,$H$2:H2174,"United Kingdom")=1),1,0)</f>
        <v>0</v>
      </c>
    </row>
    <row r="2175" customFormat="false" ht="15" hidden="false" customHeight="false" outlineLevel="0" collapsed="false">
      <c r="A2175" s="0" t="s">
        <v>480</v>
      </c>
      <c r="B2175" s="0" t="s">
        <v>77</v>
      </c>
      <c r="C2175" s="0" t="s">
        <v>78</v>
      </c>
      <c r="D2175" s="0" t="n">
        <v>6</v>
      </c>
      <c r="E2175" s="2" t="n">
        <v>40758.8291666667</v>
      </c>
      <c r="F2175" s="0" t="n">
        <v>3.41</v>
      </c>
      <c r="G2175" s="0" t="n">
        <v>16228</v>
      </c>
      <c r="H2175" s="3" t="s">
        <v>14</v>
      </c>
      <c r="I2175" s="4" t="n">
        <f aca="false">D2175*F2175</f>
        <v>20.46</v>
      </c>
      <c r="J2175" s="3" t="n">
        <f aca="false">IF(AND(LEFT(A2175,1)&lt;&gt;"C",D2175&gt;0,F2175&gt;0),1,0)</f>
        <v>1</v>
      </c>
      <c r="K2175" s="3" t="n">
        <f aca="false">IF(AND(H2175="United Kingdom",G2175&lt;&gt;"",COUNTIFS($G$2:G2175,G2175,$H$2:H2175,"United Kingdom")=1),1,0)</f>
        <v>0</v>
      </c>
    </row>
    <row r="2176" customFormat="false" ht="15" hidden="false" customHeight="false" outlineLevel="0" collapsed="false">
      <c r="A2176" s="0" t="s">
        <v>480</v>
      </c>
      <c r="B2176" s="0" t="s">
        <v>34</v>
      </c>
      <c r="C2176" s="0" t="s">
        <v>35</v>
      </c>
      <c r="D2176" s="0" t="n">
        <v>3</v>
      </c>
      <c r="E2176" s="2" t="n">
        <v>40758.8291666667</v>
      </c>
      <c r="F2176" s="0" t="n">
        <v>2.38</v>
      </c>
      <c r="G2176" s="0" t="n">
        <v>16228</v>
      </c>
      <c r="H2176" s="3" t="s">
        <v>14</v>
      </c>
      <c r="I2176" s="4" t="n">
        <f aca="false">D2176*F2176</f>
        <v>7.14</v>
      </c>
      <c r="J2176" s="3" t="n">
        <f aca="false">IF(AND(LEFT(A2176,1)&lt;&gt;"C",D2176&gt;0,F2176&gt;0),1,0)</f>
        <v>1</v>
      </c>
      <c r="K2176" s="3" t="n">
        <f aca="false">IF(AND(H2176="United Kingdom",G2176&lt;&gt;"",COUNTIFS($G$2:G2176,G2176,$H$2:H2176,"United Kingdom")=1),1,0)</f>
        <v>0</v>
      </c>
    </row>
    <row r="2177" customFormat="false" ht="15" hidden="false" customHeight="false" outlineLevel="0" collapsed="false">
      <c r="A2177" s="0" t="s">
        <v>480</v>
      </c>
      <c r="B2177" s="0" t="s">
        <v>41</v>
      </c>
      <c r="C2177" s="0" t="s">
        <v>42</v>
      </c>
      <c r="D2177" s="0" t="n">
        <v>2</v>
      </c>
      <c r="E2177" s="2" t="n">
        <v>40758.8291666667</v>
      </c>
      <c r="F2177" s="0" t="n">
        <v>3.28</v>
      </c>
      <c r="G2177" s="0" t="n">
        <v>16228</v>
      </c>
      <c r="H2177" s="3" t="s">
        <v>14</v>
      </c>
      <c r="I2177" s="4" t="n">
        <f aca="false">D2177*F2177</f>
        <v>6.56</v>
      </c>
      <c r="J2177" s="3" t="n">
        <f aca="false">IF(AND(LEFT(A2177,1)&lt;&gt;"C",D2177&gt;0,F2177&gt;0),1,0)</f>
        <v>1</v>
      </c>
      <c r="K2177" s="3" t="n">
        <f aca="false">IF(AND(H2177="United Kingdom",G2177&lt;&gt;"",COUNTIFS($G$2:G2177,G2177,$H$2:H2177,"United Kingdom")=1),1,0)</f>
        <v>0</v>
      </c>
    </row>
    <row r="2178" customFormat="false" ht="15" hidden="false" customHeight="false" outlineLevel="0" collapsed="false">
      <c r="A2178" s="0" t="s">
        <v>480</v>
      </c>
      <c r="B2178" s="0" t="s">
        <v>48</v>
      </c>
      <c r="C2178" s="0" t="s">
        <v>49</v>
      </c>
      <c r="D2178" s="0" t="n">
        <v>12</v>
      </c>
      <c r="E2178" s="2" t="n">
        <v>40758.8291666667</v>
      </c>
      <c r="F2178" s="0" t="n">
        <v>1.35</v>
      </c>
      <c r="G2178" s="0" t="n">
        <v>16228</v>
      </c>
      <c r="H2178" s="3" t="s">
        <v>14</v>
      </c>
      <c r="I2178" s="4" t="n">
        <f aca="false">D2178*F2178</f>
        <v>16.2</v>
      </c>
      <c r="J2178" s="3" t="n">
        <f aca="false">IF(AND(LEFT(A2178,1)&lt;&gt;"C",D2178&gt;0,F2178&gt;0),1,0)</f>
        <v>1</v>
      </c>
      <c r="K2178" s="3" t="n">
        <f aca="false">IF(AND(H2178="United Kingdom",G2178&lt;&gt;"",COUNTIFS($G$2:G2178,G2178,$H$2:H2178,"United Kingdom")=1),1,0)</f>
        <v>0</v>
      </c>
    </row>
    <row r="2179" customFormat="false" ht="15" hidden="false" customHeight="false" outlineLevel="0" collapsed="false">
      <c r="A2179" s="0" t="s">
        <v>480</v>
      </c>
      <c r="B2179" s="0" t="s">
        <v>113</v>
      </c>
      <c r="C2179" s="0" t="s">
        <v>114</v>
      </c>
      <c r="D2179" s="0" t="n">
        <v>8</v>
      </c>
      <c r="E2179" s="2" t="n">
        <v>40758.8291666667</v>
      </c>
      <c r="F2179" s="0" t="n">
        <v>3.57</v>
      </c>
      <c r="G2179" s="0" t="n">
        <v>16228</v>
      </c>
      <c r="H2179" s="3" t="s">
        <v>14</v>
      </c>
      <c r="I2179" s="4" t="n">
        <f aca="false">D2179*F2179</f>
        <v>28.56</v>
      </c>
      <c r="J2179" s="3" t="n">
        <f aca="false">IF(AND(LEFT(A2179,1)&lt;&gt;"C",D2179&gt;0,F2179&gt;0),1,0)</f>
        <v>1</v>
      </c>
      <c r="K2179" s="3" t="n">
        <f aca="false">IF(AND(H2179="United Kingdom",G2179&lt;&gt;"",COUNTIFS($G$2:G2179,G2179,$H$2:H2179,"United Kingdom")=1),1,0)</f>
        <v>0</v>
      </c>
    </row>
    <row r="2180" customFormat="false" ht="15" hidden="false" customHeight="false" outlineLevel="0" collapsed="false">
      <c r="A2180" s="0" t="s">
        <v>480</v>
      </c>
      <c r="B2180" s="0" t="s">
        <v>50</v>
      </c>
      <c r="C2180" s="0" t="s">
        <v>51</v>
      </c>
      <c r="D2180" s="0" t="n">
        <v>3</v>
      </c>
      <c r="E2180" s="2" t="n">
        <v>40758.8291666667</v>
      </c>
      <c r="F2180" s="0" t="n">
        <v>5.41</v>
      </c>
      <c r="G2180" s="0" t="n">
        <v>16228</v>
      </c>
      <c r="H2180" s="3" t="s">
        <v>14</v>
      </c>
      <c r="I2180" s="4" t="n">
        <f aca="false">D2180*F2180</f>
        <v>16.23</v>
      </c>
      <c r="J2180" s="3" t="n">
        <f aca="false">IF(AND(LEFT(A2180,1)&lt;&gt;"C",D2180&gt;0,F2180&gt;0),1,0)</f>
        <v>1</v>
      </c>
      <c r="K2180" s="3" t="n">
        <f aca="false">IF(AND(H2180="United Kingdom",G2180&lt;&gt;"",COUNTIFS($G$2:G2180,G2180,$H$2:H2180,"United Kingdom")=1),1,0)</f>
        <v>0</v>
      </c>
    </row>
    <row r="2181" customFormat="false" ht="15" hidden="false" customHeight="false" outlineLevel="0" collapsed="false">
      <c r="A2181" s="0" t="s">
        <v>480</v>
      </c>
      <c r="B2181" s="0" t="s">
        <v>20</v>
      </c>
      <c r="C2181" s="0" t="s">
        <v>21</v>
      </c>
      <c r="D2181" s="0" t="n">
        <v>2</v>
      </c>
      <c r="E2181" s="2" t="n">
        <v>40758.8291666667</v>
      </c>
      <c r="F2181" s="0" t="n">
        <v>4.24</v>
      </c>
      <c r="G2181" s="0" t="n">
        <v>16228</v>
      </c>
      <c r="H2181" s="3" t="s">
        <v>14</v>
      </c>
      <c r="I2181" s="4" t="n">
        <f aca="false">D2181*F2181</f>
        <v>8.48</v>
      </c>
      <c r="J2181" s="3" t="n">
        <f aca="false">IF(AND(LEFT(A2181,1)&lt;&gt;"C",D2181&gt;0,F2181&gt;0),1,0)</f>
        <v>1</v>
      </c>
      <c r="K2181" s="3" t="n">
        <f aca="false">IF(AND(H2181="United Kingdom",G2181&lt;&gt;"",COUNTIFS($G$2:G2181,G2181,$H$2:H2181,"United Kingdom")=1),1,0)</f>
        <v>0</v>
      </c>
    </row>
    <row r="2182" customFormat="false" ht="15" hidden="false" customHeight="false" outlineLevel="0" collapsed="false">
      <c r="A2182" s="0" t="s">
        <v>480</v>
      </c>
      <c r="B2182" s="0" t="s">
        <v>12</v>
      </c>
      <c r="C2182" s="0" t="s">
        <v>13</v>
      </c>
      <c r="D2182" s="0" t="n">
        <v>8</v>
      </c>
      <c r="E2182" s="2" t="n">
        <v>40758.8291666667</v>
      </c>
      <c r="F2182" s="0" t="n">
        <v>3.33</v>
      </c>
      <c r="G2182" s="0" t="n">
        <v>16228</v>
      </c>
      <c r="H2182" s="3" t="s">
        <v>14</v>
      </c>
      <c r="I2182" s="4" t="n">
        <f aca="false">D2182*F2182</f>
        <v>26.64</v>
      </c>
      <c r="J2182" s="3" t="n">
        <f aca="false">IF(AND(LEFT(A2182,1)&lt;&gt;"C",D2182&gt;0,F2182&gt;0),1,0)</f>
        <v>1</v>
      </c>
      <c r="K2182" s="3" t="n">
        <f aca="false">IF(AND(H2182="United Kingdom",G2182&lt;&gt;"",COUNTIFS($G$2:G2182,G2182,$H$2:H2182,"United Kingdom")=1),1,0)</f>
        <v>0</v>
      </c>
    </row>
    <row r="2183" customFormat="false" ht="15" hidden="false" customHeight="false" outlineLevel="0" collapsed="false">
      <c r="A2183" s="0" t="s">
        <v>480</v>
      </c>
      <c r="B2183" s="0" t="s">
        <v>75</v>
      </c>
      <c r="C2183" s="0" t="s">
        <v>76</v>
      </c>
      <c r="D2183" s="0" t="n">
        <v>8</v>
      </c>
      <c r="E2183" s="2" t="n">
        <v>40758.8291666667</v>
      </c>
      <c r="F2183" s="0" t="n">
        <v>1.97</v>
      </c>
      <c r="G2183" s="0" t="n">
        <v>16228</v>
      </c>
      <c r="H2183" s="3" t="s">
        <v>14</v>
      </c>
      <c r="I2183" s="4" t="n">
        <f aca="false">D2183*F2183</f>
        <v>15.76</v>
      </c>
      <c r="J2183" s="3" t="n">
        <f aca="false">IF(AND(LEFT(A2183,1)&lt;&gt;"C",D2183&gt;0,F2183&gt;0),1,0)</f>
        <v>1</v>
      </c>
      <c r="K2183" s="3" t="n">
        <f aca="false">IF(AND(H2183="United Kingdom",G2183&lt;&gt;"",COUNTIFS($G$2:G2183,G2183,$H$2:H2183,"United Kingdom")=1),1,0)</f>
        <v>0</v>
      </c>
    </row>
    <row r="2184" customFormat="false" ht="15" hidden="false" customHeight="false" outlineLevel="0" collapsed="false">
      <c r="A2184" s="0" t="s">
        <v>480</v>
      </c>
      <c r="B2184" s="0" t="s">
        <v>39</v>
      </c>
      <c r="C2184" s="0" t="s">
        <v>40</v>
      </c>
      <c r="D2184" s="0" t="n">
        <v>2</v>
      </c>
      <c r="E2184" s="2" t="n">
        <v>40758.8291666667</v>
      </c>
      <c r="F2184" s="0" t="n">
        <v>2.58</v>
      </c>
      <c r="G2184" s="0" t="n">
        <v>16228</v>
      </c>
      <c r="H2184" s="3" t="s">
        <v>14</v>
      </c>
      <c r="I2184" s="4" t="n">
        <f aca="false">D2184*F2184</f>
        <v>5.16</v>
      </c>
      <c r="J2184" s="3" t="n">
        <f aca="false">IF(AND(LEFT(A2184,1)&lt;&gt;"C",D2184&gt;0,F2184&gt;0),1,0)</f>
        <v>1</v>
      </c>
      <c r="K2184" s="3" t="n">
        <f aca="false">IF(AND(H2184="United Kingdom",G2184&lt;&gt;"",COUNTIFS($G$2:G2184,G2184,$H$2:H2184,"United Kingdom")=1),1,0)</f>
        <v>0</v>
      </c>
    </row>
    <row r="2185" customFormat="false" ht="15" hidden="false" customHeight="false" outlineLevel="0" collapsed="false">
      <c r="A2185" s="0" t="s">
        <v>480</v>
      </c>
      <c r="B2185" s="0" t="s">
        <v>45</v>
      </c>
      <c r="C2185" s="0" t="s">
        <v>46</v>
      </c>
      <c r="D2185" s="0" t="n">
        <v>12</v>
      </c>
      <c r="E2185" s="2" t="n">
        <v>40758.8291666667</v>
      </c>
      <c r="F2185" s="0" t="n">
        <v>4.55</v>
      </c>
      <c r="G2185" s="0" t="n">
        <v>16228</v>
      </c>
      <c r="H2185" s="3" t="s">
        <v>14</v>
      </c>
      <c r="I2185" s="4" t="n">
        <f aca="false">D2185*F2185</f>
        <v>54.6</v>
      </c>
      <c r="J2185" s="3" t="n">
        <f aca="false">IF(AND(LEFT(A2185,1)&lt;&gt;"C",D2185&gt;0,F2185&gt;0),1,0)</f>
        <v>1</v>
      </c>
      <c r="K2185" s="3" t="n">
        <f aca="false">IF(AND(H2185="United Kingdom",G2185&lt;&gt;"",COUNTIFS($G$2:G2185,G2185,$H$2:H2185,"United Kingdom")=1),1,0)</f>
        <v>0</v>
      </c>
    </row>
    <row r="2186" customFormat="false" ht="15" hidden="false" customHeight="false" outlineLevel="0" collapsed="false">
      <c r="A2186" s="0" t="s">
        <v>480</v>
      </c>
      <c r="B2186" s="0" t="s">
        <v>25</v>
      </c>
      <c r="C2186" s="0" t="s">
        <v>26</v>
      </c>
      <c r="D2186" s="0" t="n">
        <v>2</v>
      </c>
      <c r="E2186" s="2" t="n">
        <v>40758.8291666667</v>
      </c>
      <c r="F2186" s="0" t="n">
        <v>2.21</v>
      </c>
      <c r="G2186" s="0" t="n">
        <v>16228</v>
      </c>
      <c r="H2186" s="3" t="s">
        <v>14</v>
      </c>
      <c r="I2186" s="4" t="n">
        <f aca="false">D2186*F2186</f>
        <v>4.42</v>
      </c>
      <c r="J2186" s="3" t="n">
        <f aca="false">IF(AND(LEFT(A2186,1)&lt;&gt;"C",D2186&gt;0,F2186&gt;0),1,0)</f>
        <v>1</v>
      </c>
      <c r="K2186" s="3" t="n">
        <f aca="false">IF(AND(H2186="United Kingdom",G2186&lt;&gt;"",COUNTIFS($G$2:G2186,G2186,$H$2:H2186,"United Kingdom")=1),1,0)</f>
        <v>0</v>
      </c>
    </row>
    <row r="2187" customFormat="false" ht="15" hidden="false" customHeight="false" outlineLevel="0" collapsed="false">
      <c r="A2187" s="0" t="s">
        <v>480</v>
      </c>
      <c r="B2187" s="0" t="s">
        <v>43</v>
      </c>
      <c r="C2187" s="0" t="s">
        <v>44</v>
      </c>
      <c r="D2187" s="0" t="n">
        <v>4</v>
      </c>
      <c r="E2187" s="2" t="n">
        <v>40758.8291666667</v>
      </c>
      <c r="F2187" s="0" t="n">
        <v>1.35</v>
      </c>
      <c r="G2187" s="0" t="n">
        <v>16228</v>
      </c>
      <c r="H2187" s="3" t="s">
        <v>14</v>
      </c>
      <c r="I2187" s="4" t="n">
        <f aca="false">D2187*F2187</f>
        <v>5.4</v>
      </c>
      <c r="J2187" s="3" t="n">
        <f aca="false">IF(AND(LEFT(A2187,1)&lt;&gt;"C",D2187&gt;0,F2187&gt;0),1,0)</f>
        <v>1</v>
      </c>
      <c r="K2187" s="3" t="n">
        <f aca="false">IF(AND(H2187="United Kingdom",G2187&lt;&gt;"",COUNTIFS($G$2:G2187,G2187,$H$2:H2187,"United Kingdom")=1),1,0)</f>
        <v>0</v>
      </c>
    </row>
    <row r="2188" customFormat="false" ht="15" hidden="false" customHeight="false" outlineLevel="0" collapsed="false">
      <c r="A2188" s="0" t="s">
        <v>480</v>
      </c>
      <c r="B2188" s="0" t="s">
        <v>80</v>
      </c>
      <c r="C2188" s="0" t="s">
        <v>81</v>
      </c>
      <c r="D2188" s="0" t="n">
        <v>4</v>
      </c>
      <c r="E2188" s="2" t="n">
        <v>40758.8291666667</v>
      </c>
      <c r="F2188" s="0" t="n">
        <v>1.53</v>
      </c>
      <c r="G2188" s="0" t="n">
        <v>16228</v>
      </c>
      <c r="H2188" s="3" t="s">
        <v>14</v>
      </c>
      <c r="I2188" s="4" t="n">
        <f aca="false">D2188*F2188</f>
        <v>6.12</v>
      </c>
      <c r="J2188" s="3" t="n">
        <f aca="false">IF(AND(LEFT(A2188,1)&lt;&gt;"C",D2188&gt;0,F2188&gt;0),1,0)</f>
        <v>1</v>
      </c>
      <c r="K2188" s="3" t="n">
        <f aca="false">IF(AND(H2188="United Kingdom",G2188&lt;&gt;"",COUNTIFS($G$2:G2188,G2188,$H$2:H2188,"United Kingdom")=1),1,0)</f>
        <v>0</v>
      </c>
    </row>
    <row r="2189" customFormat="false" ht="15" hidden="false" customHeight="false" outlineLevel="0" collapsed="false">
      <c r="A2189" s="0" t="s">
        <v>480</v>
      </c>
      <c r="B2189" s="0" t="s">
        <v>72</v>
      </c>
      <c r="C2189" s="0" t="s">
        <v>73</v>
      </c>
      <c r="D2189" s="0" t="n">
        <v>1</v>
      </c>
      <c r="E2189" s="2" t="n">
        <v>40758.8291666667</v>
      </c>
      <c r="F2189" s="0" t="n">
        <v>2.69</v>
      </c>
      <c r="G2189" s="0" t="n">
        <v>16228</v>
      </c>
      <c r="H2189" s="3" t="s">
        <v>14</v>
      </c>
      <c r="I2189" s="4" t="n">
        <f aca="false">D2189*F2189</f>
        <v>2.69</v>
      </c>
      <c r="J2189" s="3" t="n">
        <f aca="false">IF(AND(LEFT(A2189,1)&lt;&gt;"C",D2189&gt;0,F2189&gt;0),1,0)</f>
        <v>1</v>
      </c>
      <c r="K2189" s="3" t="n">
        <f aca="false">IF(AND(H2189="United Kingdom",G2189&lt;&gt;"",COUNTIFS($G$2:G2189,G2189,$H$2:H2189,"United Kingdom")=1),1,0)</f>
        <v>0</v>
      </c>
    </row>
    <row r="2190" customFormat="false" ht="15" hidden="false" customHeight="false" outlineLevel="0" collapsed="false">
      <c r="A2190" s="0" t="s">
        <v>481</v>
      </c>
      <c r="B2190" s="0" t="s">
        <v>20</v>
      </c>
      <c r="C2190" s="0" t="s">
        <v>21</v>
      </c>
      <c r="D2190" s="0" t="n">
        <v>4</v>
      </c>
      <c r="E2190" s="2" t="n">
        <v>40758.8326388889</v>
      </c>
      <c r="F2190" s="0" t="n">
        <v>4.24</v>
      </c>
      <c r="G2190" s="0" t="n">
        <v>16243</v>
      </c>
      <c r="H2190" s="3" t="s">
        <v>14</v>
      </c>
      <c r="I2190" s="4" t="n">
        <f aca="false">D2190*F2190</f>
        <v>16.96</v>
      </c>
      <c r="J2190" s="3" t="n">
        <f aca="false">IF(AND(LEFT(A2190,1)&lt;&gt;"C",D2190&gt;0,F2190&gt;0),1,0)</f>
        <v>1</v>
      </c>
      <c r="K2190" s="3" t="n">
        <f aca="false">IF(AND(H2190="United Kingdom",G2190&lt;&gt;"",COUNTIFS($G$2:G2190,G2190,$H$2:H2190,"United Kingdom")=1),1,0)</f>
        <v>0</v>
      </c>
    </row>
    <row r="2191" customFormat="false" ht="15" hidden="false" customHeight="false" outlineLevel="0" collapsed="false">
      <c r="A2191" s="0" t="s">
        <v>481</v>
      </c>
      <c r="B2191" s="0" t="s">
        <v>34</v>
      </c>
      <c r="C2191" s="0" t="s">
        <v>35</v>
      </c>
      <c r="D2191" s="0" t="n">
        <v>6</v>
      </c>
      <c r="E2191" s="2" t="n">
        <v>40758.8326388889</v>
      </c>
      <c r="F2191" s="0" t="n">
        <v>2.38</v>
      </c>
      <c r="G2191" s="0" t="n">
        <v>16243</v>
      </c>
      <c r="H2191" s="3" t="s">
        <v>14</v>
      </c>
      <c r="I2191" s="4" t="n">
        <f aca="false">D2191*F2191</f>
        <v>14.28</v>
      </c>
      <c r="J2191" s="3" t="n">
        <f aca="false">IF(AND(LEFT(A2191,1)&lt;&gt;"C",D2191&gt;0,F2191&gt;0),1,0)</f>
        <v>1</v>
      </c>
      <c r="K2191" s="3" t="n">
        <f aca="false">IF(AND(H2191="United Kingdom",G2191&lt;&gt;"",COUNTIFS($G$2:G2191,G2191,$H$2:H2191,"United Kingdom")=1),1,0)</f>
        <v>0</v>
      </c>
    </row>
    <row r="2192" customFormat="false" ht="15" hidden="false" customHeight="false" outlineLevel="0" collapsed="false">
      <c r="A2192" s="0" t="s">
        <v>481</v>
      </c>
      <c r="B2192" s="0" t="s">
        <v>15</v>
      </c>
      <c r="C2192" s="0" t="s">
        <v>16</v>
      </c>
      <c r="D2192" s="0" t="n">
        <v>4</v>
      </c>
      <c r="E2192" s="2" t="n">
        <v>40758.8326388889</v>
      </c>
      <c r="F2192" s="0" t="n">
        <v>3.18</v>
      </c>
      <c r="G2192" s="0" t="n">
        <v>16243</v>
      </c>
      <c r="H2192" s="3" t="s">
        <v>14</v>
      </c>
      <c r="I2192" s="4" t="n">
        <f aca="false">D2192*F2192</f>
        <v>12.72</v>
      </c>
      <c r="J2192" s="3" t="n">
        <f aca="false">IF(AND(LEFT(A2192,1)&lt;&gt;"C",D2192&gt;0,F2192&gt;0),1,0)</f>
        <v>1</v>
      </c>
      <c r="K2192" s="3" t="n">
        <f aca="false">IF(AND(H2192="United Kingdom",G2192&lt;&gt;"",COUNTIFS($G$2:G2192,G2192,$H$2:H2192,"United Kingdom")=1),1,0)</f>
        <v>0</v>
      </c>
    </row>
    <row r="2193" customFormat="false" ht="15" hidden="false" customHeight="false" outlineLevel="0" collapsed="false">
      <c r="A2193" s="0" t="s">
        <v>481</v>
      </c>
      <c r="B2193" s="0" t="s">
        <v>22</v>
      </c>
      <c r="C2193" s="0" t="s">
        <v>23</v>
      </c>
      <c r="D2193" s="0" t="n">
        <v>4</v>
      </c>
      <c r="E2193" s="2" t="n">
        <v>40758.8326388889</v>
      </c>
      <c r="F2193" s="0" t="n">
        <v>3.18</v>
      </c>
      <c r="G2193" s="0" t="n">
        <v>16243</v>
      </c>
      <c r="H2193" s="3" t="s">
        <v>14</v>
      </c>
      <c r="I2193" s="4" t="n">
        <f aca="false">D2193*F2193</f>
        <v>12.72</v>
      </c>
      <c r="J2193" s="3" t="n">
        <f aca="false">IF(AND(LEFT(A2193,1)&lt;&gt;"C",D2193&gt;0,F2193&gt;0),1,0)</f>
        <v>1</v>
      </c>
      <c r="K2193" s="3" t="n">
        <f aca="false">IF(AND(H2193="United Kingdom",G2193&lt;&gt;"",COUNTIFS($G$2:G2193,G2193,$H$2:H2193,"United Kingdom")=1),1,0)</f>
        <v>0</v>
      </c>
    </row>
    <row r="2194" customFormat="false" ht="15" hidden="false" customHeight="false" outlineLevel="0" collapsed="false">
      <c r="A2194" s="0" t="s">
        <v>481</v>
      </c>
      <c r="B2194" s="0" t="s">
        <v>45</v>
      </c>
      <c r="C2194" s="0" t="s">
        <v>46</v>
      </c>
      <c r="D2194" s="0" t="n">
        <v>2</v>
      </c>
      <c r="E2194" s="2" t="n">
        <v>40758.8326388889</v>
      </c>
      <c r="F2194" s="0" t="n">
        <v>4.55</v>
      </c>
      <c r="G2194" s="0" t="n">
        <v>16243</v>
      </c>
      <c r="H2194" s="3" t="s">
        <v>14</v>
      </c>
      <c r="I2194" s="4" t="n">
        <f aca="false">D2194*F2194</f>
        <v>9.1</v>
      </c>
      <c r="J2194" s="3" t="n">
        <f aca="false">IF(AND(LEFT(A2194,1)&lt;&gt;"C",D2194&gt;0,F2194&gt;0),1,0)</f>
        <v>1</v>
      </c>
      <c r="K2194" s="3" t="n">
        <f aca="false">IF(AND(H2194="United Kingdom",G2194&lt;&gt;"",COUNTIFS($G$2:G2194,G2194,$H$2:H2194,"United Kingdom")=1),1,0)</f>
        <v>0</v>
      </c>
    </row>
    <row r="2195" customFormat="false" ht="15" hidden="false" customHeight="false" outlineLevel="0" collapsed="false">
      <c r="A2195" s="0" t="s">
        <v>481</v>
      </c>
      <c r="B2195" s="0" t="s">
        <v>68</v>
      </c>
      <c r="C2195" s="0" t="s">
        <v>69</v>
      </c>
      <c r="D2195" s="0" t="n">
        <v>8</v>
      </c>
      <c r="E2195" s="2" t="n">
        <v>40758.8326388889</v>
      </c>
      <c r="F2195" s="0" t="n">
        <v>1.26</v>
      </c>
      <c r="G2195" s="0" t="n">
        <v>16243</v>
      </c>
      <c r="H2195" s="3" t="s">
        <v>14</v>
      </c>
      <c r="I2195" s="4" t="n">
        <f aca="false">D2195*F2195</f>
        <v>10.08</v>
      </c>
      <c r="J2195" s="3" t="n">
        <f aca="false">IF(AND(LEFT(A2195,1)&lt;&gt;"C",D2195&gt;0,F2195&gt;0),1,0)</f>
        <v>1</v>
      </c>
      <c r="K2195" s="3" t="n">
        <f aca="false">IF(AND(H2195="United Kingdom",G2195&lt;&gt;"",COUNTIFS($G$2:G2195,G2195,$H$2:H2195,"United Kingdom")=1),1,0)</f>
        <v>0</v>
      </c>
    </row>
    <row r="2196" customFormat="false" ht="15" hidden="false" customHeight="false" outlineLevel="0" collapsed="false">
      <c r="A2196" s="0" t="s">
        <v>482</v>
      </c>
      <c r="B2196" s="0" t="s">
        <v>41</v>
      </c>
      <c r="C2196" s="0" t="s">
        <v>42</v>
      </c>
      <c r="D2196" s="0" t="n">
        <v>4</v>
      </c>
      <c r="E2196" s="2" t="n">
        <v>40759.3861111111</v>
      </c>
      <c r="F2196" s="0" t="n">
        <v>3.28</v>
      </c>
      <c r="G2196" s="0" t="n">
        <v>17856</v>
      </c>
      <c r="H2196" s="3" t="s">
        <v>101</v>
      </c>
      <c r="I2196" s="4" t="n">
        <f aca="false">D2196*F2196</f>
        <v>13.12</v>
      </c>
      <c r="J2196" s="3" t="n">
        <f aca="false">IF(AND(LEFT(A2196,1)&lt;&gt;"C",D2196&gt;0,F2196&gt;0),1,0)</f>
        <v>1</v>
      </c>
      <c r="K2196" s="3" t="n">
        <f aca="false">IF(AND(H2196="United Kingdom",G2196&lt;&gt;"",COUNTIFS($G$2:G2196,G2196,$H$2:H2196,"United Kingdom")=1),1,0)</f>
        <v>0</v>
      </c>
    </row>
    <row r="2197" customFormat="false" ht="15" hidden="false" customHeight="false" outlineLevel="0" collapsed="false">
      <c r="A2197" s="0" t="s">
        <v>482</v>
      </c>
      <c r="B2197" s="0" t="s">
        <v>45</v>
      </c>
      <c r="C2197" s="0" t="s">
        <v>46</v>
      </c>
      <c r="D2197" s="0" t="n">
        <v>4</v>
      </c>
      <c r="E2197" s="2" t="n">
        <v>40759.3861111111</v>
      </c>
      <c r="F2197" s="0" t="n">
        <v>4.55</v>
      </c>
      <c r="G2197" s="0" t="n">
        <v>17856</v>
      </c>
      <c r="H2197" s="3" t="s">
        <v>101</v>
      </c>
      <c r="I2197" s="4" t="n">
        <f aca="false">D2197*F2197</f>
        <v>18.2</v>
      </c>
      <c r="J2197" s="3" t="n">
        <f aca="false">IF(AND(LEFT(A2197,1)&lt;&gt;"C",D2197&gt;0,F2197&gt;0),1,0)</f>
        <v>1</v>
      </c>
      <c r="K2197" s="3" t="n">
        <f aca="false">IF(AND(H2197="United Kingdom",G2197&lt;&gt;"",COUNTIFS($G$2:G2197,G2197,$H$2:H2197,"United Kingdom")=1),1,0)</f>
        <v>0</v>
      </c>
    </row>
    <row r="2198" customFormat="false" ht="15" hidden="false" customHeight="false" outlineLevel="0" collapsed="false">
      <c r="A2198" s="0" t="s">
        <v>482</v>
      </c>
      <c r="B2198" s="0" t="s">
        <v>37</v>
      </c>
      <c r="C2198" s="0" t="s">
        <v>38</v>
      </c>
      <c r="D2198" s="0" t="n">
        <v>1</v>
      </c>
      <c r="E2198" s="2" t="n">
        <v>40759.3861111111</v>
      </c>
      <c r="F2198" s="0" t="n">
        <v>1.82</v>
      </c>
      <c r="G2198" s="0" t="n">
        <v>17856</v>
      </c>
      <c r="H2198" s="3" t="s">
        <v>101</v>
      </c>
      <c r="I2198" s="4" t="n">
        <f aca="false">D2198*F2198</f>
        <v>1.82</v>
      </c>
      <c r="J2198" s="3" t="n">
        <f aca="false">IF(AND(LEFT(A2198,1)&lt;&gt;"C",D2198&gt;0,F2198&gt;0),1,0)</f>
        <v>1</v>
      </c>
      <c r="K2198" s="3" t="n">
        <f aca="false">IF(AND(H2198="United Kingdom",G2198&lt;&gt;"",COUNTIFS($G$2:G2198,G2198,$H$2:H2198,"United Kingdom")=1),1,0)</f>
        <v>0</v>
      </c>
    </row>
    <row r="2199" customFormat="false" ht="15" hidden="false" customHeight="false" outlineLevel="0" collapsed="false">
      <c r="A2199" s="0" t="s">
        <v>482</v>
      </c>
      <c r="B2199" s="0" t="s">
        <v>58</v>
      </c>
      <c r="C2199" s="0" t="s">
        <v>59</v>
      </c>
      <c r="D2199" s="0" t="n">
        <v>4</v>
      </c>
      <c r="E2199" s="2" t="n">
        <v>40759.3861111111</v>
      </c>
      <c r="F2199" s="0" t="n">
        <v>2.16</v>
      </c>
      <c r="G2199" s="0" t="n">
        <v>17856</v>
      </c>
      <c r="H2199" s="3" t="s">
        <v>101</v>
      </c>
      <c r="I2199" s="4" t="n">
        <f aca="false">D2199*F2199</f>
        <v>8.64</v>
      </c>
      <c r="J2199" s="3" t="n">
        <f aca="false">IF(AND(LEFT(A2199,1)&lt;&gt;"C",D2199&gt;0,F2199&gt;0),1,0)</f>
        <v>1</v>
      </c>
      <c r="K2199" s="3" t="n">
        <f aca="false">IF(AND(H2199="United Kingdom",G2199&lt;&gt;"",COUNTIFS($G$2:G2199,G2199,$H$2:H2199,"United Kingdom")=1),1,0)</f>
        <v>0</v>
      </c>
    </row>
    <row r="2200" customFormat="false" ht="15" hidden="false" customHeight="false" outlineLevel="0" collapsed="false">
      <c r="A2200" s="0" t="s">
        <v>482</v>
      </c>
      <c r="B2200" s="0" t="s">
        <v>29</v>
      </c>
      <c r="C2200" s="0" t="s">
        <v>30</v>
      </c>
      <c r="D2200" s="0" t="n">
        <v>4</v>
      </c>
      <c r="E2200" s="2" t="n">
        <v>40759.3861111111</v>
      </c>
      <c r="F2200" s="0" t="n">
        <v>5.79</v>
      </c>
      <c r="G2200" s="0" t="n">
        <v>17856</v>
      </c>
      <c r="H2200" s="3" t="s">
        <v>101</v>
      </c>
      <c r="I2200" s="4" t="n">
        <f aca="false">D2200*F2200</f>
        <v>23.16</v>
      </c>
      <c r="J2200" s="3" t="n">
        <f aca="false">IF(AND(LEFT(A2200,1)&lt;&gt;"C",D2200&gt;0,F2200&gt;0),1,0)</f>
        <v>1</v>
      </c>
      <c r="K2200" s="3" t="n">
        <f aca="false">IF(AND(H2200="United Kingdom",G2200&lt;&gt;"",COUNTIFS($G$2:G2200,G2200,$H$2:H2200,"United Kingdom")=1),1,0)</f>
        <v>0</v>
      </c>
    </row>
    <row r="2201" customFormat="false" ht="15" hidden="false" customHeight="false" outlineLevel="0" collapsed="false">
      <c r="A2201" s="0" t="s">
        <v>482</v>
      </c>
      <c r="B2201" s="0" t="s">
        <v>20</v>
      </c>
      <c r="C2201" s="0" t="s">
        <v>21</v>
      </c>
      <c r="D2201" s="0" t="n">
        <v>8</v>
      </c>
      <c r="E2201" s="2" t="n">
        <v>40759.3861111111</v>
      </c>
      <c r="F2201" s="0" t="n">
        <v>4.24</v>
      </c>
      <c r="G2201" s="0" t="n">
        <v>17856</v>
      </c>
      <c r="H2201" s="3" t="s">
        <v>101</v>
      </c>
      <c r="I2201" s="4" t="n">
        <f aca="false">D2201*F2201</f>
        <v>33.92</v>
      </c>
      <c r="J2201" s="3" t="n">
        <f aca="false">IF(AND(LEFT(A2201,1)&lt;&gt;"C",D2201&gt;0,F2201&gt;0),1,0)</f>
        <v>1</v>
      </c>
      <c r="K2201" s="3" t="n">
        <f aca="false">IF(AND(H2201="United Kingdom",G2201&lt;&gt;"",COUNTIFS($G$2:G2201,G2201,$H$2:H2201,"United Kingdom")=1),1,0)</f>
        <v>0</v>
      </c>
    </row>
    <row r="2202" customFormat="false" ht="15" hidden="false" customHeight="false" outlineLevel="0" collapsed="false">
      <c r="A2202" s="0" t="s">
        <v>482</v>
      </c>
      <c r="B2202" s="0" t="s">
        <v>15</v>
      </c>
      <c r="C2202" s="0" t="s">
        <v>16</v>
      </c>
      <c r="D2202" s="0" t="n">
        <v>4</v>
      </c>
      <c r="E2202" s="2" t="n">
        <v>40759.3861111111</v>
      </c>
      <c r="F2202" s="0" t="n">
        <v>3.18</v>
      </c>
      <c r="G2202" s="0" t="n">
        <v>17856</v>
      </c>
      <c r="H2202" s="3" t="s">
        <v>101</v>
      </c>
      <c r="I2202" s="4" t="n">
        <f aca="false">D2202*F2202</f>
        <v>12.72</v>
      </c>
      <c r="J2202" s="3" t="n">
        <f aca="false">IF(AND(LEFT(A2202,1)&lt;&gt;"C",D2202&gt;0,F2202&gt;0),1,0)</f>
        <v>1</v>
      </c>
      <c r="K2202" s="3" t="n">
        <f aca="false">IF(AND(H2202="United Kingdom",G2202&lt;&gt;"",COUNTIFS($G$2:G2202,G2202,$H$2:H2202,"United Kingdom")=1),1,0)</f>
        <v>0</v>
      </c>
    </row>
    <row r="2203" customFormat="false" ht="15" hidden="false" customHeight="false" outlineLevel="0" collapsed="false">
      <c r="A2203" s="0" t="s">
        <v>482</v>
      </c>
      <c r="B2203" s="0" t="s">
        <v>63</v>
      </c>
      <c r="C2203" s="0" t="s">
        <v>64</v>
      </c>
      <c r="D2203" s="0" t="n">
        <v>4</v>
      </c>
      <c r="E2203" s="2" t="n">
        <v>40759.3861111111</v>
      </c>
      <c r="F2203" s="0" t="n">
        <v>2.43</v>
      </c>
      <c r="G2203" s="0" t="n">
        <v>17856</v>
      </c>
      <c r="H2203" s="3" t="s">
        <v>101</v>
      </c>
      <c r="I2203" s="4" t="n">
        <f aca="false">D2203*F2203</f>
        <v>9.72</v>
      </c>
      <c r="J2203" s="3" t="n">
        <f aca="false">IF(AND(LEFT(A2203,1)&lt;&gt;"C",D2203&gt;0,F2203&gt;0),1,0)</f>
        <v>1</v>
      </c>
      <c r="K2203" s="3" t="n">
        <f aca="false">IF(AND(H2203="United Kingdom",G2203&lt;&gt;"",COUNTIFS($G$2:G2203,G2203,$H$2:H2203,"United Kingdom")=1),1,0)</f>
        <v>0</v>
      </c>
    </row>
    <row r="2204" customFormat="false" ht="15" hidden="false" customHeight="false" outlineLevel="0" collapsed="false">
      <c r="A2204" s="0" t="s">
        <v>482</v>
      </c>
      <c r="B2204" s="0" t="s">
        <v>72</v>
      </c>
      <c r="C2204" s="0" t="s">
        <v>73</v>
      </c>
      <c r="D2204" s="0" t="n">
        <v>6</v>
      </c>
      <c r="E2204" s="2" t="n">
        <v>40759.3861111111</v>
      </c>
      <c r="F2204" s="0" t="n">
        <v>2.69</v>
      </c>
      <c r="G2204" s="0" t="n">
        <v>17856</v>
      </c>
      <c r="H2204" s="3" t="s">
        <v>101</v>
      </c>
      <c r="I2204" s="4" t="n">
        <f aca="false">D2204*F2204</f>
        <v>16.14</v>
      </c>
      <c r="J2204" s="3" t="n">
        <f aca="false">IF(AND(LEFT(A2204,1)&lt;&gt;"C",D2204&gt;0,F2204&gt;0),1,0)</f>
        <v>1</v>
      </c>
      <c r="K2204" s="3" t="n">
        <f aca="false">IF(AND(H2204="United Kingdom",G2204&lt;&gt;"",COUNTIFS($G$2:G2204,G2204,$H$2:H2204,"United Kingdom")=1),1,0)</f>
        <v>0</v>
      </c>
    </row>
    <row r="2205" customFormat="false" ht="15" hidden="false" customHeight="false" outlineLevel="0" collapsed="false">
      <c r="A2205" s="0" t="s">
        <v>482</v>
      </c>
      <c r="B2205" s="0" t="s">
        <v>113</v>
      </c>
      <c r="C2205" s="0" t="s">
        <v>114</v>
      </c>
      <c r="D2205" s="0" t="n">
        <v>4</v>
      </c>
      <c r="E2205" s="2" t="n">
        <v>40759.3861111111</v>
      </c>
      <c r="F2205" s="0" t="n">
        <v>3.57</v>
      </c>
      <c r="G2205" s="0" t="n">
        <v>17856</v>
      </c>
      <c r="H2205" s="3" t="s">
        <v>101</v>
      </c>
      <c r="I2205" s="4" t="n">
        <f aca="false">D2205*F2205</f>
        <v>14.28</v>
      </c>
      <c r="J2205" s="3" t="n">
        <f aca="false">IF(AND(LEFT(A2205,1)&lt;&gt;"C",D2205&gt;0,F2205&gt;0),1,0)</f>
        <v>1</v>
      </c>
      <c r="K2205" s="3" t="n">
        <f aca="false">IF(AND(H2205="United Kingdom",G2205&lt;&gt;"",COUNTIFS($G$2:G2205,G2205,$H$2:H2205,"United Kingdom")=1),1,0)</f>
        <v>0</v>
      </c>
    </row>
    <row r="2206" customFormat="false" ht="15" hidden="false" customHeight="false" outlineLevel="0" collapsed="false">
      <c r="A2206" s="0" t="s">
        <v>482</v>
      </c>
      <c r="B2206" s="0" t="s">
        <v>48</v>
      </c>
      <c r="C2206" s="0" t="s">
        <v>49</v>
      </c>
      <c r="D2206" s="0" t="n">
        <v>4</v>
      </c>
      <c r="E2206" s="2" t="n">
        <v>40759.3861111111</v>
      </c>
      <c r="F2206" s="0" t="n">
        <v>1.35</v>
      </c>
      <c r="G2206" s="0" t="n">
        <v>17856</v>
      </c>
      <c r="H2206" s="3" t="s">
        <v>101</v>
      </c>
      <c r="I2206" s="4" t="n">
        <f aca="false">D2206*F2206</f>
        <v>5.4</v>
      </c>
      <c r="J2206" s="3" t="n">
        <f aca="false">IF(AND(LEFT(A2206,1)&lt;&gt;"C",D2206&gt;0,F2206&gt;0),1,0)</f>
        <v>1</v>
      </c>
      <c r="K2206" s="3" t="n">
        <f aca="false">IF(AND(H2206="United Kingdom",G2206&lt;&gt;"",COUNTIFS($G$2:G2206,G2206,$H$2:H2206,"United Kingdom")=1),1,0)</f>
        <v>0</v>
      </c>
    </row>
    <row r="2207" customFormat="false" ht="15" hidden="false" customHeight="false" outlineLevel="0" collapsed="false">
      <c r="A2207" s="0" t="s">
        <v>482</v>
      </c>
      <c r="B2207" s="0" t="s">
        <v>90</v>
      </c>
      <c r="C2207" s="0" t="s">
        <v>91</v>
      </c>
      <c r="D2207" s="0" t="n">
        <v>2</v>
      </c>
      <c r="E2207" s="2" t="n">
        <v>40759.3861111111</v>
      </c>
      <c r="F2207" s="0" t="n">
        <v>3.04</v>
      </c>
      <c r="G2207" s="0" t="n">
        <v>17856</v>
      </c>
      <c r="H2207" s="3" t="s">
        <v>101</v>
      </c>
      <c r="I2207" s="4" t="n">
        <f aca="false">D2207*F2207</f>
        <v>6.08</v>
      </c>
      <c r="J2207" s="3" t="n">
        <f aca="false">IF(AND(LEFT(A2207,1)&lt;&gt;"C",D2207&gt;0,F2207&gt;0),1,0)</f>
        <v>1</v>
      </c>
      <c r="K2207" s="3" t="n">
        <f aca="false">IF(AND(H2207="United Kingdom",G2207&lt;&gt;"",COUNTIFS($G$2:G2207,G2207,$H$2:H2207,"United Kingdom")=1),1,0)</f>
        <v>0</v>
      </c>
    </row>
    <row r="2208" customFormat="false" ht="15" hidden="false" customHeight="false" outlineLevel="0" collapsed="false">
      <c r="A2208" s="0" t="s">
        <v>482</v>
      </c>
      <c r="B2208" s="0" t="s">
        <v>77</v>
      </c>
      <c r="C2208" s="0" t="s">
        <v>78</v>
      </c>
      <c r="D2208" s="0" t="n">
        <v>1</v>
      </c>
      <c r="E2208" s="2" t="n">
        <v>40759.3861111111</v>
      </c>
      <c r="F2208" s="0" t="n">
        <v>3.41</v>
      </c>
      <c r="G2208" s="0" t="n">
        <v>17856</v>
      </c>
      <c r="H2208" s="3" t="s">
        <v>101</v>
      </c>
      <c r="I2208" s="4" t="n">
        <f aca="false">D2208*F2208</f>
        <v>3.41</v>
      </c>
      <c r="J2208" s="3" t="n">
        <f aca="false">IF(AND(LEFT(A2208,1)&lt;&gt;"C",D2208&gt;0,F2208&gt;0),1,0)</f>
        <v>1</v>
      </c>
      <c r="K2208" s="3" t="n">
        <f aca="false">IF(AND(H2208="United Kingdom",G2208&lt;&gt;"",COUNTIFS($G$2:G2208,G2208,$H$2:H2208,"United Kingdom")=1),1,0)</f>
        <v>0</v>
      </c>
    </row>
    <row r="2209" customFormat="false" ht="15" hidden="false" customHeight="false" outlineLevel="0" collapsed="false">
      <c r="A2209" s="0" t="s">
        <v>482</v>
      </c>
      <c r="B2209" s="0" t="s">
        <v>60</v>
      </c>
      <c r="C2209" s="0" t="s">
        <v>61</v>
      </c>
      <c r="D2209" s="0" t="n">
        <v>16</v>
      </c>
      <c r="E2209" s="2" t="n">
        <v>40759.3861111111</v>
      </c>
      <c r="F2209" s="0" t="n">
        <v>0.63</v>
      </c>
      <c r="G2209" s="0" t="n">
        <v>17856</v>
      </c>
      <c r="H2209" s="3" t="s">
        <v>101</v>
      </c>
      <c r="I2209" s="4" t="n">
        <f aca="false">D2209*F2209</f>
        <v>10.08</v>
      </c>
      <c r="J2209" s="3" t="n">
        <f aca="false">IF(AND(LEFT(A2209,1)&lt;&gt;"C",D2209&gt;0,F2209&gt;0),1,0)</f>
        <v>1</v>
      </c>
      <c r="K2209" s="3" t="n">
        <f aca="false">IF(AND(H2209="United Kingdom",G2209&lt;&gt;"",COUNTIFS($G$2:G2209,G2209,$H$2:H2209,"United Kingdom")=1),1,0)</f>
        <v>0</v>
      </c>
    </row>
    <row r="2210" customFormat="false" ht="15" hidden="false" customHeight="false" outlineLevel="0" collapsed="false">
      <c r="A2210" s="0" t="s">
        <v>483</v>
      </c>
      <c r="B2210" s="0" t="s">
        <v>41</v>
      </c>
      <c r="C2210" s="0" t="s">
        <v>42</v>
      </c>
      <c r="D2210" s="0" t="n">
        <v>4</v>
      </c>
      <c r="E2210" s="2" t="n">
        <v>40760.3805555556</v>
      </c>
      <c r="F2210" s="0" t="n">
        <v>3.28</v>
      </c>
      <c r="G2210" s="0" t="n">
        <v>16787</v>
      </c>
      <c r="H2210" s="3" t="s">
        <v>57</v>
      </c>
      <c r="I2210" s="4" t="n">
        <f aca="false">D2210*F2210</f>
        <v>13.12</v>
      </c>
      <c r="J2210" s="3" t="n">
        <f aca="false">IF(AND(LEFT(A2210,1)&lt;&gt;"C",D2210&gt;0,F2210&gt;0),1,0)</f>
        <v>1</v>
      </c>
      <c r="K2210" s="3" t="n">
        <f aca="false">IF(AND(H2210="United Kingdom",G2210&lt;&gt;"",COUNTIFS($G$2:G2210,G2210,$H$2:H2210,"United Kingdom")=1),1,0)</f>
        <v>0</v>
      </c>
    </row>
    <row r="2211" customFormat="false" ht="15" hidden="false" customHeight="false" outlineLevel="0" collapsed="false">
      <c r="A2211" s="0" t="s">
        <v>483</v>
      </c>
      <c r="B2211" s="0" t="s">
        <v>17</v>
      </c>
      <c r="C2211" s="0" t="s">
        <v>18</v>
      </c>
      <c r="D2211" s="0" t="n">
        <v>6</v>
      </c>
      <c r="E2211" s="2" t="n">
        <v>40760.3805555556</v>
      </c>
      <c r="F2211" s="0" t="n">
        <v>1.92</v>
      </c>
      <c r="G2211" s="0" t="n">
        <v>16787</v>
      </c>
      <c r="H2211" s="3" t="s">
        <v>57</v>
      </c>
      <c r="I2211" s="4" t="n">
        <f aca="false">D2211*F2211</f>
        <v>11.52</v>
      </c>
      <c r="J2211" s="3" t="n">
        <f aca="false">IF(AND(LEFT(A2211,1)&lt;&gt;"C",D2211&gt;0,F2211&gt;0),1,0)</f>
        <v>1</v>
      </c>
      <c r="K2211" s="3" t="n">
        <f aca="false">IF(AND(H2211="United Kingdom",G2211&lt;&gt;"",COUNTIFS($G$2:G2211,G2211,$H$2:H2211,"United Kingdom")=1),1,0)</f>
        <v>0</v>
      </c>
    </row>
    <row r="2212" customFormat="false" ht="15" hidden="false" customHeight="false" outlineLevel="0" collapsed="false">
      <c r="A2212" s="0" t="s">
        <v>483</v>
      </c>
      <c r="B2212" s="0" t="s">
        <v>65</v>
      </c>
      <c r="C2212" s="0" t="s">
        <v>66</v>
      </c>
      <c r="D2212" s="0" t="n">
        <v>4</v>
      </c>
      <c r="E2212" s="2" t="n">
        <v>40760.3805555556</v>
      </c>
      <c r="F2212" s="0" t="n">
        <v>4.75</v>
      </c>
      <c r="G2212" s="0" t="n">
        <v>16787</v>
      </c>
      <c r="H2212" s="3" t="s">
        <v>57</v>
      </c>
      <c r="I2212" s="4" t="n">
        <f aca="false">D2212*F2212</f>
        <v>19</v>
      </c>
      <c r="J2212" s="3" t="n">
        <f aca="false">IF(AND(LEFT(A2212,1)&lt;&gt;"C",D2212&gt;0,F2212&gt;0),1,0)</f>
        <v>1</v>
      </c>
      <c r="K2212" s="3" t="n">
        <f aca="false">IF(AND(H2212="United Kingdom",G2212&lt;&gt;"",COUNTIFS($G$2:G2212,G2212,$H$2:H2212,"United Kingdom")=1),1,0)</f>
        <v>0</v>
      </c>
    </row>
    <row r="2213" customFormat="false" ht="15" hidden="false" customHeight="false" outlineLevel="0" collapsed="false">
      <c r="A2213" s="0" t="s">
        <v>483</v>
      </c>
      <c r="B2213" s="0" t="s">
        <v>34</v>
      </c>
      <c r="C2213" s="0" t="s">
        <v>35</v>
      </c>
      <c r="D2213" s="0" t="n">
        <v>1</v>
      </c>
      <c r="E2213" s="2" t="n">
        <v>40760.3805555556</v>
      </c>
      <c r="F2213" s="0" t="n">
        <v>2.38</v>
      </c>
      <c r="G2213" s="0" t="n">
        <v>16787</v>
      </c>
      <c r="H2213" s="3" t="s">
        <v>57</v>
      </c>
      <c r="I2213" s="4" t="n">
        <f aca="false">D2213*F2213</f>
        <v>2.38</v>
      </c>
      <c r="J2213" s="3" t="n">
        <f aca="false">IF(AND(LEFT(A2213,1)&lt;&gt;"C",D2213&gt;0,F2213&gt;0),1,0)</f>
        <v>1</v>
      </c>
      <c r="K2213" s="3" t="n">
        <f aca="false">IF(AND(H2213="United Kingdom",G2213&lt;&gt;"",COUNTIFS($G$2:G2213,G2213,$H$2:H2213,"United Kingdom")=1),1,0)</f>
        <v>0</v>
      </c>
    </row>
    <row r="2214" customFormat="false" ht="15" hidden="false" customHeight="false" outlineLevel="0" collapsed="false">
      <c r="A2214" s="0" t="s">
        <v>483</v>
      </c>
      <c r="B2214" s="0" t="s">
        <v>22</v>
      </c>
      <c r="C2214" s="0" t="s">
        <v>23</v>
      </c>
      <c r="D2214" s="0" t="n">
        <v>3</v>
      </c>
      <c r="E2214" s="2" t="n">
        <v>40760.3805555556</v>
      </c>
      <c r="F2214" s="0" t="n">
        <v>3.18</v>
      </c>
      <c r="G2214" s="0" t="n">
        <v>16787</v>
      </c>
      <c r="H2214" s="3" t="s">
        <v>57</v>
      </c>
      <c r="I2214" s="4" t="n">
        <f aca="false">D2214*F2214</f>
        <v>9.54</v>
      </c>
      <c r="J2214" s="3" t="n">
        <f aca="false">IF(AND(LEFT(A2214,1)&lt;&gt;"C",D2214&gt;0,F2214&gt;0),1,0)</f>
        <v>1</v>
      </c>
      <c r="K2214" s="3" t="n">
        <f aca="false">IF(AND(H2214="United Kingdom",G2214&lt;&gt;"",COUNTIFS($G$2:G2214,G2214,$H$2:H2214,"United Kingdom")=1),1,0)</f>
        <v>0</v>
      </c>
    </row>
    <row r="2215" customFormat="false" ht="15" hidden="false" customHeight="false" outlineLevel="0" collapsed="false">
      <c r="A2215" s="0" t="s">
        <v>483</v>
      </c>
      <c r="B2215" s="0" t="s">
        <v>50</v>
      </c>
      <c r="C2215" s="0" t="s">
        <v>51</v>
      </c>
      <c r="D2215" s="0" t="n">
        <v>19</v>
      </c>
      <c r="E2215" s="2" t="n">
        <v>40760.3805555556</v>
      </c>
      <c r="F2215" s="0" t="n">
        <v>5.41</v>
      </c>
      <c r="G2215" s="0" t="n">
        <v>16787</v>
      </c>
      <c r="H2215" s="3" t="s">
        <v>57</v>
      </c>
      <c r="I2215" s="4" t="n">
        <f aca="false">D2215*F2215</f>
        <v>102.79</v>
      </c>
      <c r="J2215" s="3" t="n">
        <f aca="false">IF(AND(LEFT(A2215,1)&lt;&gt;"C",D2215&gt;0,F2215&gt;0),1,0)</f>
        <v>1</v>
      </c>
      <c r="K2215" s="3" t="n">
        <f aca="false">IF(AND(H2215="United Kingdom",G2215&lt;&gt;"",COUNTIFS($G$2:G2215,G2215,$H$2:H2215,"United Kingdom")=1),1,0)</f>
        <v>0</v>
      </c>
    </row>
    <row r="2216" customFormat="false" ht="15" hidden="false" customHeight="false" outlineLevel="0" collapsed="false">
      <c r="A2216" s="0" t="s">
        <v>483</v>
      </c>
      <c r="B2216" s="0" t="s">
        <v>80</v>
      </c>
      <c r="C2216" s="0" t="s">
        <v>81</v>
      </c>
      <c r="D2216" s="0" t="n">
        <v>9</v>
      </c>
      <c r="E2216" s="2" t="n">
        <v>40760.3805555556</v>
      </c>
      <c r="F2216" s="0" t="n">
        <v>1.53</v>
      </c>
      <c r="G2216" s="0" t="n">
        <v>16787</v>
      </c>
      <c r="H2216" s="3" t="s">
        <v>57</v>
      </c>
      <c r="I2216" s="4" t="n">
        <f aca="false">D2216*F2216</f>
        <v>13.77</v>
      </c>
      <c r="J2216" s="3" t="n">
        <f aca="false">IF(AND(LEFT(A2216,1)&lt;&gt;"C",D2216&gt;0,F2216&gt;0),1,0)</f>
        <v>1</v>
      </c>
      <c r="K2216" s="3" t="n">
        <f aca="false">IF(AND(H2216="United Kingdom",G2216&lt;&gt;"",COUNTIFS($G$2:G2216,G2216,$H$2:H2216,"United Kingdom")=1),1,0)</f>
        <v>0</v>
      </c>
    </row>
    <row r="2217" customFormat="false" ht="15" hidden="false" customHeight="false" outlineLevel="0" collapsed="false">
      <c r="A2217" s="0" t="s">
        <v>484</v>
      </c>
      <c r="B2217" s="0" t="s">
        <v>75</v>
      </c>
      <c r="C2217" s="0" t="s">
        <v>76</v>
      </c>
      <c r="D2217" s="0" t="n">
        <v>3</v>
      </c>
      <c r="E2217" s="2" t="n">
        <v>40761.675</v>
      </c>
      <c r="F2217" s="0" t="n">
        <v>1.97</v>
      </c>
      <c r="G2217" s="0" t="n">
        <v>13299</v>
      </c>
      <c r="H2217" s="3" t="s">
        <v>14</v>
      </c>
      <c r="I2217" s="4" t="n">
        <f aca="false">D2217*F2217</f>
        <v>5.91</v>
      </c>
      <c r="J2217" s="3" t="n">
        <f aca="false">IF(AND(LEFT(A2217,1)&lt;&gt;"C",D2217&gt;0,F2217&gt;0),1,0)</f>
        <v>1</v>
      </c>
      <c r="K2217" s="3" t="n">
        <f aca="false">IF(AND(H2217="United Kingdom",G2217&lt;&gt;"",COUNTIFS($G$2:G2217,G2217,$H$2:H2217,"United Kingdom")=1),1,0)</f>
        <v>0</v>
      </c>
    </row>
    <row r="2218" customFormat="false" ht="15" hidden="false" customHeight="false" outlineLevel="0" collapsed="false">
      <c r="A2218" s="0" t="s">
        <v>484</v>
      </c>
      <c r="B2218" s="0" t="s">
        <v>39</v>
      </c>
      <c r="C2218" s="0" t="s">
        <v>40</v>
      </c>
      <c r="D2218" s="0" t="n">
        <v>1</v>
      </c>
      <c r="E2218" s="2" t="n">
        <v>40761.675</v>
      </c>
      <c r="F2218" s="0" t="n">
        <v>2.58</v>
      </c>
      <c r="G2218" s="0" t="n">
        <v>13299</v>
      </c>
      <c r="H2218" s="3" t="s">
        <v>14</v>
      </c>
      <c r="I2218" s="4" t="n">
        <f aca="false">D2218*F2218</f>
        <v>2.58</v>
      </c>
      <c r="J2218" s="3" t="n">
        <f aca="false">IF(AND(LEFT(A2218,1)&lt;&gt;"C",D2218&gt;0,F2218&gt;0),1,0)</f>
        <v>1</v>
      </c>
      <c r="K2218" s="3" t="n">
        <f aca="false">IF(AND(H2218="United Kingdom",G2218&lt;&gt;"",COUNTIFS($G$2:G2218,G2218,$H$2:H2218,"United Kingdom")=1),1,0)</f>
        <v>0</v>
      </c>
    </row>
    <row r="2219" customFormat="false" ht="15" hidden="false" customHeight="false" outlineLevel="0" collapsed="false">
      <c r="A2219" s="0" t="s">
        <v>485</v>
      </c>
      <c r="B2219" s="0" t="s">
        <v>113</v>
      </c>
      <c r="C2219" s="0" t="s">
        <v>114</v>
      </c>
      <c r="D2219" s="0" t="n">
        <v>12</v>
      </c>
      <c r="E2219" s="2" t="n">
        <v>40761.6972222222</v>
      </c>
      <c r="F2219" s="0" t="n">
        <v>3.57</v>
      </c>
      <c r="G2219" s="0" t="n">
        <v>14902</v>
      </c>
      <c r="H2219" s="3" t="s">
        <v>14</v>
      </c>
      <c r="I2219" s="4" t="n">
        <f aca="false">D2219*F2219</f>
        <v>42.84</v>
      </c>
      <c r="J2219" s="3" t="n">
        <f aca="false">IF(AND(LEFT(A2219,1)&lt;&gt;"C",D2219&gt;0,F2219&gt;0),1,0)</f>
        <v>1</v>
      </c>
      <c r="K2219" s="3" t="n">
        <f aca="false">IF(AND(H2219="United Kingdom",G2219&lt;&gt;"",COUNTIFS($G$2:G2219,G2219,$H$2:H2219,"United Kingdom")=1),1,0)</f>
        <v>0</v>
      </c>
    </row>
    <row r="2220" customFormat="false" ht="15" hidden="false" customHeight="false" outlineLevel="0" collapsed="false">
      <c r="A2220" s="0" t="s">
        <v>485</v>
      </c>
      <c r="B2220" s="0" t="s">
        <v>58</v>
      </c>
      <c r="C2220" s="0" t="s">
        <v>59</v>
      </c>
      <c r="D2220" s="0" t="n">
        <v>2</v>
      </c>
      <c r="E2220" s="2" t="n">
        <v>40761.6972222222</v>
      </c>
      <c r="F2220" s="0" t="n">
        <v>2.16</v>
      </c>
      <c r="G2220" s="0" t="n">
        <v>14902</v>
      </c>
      <c r="H2220" s="3" t="s">
        <v>14</v>
      </c>
      <c r="I2220" s="4" t="n">
        <f aca="false">D2220*F2220</f>
        <v>4.32</v>
      </c>
      <c r="J2220" s="3" t="n">
        <f aca="false">IF(AND(LEFT(A2220,1)&lt;&gt;"C",D2220&gt;0,F2220&gt;0),1,0)</f>
        <v>1</v>
      </c>
      <c r="K2220" s="3" t="n">
        <f aca="false">IF(AND(H2220="United Kingdom",G2220&lt;&gt;"",COUNTIFS($G$2:G2220,G2220,$H$2:H2220,"United Kingdom")=1),1,0)</f>
        <v>0</v>
      </c>
    </row>
    <row r="2221" customFormat="false" ht="15" hidden="false" customHeight="false" outlineLevel="0" collapsed="false">
      <c r="A2221" s="0" t="s">
        <v>485</v>
      </c>
      <c r="B2221" s="0" t="s">
        <v>34</v>
      </c>
      <c r="C2221" s="0" t="s">
        <v>35</v>
      </c>
      <c r="D2221" s="0" t="n">
        <v>4</v>
      </c>
      <c r="E2221" s="2" t="n">
        <v>40761.6972222222</v>
      </c>
      <c r="F2221" s="0" t="n">
        <v>2.38</v>
      </c>
      <c r="G2221" s="0" t="n">
        <v>14902</v>
      </c>
      <c r="H2221" s="3" t="s">
        <v>14</v>
      </c>
      <c r="I2221" s="4" t="n">
        <f aca="false">D2221*F2221</f>
        <v>9.52</v>
      </c>
      <c r="J2221" s="3" t="n">
        <f aca="false">IF(AND(LEFT(A2221,1)&lt;&gt;"C",D2221&gt;0,F2221&gt;0),1,0)</f>
        <v>1</v>
      </c>
      <c r="K2221" s="3" t="n">
        <f aca="false">IF(AND(H2221="United Kingdom",G2221&lt;&gt;"",COUNTIFS($G$2:G2221,G2221,$H$2:H2221,"United Kingdom")=1),1,0)</f>
        <v>0</v>
      </c>
    </row>
    <row r="2222" customFormat="false" ht="15" hidden="false" customHeight="false" outlineLevel="0" collapsed="false">
      <c r="A2222" s="0" t="s">
        <v>485</v>
      </c>
      <c r="B2222" s="0" t="s">
        <v>60</v>
      </c>
      <c r="C2222" s="0" t="s">
        <v>61</v>
      </c>
      <c r="D2222" s="0" t="n">
        <v>8</v>
      </c>
      <c r="E2222" s="2" t="n">
        <v>40761.6972222222</v>
      </c>
      <c r="F2222" s="0" t="n">
        <v>0.63</v>
      </c>
      <c r="G2222" s="0" t="n">
        <v>14902</v>
      </c>
      <c r="H2222" s="3" t="s">
        <v>14</v>
      </c>
      <c r="I2222" s="4" t="n">
        <f aca="false">D2222*F2222</f>
        <v>5.04</v>
      </c>
      <c r="J2222" s="3" t="n">
        <f aca="false">IF(AND(LEFT(A2222,1)&lt;&gt;"C",D2222&gt;0,F2222&gt;0),1,0)</f>
        <v>1</v>
      </c>
      <c r="K2222" s="3" t="n">
        <f aca="false">IF(AND(H2222="United Kingdom",G2222&lt;&gt;"",COUNTIFS($G$2:G2222,G2222,$H$2:H2222,"United Kingdom")=1),1,0)</f>
        <v>0</v>
      </c>
    </row>
    <row r="2223" customFormat="false" ht="15" hidden="false" customHeight="false" outlineLevel="0" collapsed="false">
      <c r="A2223" s="0" t="s">
        <v>485</v>
      </c>
      <c r="B2223" s="0" t="s">
        <v>41</v>
      </c>
      <c r="C2223" s="0" t="s">
        <v>42</v>
      </c>
      <c r="D2223" s="0" t="n">
        <v>4</v>
      </c>
      <c r="E2223" s="2" t="n">
        <v>40761.6972222222</v>
      </c>
      <c r="F2223" s="0" t="n">
        <v>3.28</v>
      </c>
      <c r="G2223" s="0" t="n">
        <v>14902</v>
      </c>
      <c r="H2223" s="3" t="s">
        <v>14</v>
      </c>
      <c r="I2223" s="4" t="n">
        <f aca="false">D2223*F2223</f>
        <v>13.12</v>
      </c>
      <c r="J2223" s="3" t="n">
        <f aca="false">IF(AND(LEFT(A2223,1)&lt;&gt;"C",D2223&gt;0,F2223&gt;0),1,0)</f>
        <v>1</v>
      </c>
      <c r="K2223" s="3" t="n">
        <f aca="false">IF(AND(H2223="United Kingdom",G2223&lt;&gt;"",COUNTIFS($G$2:G2223,G2223,$H$2:H2223,"United Kingdom")=1),1,0)</f>
        <v>0</v>
      </c>
    </row>
    <row r="2224" customFormat="false" ht="15" hidden="false" customHeight="false" outlineLevel="0" collapsed="false">
      <c r="A2224" s="0" t="s">
        <v>485</v>
      </c>
      <c r="B2224" s="0" t="s">
        <v>80</v>
      </c>
      <c r="C2224" s="0" t="s">
        <v>81</v>
      </c>
      <c r="D2224" s="0" t="n">
        <v>6</v>
      </c>
      <c r="E2224" s="2" t="n">
        <v>40761.6972222222</v>
      </c>
      <c r="F2224" s="0" t="n">
        <v>1.53</v>
      </c>
      <c r="G2224" s="0" t="n">
        <v>14902</v>
      </c>
      <c r="H2224" s="3" t="s">
        <v>14</v>
      </c>
      <c r="I2224" s="4" t="n">
        <f aca="false">D2224*F2224</f>
        <v>9.18</v>
      </c>
      <c r="J2224" s="3" t="n">
        <f aca="false">IF(AND(LEFT(A2224,1)&lt;&gt;"C",D2224&gt;0,F2224&gt;0),1,0)</f>
        <v>1</v>
      </c>
      <c r="K2224" s="3" t="n">
        <f aca="false">IF(AND(H2224="United Kingdom",G2224&lt;&gt;"",COUNTIFS($G$2:G2224,G2224,$H$2:H2224,"United Kingdom")=1),1,0)</f>
        <v>0</v>
      </c>
    </row>
    <row r="2225" customFormat="false" ht="15" hidden="false" customHeight="false" outlineLevel="0" collapsed="false">
      <c r="A2225" s="0" t="s">
        <v>485</v>
      </c>
      <c r="B2225" s="0" t="s">
        <v>45</v>
      </c>
      <c r="C2225" s="0" t="s">
        <v>46</v>
      </c>
      <c r="D2225" s="0" t="n">
        <v>8</v>
      </c>
      <c r="E2225" s="2" t="n">
        <v>40761.6972222222</v>
      </c>
      <c r="F2225" s="0" t="n">
        <v>4.55</v>
      </c>
      <c r="G2225" s="0" t="n">
        <v>14902</v>
      </c>
      <c r="H2225" s="3" t="s">
        <v>14</v>
      </c>
      <c r="I2225" s="4" t="n">
        <f aca="false">D2225*F2225</f>
        <v>36.4</v>
      </c>
      <c r="J2225" s="3" t="n">
        <f aca="false">IF(AND(LEFT(A2225,1)&lt;&gt;"C",D2225&gt;0,F2225&gt;0),1,0)</f>
        <v>1</v>
      </c>
      <c r="K2225" s="3" t="n">
        <f aca="false">IF(AND(H2225="United Kingdom",G2225&lt;&gt;"",COUNTIFS($G$2:G2225,G2225,$H$2:H2225,"United Kingdom")=1),1,0)</f>
        <v>0</v>
      </c>
    </row>
    <row r="2226" customFormat="false" ht="15" hidden="false" customHeight="false" outlineLevel="0" collapsed="false">
      <c r="A2226" s="0" t="s">
        <v>486</v>
      </c>
      <c r="B2226" s="0" t="s">
        <v>113</v>
      </c>
      <c r="C2226" s="0" t="s">
        <v>114</v>
      </c>
      <c r="D2226" s="0" t="n">
        <v>15</v>
      </c>
      <c r="E2226" s="2" t="n">
        <v>40762.3923611111</v>
      </c>
      <c r="F2226" s="0" t="n">
        <v>3.57</v>
      </c>
      <c r="G2226" s="0" t="n">
        <v>17973</v>
      </c>
      <c r="H2226" s="3" t="s">
        <v>120</v>
      </c>
      <c r="I2226" s="4" t="n">
        <f aca="false">D2226*F2226</f>
        <v>53.55</v>
      </c>
      <c r="J2226" s="3" t="n">
        <f aca="false">IF(AND(LEFT(A2226,1)&lt;&gt;"C",D2226&gt;0,F2226&gt;0),1,0)</f>
        <v>1</v>
      </c>
      <c r="K2226" s="3" t="n">
        <f aca="false">IF(AND(H2226="United Kingdom",G2226&lt;&gt;"",COUNTIFS($G$2:G2226,G2226,$H$2:H2226,"United Kingdom")=1),1,0)</f>
        <v>0</v>
      </c>
    </row>
    <row r="2227" customFormat="false" ht="15" hidden="false" customHeight="false" outlineLevel="0" collapsed="false">
      <c r="A2227" s="0" t="s">
        <v>486</v>
      </c>
      <c r="B2227" s="0" t="s">
        <v>17</v>
      </c>
      <c r="C2227" s="0" t="s">
        <v>18</v>
      </c>
      <c r="D2227" s="0" t="n">
        <v>31</v>
      </c>
      <c r="E2227" s="2" t="n">
        <v>40762.3923611111</v>
      </c>
      <c r="F2227" s="0" t="n">
        <v>1.92</v>
      </c>
      <c r="G2227" s="0" t="n">
        <v>17973</v>
      </c>
      <c r="H2227" s="3" t="s">
        <v>120</v>
      </c>
      <c r="I2227" s="4" t="n">
        <f aca="false">D2227*F2227</f>
        <v>59.52</v>
      </c>
      <c r="J2227" s="3" t="n">
        <f aca="false">IF(AND(LEFT(A2227,1)&lt;&gt;"C",D2227&gt;0,F2227&gt;0),1,0)</f>
        <v>1</v>
      </c>
      <c r="K2227" s="3" t="n">
        <f aca="false">IF(AND(H2227="United Kingdom",G2227&lt;&gt;"",COUNTIFS($G$2:G2227,G2227,$H$2:H2227,"United Kingdom")=1),1,0)</f>
        <v>0</v>
      </c>
    </row>
    <row r="2228" customFormat="false" ht="15" hidden="false" customHeight="false" outlineLevel="0" collapsed="false">
      <c r="A2228" s="0" t="s">
        <v>486</v>
      </c>
      <c r="B2228" s="0" t="s">
        <v>22</v>
      </c>
      <c r="C2228" s="0" t="s">
        <v>23</v>
      </c>
      <c r="D2228" s="0" t="n">
        <v>10</v>
      </c>
      <c r="E2228" s="2" t="n">
        <v>40762.3923611111</v>
      </c>
      <c r="F2228" s="0" t="n">
        <v>3.18</v>
      </c>
      <c r="G2228" s="0" t="n">
        <v>17973</v>
      </c>
      <c r="H2228" s="3" t="s">
        <v>120</v>
      </c>
      <c r="I2228" s="4" t="n">
        <f aca="false">D2228*F2228</f>
        <v>31.8</v>
      </c>
      <c r="J2228" s="3" t="n">
        <f aca="false">IF(AND(LEFT(A2228,1)&lt;&gt;"C",D2228&gt;0,F2228&gt;0),1,0)</f>
        <v>1</v>
      </c>
      <c r="K2228" s="3" t="n">
        <f aca="false">IF(AND(H2228="United Kingdom",G2228&lt;&gt;"",COUNTIFS($G$2:G2228,G2228,$H$2:H2228,"United Kingdom")=1),1,0)</f>
        <v>0</v>
      </c>
    </row>
    <row r="2229" customFormat="false" ht="15" hidden="false" customHeight="false" outlineLevel="0" collapsed="false">
      <c r="A2229" s="0" t="s">
        <v>486</v>
      </c>
      <c r="B2229" s="0" t="s">
        <v>72</v>
      </c>
      <c r="C2229" s="0" t="s">
        <v>73</v>
      </c>
      <c r="D2229" s="0" t="n">
        <v>31</v>
      </c>
      <c r="E2229" s="2" t="n">
        <v>40762.3923611111</v>
      </c>
      <c r="F2229" s="0" t="n">
        <v>2.69</v>
      </c>
      <c r="G2229" s="0" t="n">
        <v>17973</v>
      </c>
      <c r="H2229" s="3" t="s">
        <v>120</v>
      </c>
      <c r="I2229" s="4" t="n">
        <f aca="false">D2229*F2229</f>
        <v>83.39</v>
      </c>
      <c r="J2229" s="3" t="n">
        <f aca="false">IF(AND(LEFT(A2229,1)&lt;&gt;"C",D2229&gt;0,F2229&gt;0),1,0)</f>
        <v>1</v>
      </c>
      <c r="K2229" s="3" t="n">
        <f aca="false">IF(AND(H2229="United Kingdom",G2229&lt;&gt;"",COUNTIFS($G$2:G2229,G2229,$H$2:H2229,"United Kingdom")=1),1,0)</f>
        <v>0</v>
      </c>
    </row>
    <row r="2230" customFormat="false" ht="15" hidden="false" customHeight="false" outlineLevel="0" collapsed="false">
      <c r="A2230" s="0" t="s">
        <v>486</v>
      </c>
      <c r="B2230" s="0" t="s">
        <v>37</v>
      </c>
      <c r="C2230" s="0" t="s">
        <v>38</v>
      </c>
      <c r="D2230" s="0" t="n">
        <v>3</v>
      </c>
      <c r="E2230" s="2" t="n">
        <v>40762.3923611111</v>
      </c>
      <c r="F2230" s="0" t="n">
        <v>1.82</v>
      </c>
      <c r="G2230" s="0" t="n">
        <v>17973</v>
      </c>
      <c r="H2230" s="3" t="s">
        <v>120</v>
      </c>
      <c r="I2230" s="4" t="n">
        <f aca="false">D2230*F2230</f>
        <v>5.46</v>
      </c>
      <c r="J2230" s="3" t="n">
        <f aca="false">IF(AND(LEFT(A2230,1)&lt;&gt;"C",D2230&gt;0,F2230&gt;0),1,0)</f>
        <v>1</v>
      </c>
      <c r="K2230" s="3" t="n">
        <f aca="false">IF(AND(H2230="United Kingdom",G2230&lt;&gt;"",COUNTIFS($G$2:G2230,G2230,$H$2:H2230,"United Kingdom")=1),1,0)</f>
        <v>0</v>
      </c>
    </row>
    <row r="2231" customFormat="false" ht="15" hidden="false" customHeight="false" outlineLevel="0" collapsed="false">
      <c r="A2231" s="0" t="s">
        <v>486</v>
      </c>
      <c r="B2231" s="0" t="s">
        <v>58</v>
      </c>
      <c r="C2231" s="0" t="s">
        <v>59</v>
      </c>
      <c r="D2231" s="0" t="n">
        <v>1</v>
      </c>
      <c r="E2231" s="2" t="n">
        <v>40762.3923611111</v>
      </c>
      <c r="F2231" s="0" t="n">
        <v>2.16</v>
      </c>
      <c r="G2231" s="0" t="n">
        <v>17973</v>
      </c>
      <c r="H2231" s="3" t="s">
        <v>120</v>
      </c>
      <c r="I2231" s="4" t="n">
        <f aca="false">D2231*F2231</f>
        <v>2.16</v>
      </c>
      <c r="J2231" s="3" t="n">
        <f aca="false">IF(AND(LEFT(A2231,1)&lt;&gt;"C",D2231&gt;0,F2231&gt;0),1,0)</f>
        <v>1</v>
      </c>
      <c r="K2231" s="3" t="n">
        <f aca="false">IF(AND(H2231="United Kingdom",G2231&lt;&gt;"",COUNTIFS($G$2:G2231,G2231,$H$2:H2231,"United Kingdom")=1),1,0)</f>
        <v>0</v>
      </c>
    </row>
    <row r="2232" customFormat="false" ht="15" hidden="false" customHeight="false" outlineLevel="0" collapsed="false">
      <c r="A2232" s="0" t="s">
        <v>486</v>
      </c>
      <c r="B2232" s="0" t="s">
        <v>63</v>
      </c>
      <c r="C2232" s="0" t="s">
        <v>64</v>
      </c>
      <c r="D2232" s="0" t="n">
        <v>7</v>
      </c>
      <c r="E2232" s="2" t="n">
        <v>40762.3923611111</v>
      </c>
      <c r="F2232" s="0" t="n">
        <v>2.43</v>
      </c>
      <c r="G2232" s="0" t="n">
        <v>17973</v>
      </c>
      <c r="H2232" s="3" t="s">
        <v>120</v>
      </c>
      <c r="I2232" s="4" t="n">
        <f aca="false">D2232*F2232</f>
        <v>17.01</v>
      </c>
      <c r="J2232" s="3" t="n">
        <f aca="false">IF(AND(LEFT(A2232,1)&lt;&gt;"C",D2232&gt;0,F2232&gt;0),1,0)</f>
        <v>1</v>
      </c>
      <c r="K2232" s="3" t="n">
        <f aca="false">IF(AND(H2232="United Kingdom",G2232&lt;&gt;"",COUNTIFS($G$2:G2232,G2232,$H$2:H2232,"United Kingdom")=1),1,0)</f>
        <v>0</v>
      </c>
    </row>
    <row r="2233" customFormat="false" ht="15" hidden="false" customHeight="false" outlineLevel="0" collapsed="false">
      <c r="A2233" s="0" t="s">
        <v>486</v>
      </c>
      <c r="B2233" s="0" t="s">
        <v>65</v>
      </c>
      <c r="C2233" s="0" t="s">
        <v>66</v>
      </c>
      <c r="D2233" s="0" t="n">
        <v>3</v>
      </c>
      <c r="E2233" s="2" t="n">
        <v>40762.3923611111</v>
      </c>
      <c r="F2233" s="0" t="n">
        <v>4.75</v>
      </c>
      <c r="G2233" s="0" t="n">
        <v>17973</v>
      </c>
      <c r="H2233" s="3" t="s">
        <v>120</v>
      </c>
      <c r="I2233" s="4" t="n">
        <f aca="false">D2233*F2233</f>
        <v>14.25</v>
      </c>
      <c r="J2233" s="3" t="n">
        <f aca="false">IF(AND(LEFT(A2233,1)&lt;&gt;"C",D2233&gt;0,F2233&gt;0),1,0)</f>
        <v>1</v>
      </c>
      <c r="K2233" s="3" t="n">
        <f aca="false">IF(AND(H2233="United Kingdom",G2233&lt;&gt;"",COUNTIFS($G$2:G2233,G2233,$H$2:H2233,"United Kingdom")=1),1,0)</f>
        <v>0</v>
      </c>
    </row>
    <row r="2234" customFormat="false" ht="15" hidden="false" customHeight="false" outlineLevel="0" collapsed="false">
      <c r="A2234" s="0" t="s">
        <v>486</v>
      </c>
      <c r="B2234" s="0" t="s">
        <v>43</v>
      </c>
      <c r="C2234" s="0" t="s">
        <v>44</v>
      </c>
      <c r="D2234" s="0" t="n">
        <v>2</v>
      </c>
      <c r="E2234" s="2" t="n">
        <v>40762.3923611111</v>
      </c>
      <c r="F2234" s="0" t="n">
        <v>1.35</v>
      </c>
      <c r="G2234" s="0" t="n">
        <v>17973</v>
      </c>
      <c r="H2234" s="3" t="s">
        <v>120</v>
      </c>
      <c r="I2234" s="4" t="n">
        <f aca="false">D2234*F2234</f>
        <v>2.7</v>
      </c>
      <c r="J2234" s="3" t="n">
        <f aca="false">IF(AND(LEFT(A2234,1)&lt;&gt;"C",D2234&gt;0,F2234&gt;0),1,0)</f>
        <v>1</v>
      </c>
      <c r="K2234" s="3" t="n">
        <f aca="false">IF(AND(H2234="United Kingdom",G2234&lt;&gt;"",COUNTIFS($G$2:G2234,G2234,$H$2:H2234,"United Kingdom")=1),1,0)</f>
        <v>0</v>
      </c>
    </row>
    <row r="2235" customFormat="false" ht="15" hidden="false" customHeight="false" outlineLevel="0" collapsed="false">
      <c r="A2235" s="0" t="s">
        <v>486</v>
      </c>
      <c r="B2235" s="0" t="s">
        <v>25</v>
      </c>
      <c r="C2235" s="0" t="s">
        <v>26</v>
      </c>
      <c r="D2235" s="0" t="n">
        <v>2</v>
      </c>
      <c r="E2235" s="2" t="n">
        <v>40762.3923611111</v>
      </c>
      <c r="F2235" s="0" t="n">
        <v>2.21</v>
      </c>
      <c r="G2235" s="0" t="n">
        <v>17973</v>
      </c>
      <c r="H2235" s="3" t="s">
        <v>120</v>
      </c>
      <c r="I2235" s="4" t="n">
        <f aca="false">D2235*F2235</f>
        <v>4.42</v>
      </c>
      <c r="J2235" s="3" t="n">
        <f aca="false">IF(AND(LEFT(A2235,1)&lt;&gt;"C",D2235&gt;0,F2235&gt;0),1,0)</f>
        <v>1</v>
      </c>
      <c r="K2235" s="3" t="n">
        <f aca="false">IF(AND(H2235="United Kingdom",G2235&lt;&gt;"",COUNTIFS($G$2:G2235,G2235,$H$2:H2235,"United Kingdom")=1),1,0)</f>
        <v>0</v>
      </c>
    </row>
    <row r="2236" customFormat="false" ht="15" hidden="false" customHeight="false" outlineLevel="0" collapsed="false">
      <c r="A2236" s="0" t="s">
        <v>486</v>
      </c>
      <c r="B2236" s="0" t="s">
        <v>15</v>
      </c>
      <c r="C2236" s="0" t="s">
        <v>16</v>
      </c>
      <c r="D2236" s="0" t="n">
        <v>2</v>
      </c>
      <c r="E2236" s="2" t="n">
        <v>40762.3923611111</v>
      </c>
      <c r="F2236" s="0" t="n">
        <v>3.18</v>
      </c>
      <c r="G2236" s="0" t="n">
        <v>17973</v>
      </c>
      <c r="H2236" s="3" t="s">
        <v>120</v>
      </c>
      <c r="I2236" s="4" t="n">
        <f aca="false">D2236*F2236</f>
        <v>6.36</v>
      </c>
      <c r="J2236" s="3" t="n">
        <f aca="false">IF(AND(LEFT(A2236,1)&lt;&gt;"C",D2236&gt;0,F2236&gt;0),1,0)</f>
        <v>1</v>
      </c>
      <c r="K2236" s="3" t="n">
        <f aca="false">IF(AND(H2236="United Kingdom",G2236&lt;&gt;"",COUNTIFS($G$2:G2236,G2236,$H$2:H2236,"United Kingdom")=1),1,0)</f>
        <v>0</v>
      </c>
    </row>
    <row r="2237" customFormat="false" ht="15" hidden="false" customHeight="false" outlineLevel="0" collapsed="false">
      <c r="A2237" s="0" t="s">
        <v>486</v>
      </c>
      <c r="B2237" s="0" t="s">
        <v>45</v>
      </c>
      <c r="C2237" s="0" t="s">
        <v>46</v>
      </c>
      <c r="D2237" s="0" t="n">
        <v>10</v>
      </c>
      <c r="E2237" s="2" t="n">
        <v>40762.3923611111</v>
      </c>
      <c r="F2237" s="0" t="n">
        <v>4.55</v>
      </c>
      <c r="G2237" s="0" t="n">
        <v>17973</v>
      </c>
      <c r="H2237" s="3" t="s">
        <v>120</v>
      </c>
      <c r="I2237" s="4" t="n">
        <f aca="false">D2237*F2237</f>
        <v>45.5</v>
      </c>
      <c r="J2237" s="3" t="n">
        <f aca="false">IF(AND(LEFT(A2237,1)&lt;&gt;"C",D2237&gt;0,F2237&gt;0),1,0)</f>
        <v>1</v>
      </c>
      <c r="K2237" s="3" t="n">
        <f aca="false">IF(AND(H2237="United Kingdom",G2237&lt;&gt;"",COUNTIFS($G$2:G2237,G2237,$H$2:H2237,"United Kingdom")=1),1,0)</f>
        <v>0</v>
      </c>
    </row>
    <row r="2238" customFormat="false" ht="15" hidden="false" customHeight="false" outlineLevel="0" collapsed="false">
      <c r="A2238" s="0" t="s">
        <v>486</v>
      </c>
      <c r="B2238" s="0" t="s">
        <v>39</v>
      </c>
      <c r="C2238" s="0" t="s">
        <v>40</v>
      </c>
      <c r="D2238" s="0" t="n">
        <v>1</v>
      </c>
      <c r="E2238" s="2" t="n">
        <v>40762.3923611111</v>
      </c>
      <c r="F2238" s="0" t="n">
        <v>2.58</v>
      </c>
      <c r="G2238" s="0" t="n">
        <v>17973</v>
      </c>
      <c r="H2238" s="3" t="s">
        <v>120</v>
      </c>
      <c r="I2238" s="4" t="n">
        <f aca="false">D2238*F2238</f>
        <v>2.58</v>
      </c>
      <c r="J2238" s="3" t="n">
        <f aca="false">IF(AND(LEFT(A2238,1)&lt;&gt;"C",D2238&gt;0,F2238&gt;0),1,0)</f>
        <v>1</v>
      </c>
      <c r="K2238" s="3" t="n">
        <f aca="false">IF(AND(H2238="United Kingdom",G2238&lt;&gt;"",COUNTIFS($G$2:G2238,G2238,$H$2:H2238,"United Kingdom")=1),1,0)</f>
        <v>0</v>
      </c>
    </row>
    <row r="2239" customFormat="false" ht="15" hidden="false" customHeight="false" outlineLevel="0" collapsed="false">
      <c r="A2239" s="0" t="s">
        <v>486</v>
      </c>
      <c r="B2239" s="0" t="s">
        <v>68</v>
      </c>
      <c r="C2239" s="0" t="s">
        <v>69</v>
      </c>
      <c r="D2239" s="0" t="n">
        <v>2</v>
      </c>
      <c r="E2239" s="2" t="n">
        <v>40762.3923611111</v>
      </c>
      <c r="F2239" s="0" t="n">
        <v>1.26</v>
      </c>
      <c r="G2239" s="0" t="n">
        <v>17973</v>
      </c>
      <c r="H2239" s="3" t="s">
        <v>120</v>
      </c>
      <c r="I2239" s="4" t="n">
        <f aca="false">D2239*F2239</f>
        <v>2.52</v>
      </c>
      <c r="J2239" s="3" t="n">
        <f aca="false">IF(AND(LEFT(A2239,1)&lt;&gt;"C",D2239&gt;0,F2239&gt;0),1,0)</f>
        <v>1</v>
      </c>
      <c r="K2239" s="3" t="n">
        <f aca="false">IF(AND(H2239="United Kingdom",G2239&lt;&gt;"",COUNTIFS($G$2:G2239,G2239,$H$2:H2239,"United Kingdom")=1),1,0)</f>
        <v>0</v>
      </c>
    </row>
    <row r="2240" customFormat="false" ht="15" hidden="false" customHeight="false" outlineLevel="0" collapsed="false">
      <c r="A2240" s="0" t="s">
        <v>486</v>
      </c>
      <c r="B2240" s="0" t="s">
        <v>90</v>
      </c>
      <c r="C2240" s="0" t="s">
        <v>91</v>
      </c>
      <c r="D2240" s="0" t="n">
        <v>1</v>
      </c>
      <c r="E2240" s="2" t="n">
        <v>40762.3923611111</v>
      </c>
      <c r="F2240" s="0" t="n">
        <v>3.04</v>
      </c>
      <c r="G2240" s="0" t="n">
        <v>17973</v>
      </c>
      <c r="H2240" s="3" t="s">
        <v>120</v>
      </c>
      <c r="I2240" s="4" t="n">
        <f aca="false">D2240*F2240</f>
        <v>3.04</v>
      </c>
      <c r="J2240" s="3" t="n">
        <f aca="false">IF(AND(LEFT(A2240,1)&lt;&gt;"C",D2240&gt;0,F2240&gt;0),1,0)</f>
        <v>1</v>
      </c>
      <c r="K2240" s="3" t="n">
        <f aca="false">IF(AND(H2240="United Kingdom",G2240&lt;&gt;"",COUNTIFS($G$2:G2240,G2240,$H$2:H2240,"United Kingdom")=1),1,0)</f>
        <v>0</v>
      </c>
    </row>
    <row r="2241" customFormat="false" ht="15" hidden="false" customHeight="false" outlineLevel="0" collapsed="false">
      <c r="A2241" s="0" t="s">
        <v>486</v>
      </c>
      <c r="B2241" s="0" t="s">
        <v>41</v>
      </c>
      <c r="C2241" s="0" t="s">
        <v>42</v>
      </c>
      <c r="D2241" s="0" t="n">
        <v>2</v>
      </c>
      <c r="E2241" s="2" t="n">
        <v>40762.3923611111</v>
      </c>
      <c r="F2241" s="0" t="n">
        <v>3.28</v>
      </c>
      <c r="G2241" s="0" t="n">
        <v>17973</v>
      </c>
      <c r="H2241" s="3" t="s">
        <v>120</v>
      </c>
      <c r="I2241" s="4" t="n">
        <f aca="false">D2241*F2241</f>
        <v>6.56</v>
      </c>
      <c r="J2241" s="3" t="n">
        <f aca="false">IF(AND(LEFT(A2241,1)&lt;&gt;"C",D2241&gt;0,F2241&gt;0),1,0)</f>
        <v>1</v>
      </c>
      <c r="K2241" s="3" t="n">
        <f aca="false">IF(AND(H2241="United Kingdom",G2241&lt;&gt;"",COUNTIFS($G$2:G2241,G2241,$H$2:H2241,"United Kingdom")=1),1,0)</f>
        <v>0</v>
      </c>
    </row>
    <row r="2242" customFormat="false" ht="15" hidden="false" customHeight="false" outlineLevel="0" collapsed="false">
      <c r="A2242" s="0" t="s">
        <v>486</v>
      </c>
      <c r="B2242" s="0" t="s">
        <v>34</v>
      </c>
      <c r="C2242" s="0" t="s">
        <v>35</v>
      </c>
      <c r="D2242" s="0" t="n">
        <v>3</v>
      </c>
      <c r="E2242" s="2" t="n">
        <v>40762.3923611111</v>
      </c>
      <c r="F2242" s="0" t="n">
        <v>2.38</v>
      </c>
      <c r="G2242" s="0" t="n">
        <v>17973</v>
      </c>
      <c r="H2242" s="3" t="s">
        <v>120</v>
      </c>
      <c r="I2242" s="4" t="n">
        <f aca="false">D2242*F2242</f>
        <v>7.14</v>
      </c>
      <c r="J2242" s="3" t="n">
        <f aca="false">IF(AND(LEFT(A2242,1)&lt;&gt;"C",D2242&gt;0,F2242&gt;0),1,0)</f>
        <v>1</v>
      </c>
      <c r="K2242" s="3" t="n">
        <f aca="false">IF(AND(H2242="United Kingdom",G2242&lt;&gt;"",COUNTIFS($G$2:G2242,G2242,$H$2:H2242,"United Kingdom")=1),1,0)</f>
        <v>0</v>
      </c>
    </row>
    <row r="2243" customFormat="false" ht="15" hidden="false" customHeight="false" outlineLevel="0" collapsed="false">
      <c r="A2243" s="0" t="s">
        <v>486</v>
      </c>
      <c r="B2243" s="0" t="s">
        <v>75</v>
      </c>
      <c r="C2243" s="0" t="s">
        <v>76</v>
      </c>
      <c r="D2243" s="0" t="n">
        <v>2</v>
      </c>
      <c r="E2243" s="2" t="n">
        <v>40762.3923611111</v>
      </c>
      <c r="F2243" s="0" t="n">
        <v>1.97</v>
      </c>
      <c r="G2243" s="0" t="n">
        <v>17973</v>
      </c>
      <c r="H2243" s="3" t="s">
        <v>120</v>
      </c>
      <c r="I2243" s="4" t="n">
        <f aca="false">D2243*F2243</f>
        <v>3.94</v>
      </c>
      <c r="J2243" s="3" t="n">
        <f aca="false">IF(AND(LEFT(A2243,1)&lt;&gt;"C",D2243&gt;0,F2243&gt;0),1,0)</f>
        <v>1</v>
      </c>
      <c r="K2243" s="3" t="n">
        <f aca="false">IF(AND(H2243="United Kingdom",G2243&lt;&gt;"",COUNTIFS($G$2:G2243,G2243,$H$2:H2243,"United Kingdom")=1),1,0)</f>
        <v>0</v>
      </c>
    </row>
    <row r="2244" customFormat="false" ht="15" hidden="false" customHeight="false" outlineLevel="0" collapsed="false">
      <c r="A2244" s="0" t="s">
        <v>487</v>
      </c>
      <c r="B2244" s="0" t="s">
        <v>63</v>
      </c>
      <c r="C2244" s="0" t="s">
        <v>64</v>
      </c>
      <c r="D2244" s="0" t="n">
        <v>6</v>
      </c>
      <c r="E2244" s="2" t="n">
        <v>40762.8215277778</v>
      </c>
      <c r="F2244" s="0" t="n">
        <v>2.43</v>
      </c>
      <c r="G2244" s="0" t="n">
        <v>18249</v>
      </c>
      <c r="H2244" s="3" t="s">
        <v>14</v>
      </c>
      <c r="I2244" s="4" t="n">
        <f aca="false">D2244*F2244</f>
        <v>14.58</v>
      </c>
      <c r="J2244" s="3" t="n">
        <f aca="false">IF(AND(LEFT(A2244,1)&lt;&gt;"C",D2244&gt;0,F2244&gt;0),1,0)</f>
        <v>1</v>
      </c>
      <c r="K2244" s="3" t="n">
        <f aca="false">IF(AND(H2244="United Kingdom",G2244&lt;&gt;"",COUNTIFS($G$2:G2244,G2244,$H$2:H2244,"United Kingdom")=1),1,0)</f>
        <v>0</v>
      </c>
    </row>
    <row r="2245" customFormat="false" ht="15" hidden="false" customHeight="false" outlineLevel="0" collapsed="false">
      <c r="A2245" s="0" t="s">
        <v>487</v>
      </c>
      <c r="B2245" s="0" t="s">
        <v>65</v>
      </c>
      <c r="C2245" s="0" t="s">
        <v>66</v>
      </c>
      <c r="D2245" s="0" t="n">
        <v>8</v>
      </c>
      <c r="E2245" s="2" t="n">
        <v>40762.8215277778</v>
      </c>
      <c r="F2245" s="0" t="n">
        <v>4.75</v>
      </c>
      <c r="G2245" s="0" t="n">
        <v>18249</v>
      </c>
      <c r="H2245" s="3" t="s">
        <v>14</v>
      </c>
      <c r="I2245" s="4" t="n">
        <f aca="false">D2245*F2245</f>
        <v>38</v>
      </c>
      <c r="J2245" s="3" t="n">
        <f aca="false">IF(AND(LEFT(A2245,1)&lt;&gt;"C",D2245&gt;0,F2245&gt;0),1,0)</f>
        <v>1</v>
      </c>
      <c r="K2245" s="3" t="n">
        <f aca="false">IF(AND(H2245="United Kingdom",G2245&lt;&gt;"",COUNTIFS($G$2:G2245,G2245,$H$2:H2245,"United Kingdom")=1),1,0)</f>
        <v>0</v>
      </c>
    </row>
    <row r="2246" customFormat="false" ht="15" hidden="false" customHeight="false" outlineLevel="0" collapsed="false">
      <c r="A2246" s="0" t="s">
        <v>487</v>
      </c>
      <c r="B2246" s="0" t="s">
        <v>39</v>
      </c>
      <c r="C2246" s="0" t="s">
        <v>40</v>
      </c>
      <c r="D2246" s="0" t="n">
        <v>16</v>
      </c>
      <c r="E2246" s="2" t="n">
        <v>40762.8215277778</v>
      </c>
      <c r="F2246" s="0" t="n">
        <v>2.58</v>
      </c>
      <c r="G2246" s="0" t="n">
        <v>18249</v>
      </c>
      <c r="H2246" s="3" t="s">
        <v>14</v>
      </c>
      <c r="I2246" s="4" t="n">
        <f aca="false">D2246*F2246</f>
        <v>41.28</v>
      </c>
      <c r="J2246" s="3" t="n">
        <f aca="false">IF(AND(LEFT(A2246,1)&lt;&gt;"C",D2246&gt;0,F2246&gt;0),1,0)</f>
        <v>1</v>
      </c>
      <c r="K2246" s="3" t="n">
        <f aca="false">IF(AND(H2246="United Kingdom",G2246&lt;&gt;"",COUNTIFS($G$2:G2246,G2246,$H$2:H2246,"United Kingdom")=1),1,0)</f>
        <v>0</v>
      </c>
    </row>
    <row r="2247" customFormat="false" ht="15" hidden="false" customHeight="false" outlineLevel="0" collapsed="false">
      <c r="A2247" s="0" t="s">
        <v>488</v>
      </c>
      <c r="B2247" s="0" t="s">
        <v>90</v>
      </c>
      <c r="C2247" s="0" t="s">
        <v>91</v>
      </c>
      <c r="D2247" s="0" t="n">
        <v>1</v>
      </c>
      <c r="E2247" s="2" t="n">
        <v>40763.48125</v>
      </c>
      <c r="F2247" s="0" t="n">
        <v>3.04</v>
      </c>
      <c r="G2247" s="0" t="n">
        <v>14129</v>
      </c>
      <c r="H2247" s="3" t="s">
        <v>14</v>
      </c>
      <c r="I2247" s="4" t="n">
        <f aca="false">D2247*F2247</f>
        <v>3.04</v>
      </c>
      <c r="J2247" s="3" t="n">
        <f aca="false">IF(AND(LEFT(A2247,1)&lt;&gt;"C",D2247&gt;0,F2247&gt;0),1,0)</f>
        <v>1</v>
      </c>
      <c r="K2247" s="3" t="n">
        <f aca="false">IF(AND(H2247="United Kingdom",G2247&lt;&gt;"",COUNTIFS($G$2:G2247,G2247,$H$2:H2247,"United Kingdom")=1),1,0)</f>
        <v>0</v>
      </c>
    </row>
    <row r="2248" customFormat="false" ht="15" hidden="false" customHeight="false" outlineLevel="0" collapsed="false">
      <c r="A2248" s="0" t="s">
        <v>488</v>
      </c>
      <c r="B2248" s="0" t="s">
        <v>32</v>
      </c>
      <c r="C2248" s="0" t="s">
        <v>33</v>
      </c>
      <c r="D2248" s="0" t="n">
        <v>8</v>
      </c>
      <c r="E2248" s="2" t="n">
        <v>40763.48125</v>
      </c>
      <c r="F2248" s="0" t="n">
        <v>1.19</v>
      </c>
      <c r="G2248" s="0" t="n">
        <v>14129</v>
      </c>
      <c r="H2248" s="3" t="s">
        <v>14</v>
      </c>
      <c r="I2248" s="4" t="n">
        <f aca="false">D2248*F2248</f>
        <v>9.52</v>
      </c>
      <c r="J2248" s="3" t="n">
        <f aca="false">IF(AND(LEFT(A2248,1)&lt;&gt;"C",D2248&gt;0,F2248&gt;0),1,0)</f>
        <v>1</v>
      </c>
      <c r="K2248" s="3" t="n">
        <f aca="false">IF(AND(H2248="United Kingdom",G2248&lt;&gt;"",COUNTIFS($G$2:G2248,G2248,$H$2:H2248,"United Kingdom")=1),1,0)</f>
        <v>0</v>
      </c>
    </row>
    <row r="2249" customFormat="false" ht="15" hidden="false" customHeight="false" outlineLevel="0" collapsed="false">
      <c r="A2249" s="0" t="s">
        <v>489</v>
      </c>
      <c r="B2249" s="0" t="s">
        <v>45</v>
      </c>
      <c r="C2249" s="0" t="s">
        <v>46</v>
      </c>
      <c r="D2249" s="0" t="n">
        <v>72</v>
      </c>
      <c r="E2249" s="2" t="n">
        <v>40763.4923611111</v>
      </c>
      <c r="F2249" s="0" t="n">
        <v>4.55</v>
      </c>
      <c r="G2249" s="0" t="n">
        <v>13532</v>
      </c>
      <c r="H2249" s="3" t="s">
        <v>88</v>
      </c>
      <c r="I2249" s="4" t="n">
        <f aca="false">D2249*F2249</f>
        <v>327.6</v>
      </c>
      <c r="J2249" s="3" t="n">
        <f aca="false">IF(AND(LEFT(A2249,1)&lt;&gt;"C",D2249&gt;0,F2249&gt;0),1,0)</f>
        <v>1</v>
      </c>
      <c r="K2249" s="3" t="n">
        <f aca="false">IF(AND(H2249="United Kingdom",G2249&lt;&gt;"",COUNTIFS($G$2:G2249,G2249,$H$2:H2249,"United Kingdom")=1),1,0)</f>
        <v>0</v>
      </c>
    </row>
    <row r="2250" customFormat="false" ht="15" hidden="false" customHeight="false" outlineLevel="0" collapsed="false">
      <c r="A2250" s="0" t="s">
        <v>489</v>
      </c>
      <c r="B2250" s="0" t="s">
        <v>50</v>
      </c>
      <c r="C2250" s="0" t="s">
        <v>51</v>
      </c>
      <c r="D2250" s="0" t="n">
        <v>288</v>
      </c>
      <c r="E2250" s="2" t="n">
        <v>40763.4923611111</v>
      </c>
      <c r="F2250" s="0" t="n">
        <v>5.41</v>
      </c>
      <c r="G2250" s="0" t="n">
        <v>13532</v>
      </c>
      <c r="H2250" s="3" t="s">
        <v>88</v>
      </c>
      <c r="I2250" s="4" t="n">
        <f aca="false">D2250*F2250</f>
        <v>1558.08</v>
      </c>
      <c r="J2250" s="3" t="n">
        <f aca="false">IF(AND(LEFT(A2250,1)&lt;&gt;"C",D2250&gt;0,F2250&gt;0),1,0)</f>
        <v>1</v>
      </c>
      <c r="K2250" s="3" t="n">
        <f aca="false">IF(AND(H2250="United Kingdom",G2250&lt;&gt;"",COUNTIFS($G$2:G2250,G2250,$H$2:H2250,"United Kingdom")=1),1,0)</f>
        <v>0</v>
      </c>
    </row>
    <row r="2251" customFormat="false" ht="15" hidden="false" customHeight="false" outlineLevel="0" collapsed="false">
      <c r="A2251" s="0" t="s">
        <v>489</v>
      </c>
      <c r="B2251" s="0" t="s">
        <v>90</v>
      </c>
      <c r="C2251" s="0" t="s">
        <v>91</v>
      </c>
      <c r="D2251" s="0" t="n">
        <v>144</v>
      </c>
      <c r="E2251" s="2" t="n">
        <v>40763.4923611111</v>
      </c>
      <c r="F2251" s="0" t="n">
        <v>3.04</v>
      </c>
      <c r="G2251" s="0" t="n">
        <v>13532</v>
      </c>
      <c r="H2251" s="3" t="s">
        <v>88</v>
      </c>
      <c r="I2251" s="4" t="n">
        <f aca="false">D2251*F2251</f>
        <v>437.76</v>
      </c>
      <c r="J2251" s="3" t="n">
        <f aca="false">IF(AND(LEFT(A2251,1)&lt;&gt;"C",D2251&gt;0,F2251&gt;0),1,0)</f>
        <v>1</v>
      </c>
      <c r="K2251" s="3" t="n">
        <f aca="false">IF(AND(H2251="United Kingdom",G2251&lt;&gt;"",COUNTIFS($G$2:G2251,G2251,$H$2:H2251,"United Kingdom")=1),1,0)</f>
        <v>0</v>
      </c>
    </row>
    <row r="2252" customFormat="false" ht="15" hidden="false" customHeight="false" outlineLevel="0" collapsed="false">
      <c r="A2252" s="0" t="s">
        <v>489</v>
      </c>
      <c r="B2252" s="0" t="s">
        <v>43</v>
      </c>
      <c r="C2252" s="0" t="s">
        <v>44</v>
      </c>
      <c r="D2252" s="0" t="n">
        <v>96</v>
      </c>
      <c r="E2252" s="2" t="n">
        <v>40763.4923611111</v>
      </c>
      <c r="F2252" s="0" t="n">
        <v>1.35</v>
      </c>
      <c r="G2252" s="0" t="n">
        <v>13532</v>
      </c>
      <c r="H2252" s="3" t="s">
        <v>88</v>
      </c>
      <c r="I2252" s="4" t="n">
        <f aca="false">D2252*F2252</f>
        <v>129.6</v>
      </c>
      <c r="J2252" s="3" t="n">
        <f aca="false">IF(AND(LEFT(A2252,1)&lt;&gt;"C",D2252&gt;0,F2252&gt;0),1,0)</f>
        <v>1</v>
      </c>
      <c r="K2252" s="3" t="n">
        <f aca="false">IF(AND(H2252="United Kingdom",G2252&lt;&gt;"",COUNTIFS($G$2:G2252,G2252,$H$2:H2252,"United Kingdom")=1),1,0)</f>
        <v>0</v>
      </c>
    </row>
    <row r="2253" customFormat="false" ht="15" hidden="false" customHeight="false" outlineLevel="0" collapsed="false">
      <c r="A2253" s="0" t="s">
        <v>489</v>
      </c>
      <c r="B2253" s="0" t="s">
        <v>15</v>
      </c>
      <c r="C2253" s="0" t="s">
        <v>16</v>
      </c>
      <c r="D2253" s="0" t="n">
        <v>864</v>
      </c>
      <c r="E2253" s="2" t="n">
        <v>40763.4923611111</v>
      </c>
      <c r="F2253" s="0" t="n">
        <v>3.18</v>
      </c>
      <c r="G2253" s="0" t="n">
        <v>13532</v>
      </c>
      <c r="H2253" s="3" t="s">
        <v>88</v>
      </c>
      <c r="I2253" s="4" t="n">
        <f aca="false">D2253*F2253</f>
        <v>2747.52</v>
      </c>
      <c r="J2253" s="3" t="n">
        <f aca="false">IF(AND(LEFT(A2253,1)&lt;&gt;"C",D2253&gt;0,F2253&gt;0),1,0)</f>
        <v>1</v>
      </c>
      <c r="K2253" s="3" t="n">
        <f aca="false">IF(AND(H2253="United Kingdom",G2253&lt;&gt;"",COUNTIFS($G$2:G2253,G2253,$H$2:H2253,"United Kingdom")=1),1,0)</f>
        <v>0</v>
      </c>
    </row>
    <row r="2254" customFormat="false" ht="15" hidden="false" customHeight="false" outlineLevel="0" collapsed="false">
      <c r="A2254" s="0" t="s">
        <v>490</v>
      </c>
      <c r="B2254" s="0" t="s">
        <v>90</v>
      </c>
      <c r="C2254" s="0" t="s">
        <v>91</v>
      </c>
      <c r="D2254" s="0" t="n">
        <v>108</v>
      </c>
      <c r="E2254" s="2" t="n">
        <v>40763.4930555556</v>
      </c>
      <c r="F2254" s="0" t="n">
        <v>3.04</v>
      </c>
      <c r="G2254" s="0" t="n">
        <v>17737</v>
      </c>
      <c r="H2254" s="3" t="s">
        <v>14</v>
      </c>
      <c r="I2254" s="4" t="n">
        <f aca="false">D2254*F2254</f>
        <v>328.32</v>
      </c>
      <c r="J2254" s="3" t="n">
        <f aca="false">IF(AND(LEFT(A2254,1)&lt;&gt;"C",D2254&gt;0,F2254&gt;0),1,0)</f>
        <v>1</v>
      </c>
      <c r="K2254" s="3" t="n">
        <f aca="false">IF(AND(H2254="United Kingdom",G2254&lt;&gt;"",COUNTIFS($G$2:G2254,G2254,$H$2:H2254,"United Kingdom")=1),1,0)</f>
        <v>0</v>
      </c>
    </row>
    <row r="2255" customFormat="false" ht="15" hidden="false" customHeight="false" outlineLevel="0" collapsed="false">
      <c r="A2255" s="0" t="s">
        <v>490</v>
      </c>
      <c r="B2255" s="0" t="s">
        <v>25</v>
      </c>
      <c r="C2255" s="0" t="s">
        <v>26</v>
      </c>
      <c r="D2255" s="0" t="n">
        <v>144</v>
      </c>
      <c r="E2255" s="2" t="n">
        <v>40763.4930555556</v>
      </c>
      <c r="F2255" s="0" t="n">
        <v>2.21</v>
      </c>
      <c r="G2255" s="0" t="n">
        <v>17737</v>
      </c>
      <c r="H2255" s="3" t="s">
        <v>14</v>
      </c>
      <c r="I2255" s="4" t="n">
        <f aca="false">D2255*F2255</f>
        <v>318.24</v>
      </c>
      <c r="J2255" s="3" t="n">
        <f aca="false">IF(AND(LEFT(A2255,1)&lt;&gt;"C",D2255&gt;0,F2255&gt;0),1,0)</f>
        <v>1</v>
      </c>
      <c r="K2255" s="3" t="n">
        <f aca="false">IF(AND(H2255="United Kingdom",G2255&lt;&gt;"",COUNTIFS($G$2:G2255,G2255,$H$2:H2255,"United Kingdom")=1),1,0)</f>
        <v>0</v>
      </c>
    </row>
    <row r="2256" customFormat="false" ht="15" hidden="false" customHeight="false" outlineLevel="0" collapsed="false">
      <c r="A2256" s="0" t="s">
        <v>490</v>
      </c>
      <c r="B2256" s="0" t="s">
        <v>52</v>
      </c>
      <c r="C2256" s="0" t="s">
        <v>53</v>
      </c>
      <c r="D2256" s="0" t="n">
        <v>72</v>
      </c>
      <c r="E2256" s="2" t="n">
        <v>40763.4930555556</v>
      </c>
      <c r="F2256" s="0" t="n">
        <v>4.16</v>
      </c>
      <c r="G2256" s="0" t="n">
        <v>17737</v>
      </c>
      <c r="H2256" s="3" t="s">
        <v>14</v>
      </c>
      <c r="I2256" s="4" t="n">
        <f aca="false">D2256*F2256</f>
        <v>299.52</v>
      </c>
      <c r="J2256" s="3" t="n">
        <f aca="false">IF(AND(LEFT(A2256,1)&lt;&gt;"C",D2256&gt;0,F2256&gt;0),1,0)</f>
        <v>1</v>
      </c>
      <c r="K2256" s="3" t="n">
        <f aca="false">IF(AND(H2256="United Kingdom",G2256&lt;&gt;"",COUNTIFS($G$2:G2256,G2256,$H$2:H2256,"United Kingdom")=1),1,0)</f>
        <v>0</v>
      </c>
    </row>
    <row r="2257" customFormat="false" ht="15" hidden="false" customHeight="false" outlineLevel="0" collapsed="false">
      <c r="A2257" s="0" t="s">
        <v>490</v>
      </c>
      <c r="B2257" s="0" t="s">
        <v>15</v>
      </c>
      <c r="C2257" s="0" t="s">
        <v>16</v>
      </c>
      <c r="D2257" s="0" t="n">
        <v>288</v>
      </c>
      <c r="E2257" s="2" t="n">
        <v>40763.4930555556</v>
      </c>
      <c r="F2257" s="0" t="n">
        <v>3.18</v>
      </c>
      <c r="G2257" s="0" t="n">
        <v>17737</v>
      </c>
      <c r="H2257" s="3" t="s">
        <v>14</v>
      </c>
      <c r="I2257" s="4" t="n">
        <f aca="false">D2257*F2257</f>
        <v>915.84</v>
      </c>
      <c r="J2257" s="3" t="n">
        <f aca="false">IF(AND(LEFT(A2257,1)&lt;&gt;"C",D2257&gt;0,F2257&gt;0),1,0)</f>
        <v>1</v>
      </c>
      <c r="K2257" s="3" t="n">
        <f aca="false">IF(AND(H2257="United Kingdom",G2257&lt;&gt;"",COUNTIFS($G$2:G2257,G2257,$H$2:H2257,"United Kingdom")=1),1,0)</f>
        <v>0</v>
      </c>
    </row>
    <row r="2258" customFormat="false" ht="15" hidden="false" customHeight="false" outlineLevel="0" collapsed="false">
      <c r="A2258" s="0" t="s">
        <v>491</v>
      </c>
      <c r="B2258" s="0" t="s">
        <v>12</v>
      </c>
      <c r="C2258" s="0" t="s">
        <v>13</v>
      </c>
      <c r="D2258" s="0" t="n">
        <v>48</v>
      </c>
      <c r="E2258" s="2" t="n">
        <v>40764.4222222222</v>
      </c>
      <c r="F2258" s="0" t="n">
        <v>3.33</v>
      </c>
      <c r="G2258" s="0" t="n">
        <v>14494</v>
      </c>
      <c r="H2258" s="3" t="s">
        <v>14</v>
      </c>
      <c r="I2258" s="4" t="n">
        <f aca="false">D2258*F2258</f>
        <v>159.84</v>
      </c>
      <c r="J2258" s="3" t="n">
        <f aca="false">IF(AND(LEFT(A2258,1)&lt;&gt;"C",D2258&gt;0,F2258&gt;0),1,0)</f>
        <v>1</v>
      </c>
      <c r="K2258" s="3" t="n">
        <f aca="false">IF(AND(H2258="United Kingdom",G2258&lt;&gt;"",COUNTIFS($G$2:G2258,G2258,$H$2:H2258,"United Kingdom")=1),1,0)</f>
        <v>0</v>
      </c>
    </row>
    <row r="2259" customFormat="false" ht="15" hidden="false" customHeight="false" outlineLevel="0" collapsed="false">
      <c r="A2259" s="0" t="s">
        <v>491</v>
      </c>
      <c r="B2259" s="0" t="s">
        <v>54</v>
      </c>
      <c r="C2259" s="0" t="s">
        <v>55</v>
      </c>
      <c r="D2259" s="0" t="n">
        <v>24</v>
      </c>
      <c r="E2259" s="2" t="n">
        <v>40764.4222222222</v>
      </c>
      <c r="F2259" s="0" t="n">
        <v>0.99</v>
      </c>
      <c r="G2259" s="0" t="n">
        <v>14494</v>
      </c>
      <c r="H2259" s="3" t="s">
        <v>14</v>
      </c>
      <c r="I2259" s="4" t="n">
        <f aca="false">D2259*F2259</f>
        <v>23.76</v>
      </c>
      <c r="J2259" s="3" t="n">
        <f aca="false">IF(AND(LEFT(A2259,1)&lt;&gt;"C",D2259&gt;0,F2259&gt;0),1,0)</f>
        <v>1</v>
      </c>
      <c r="K2259" s="3" t="n">
        <f aca="false">IF(AND(H2259="United Kingdom",G2259&lt;&gt;"",COUNTIFS($G$2:G2259,G2259,$H$2:H2259,"United Kingdom")=1),1,0)</f>
        <v>0</v>
      </c>
    </row>
    <row r="2260" customFormat="false" ht="15" hidden="false" customHeight="false" outlineLevel="0" collapsed="false">
      <c r="A2260" s="0" t="s">
        <v>491</v>
      </c>
      <c r="B2260" s="0" t="s">
        <v>41</v>
      </c>
      <c r="C2260" s="0" t="s">
        <v>42</v>
      </c>
      <c r="D2260" s="0" t="n">
        <v>72</v>
      </c>
      <c r="E2260" s="2" t="n">
        <v>40764.4222222222</v>
      </c>
      <c r="F2260" s="0" t="n">
        <v>3.28</v>
      </c>
      <c r="G2260" s="0" t="n">
        <v>14494</v>
      </c>
      <c r="H2260" s="3" t="s">
        <v>14</v>
      </c>
      <c r="I2260" s="4" t="n">
        <f aca="false">D2260*F2260</f>
        <v>236.16</v>
      </c>
      <c r="J2260" s="3" t="n">
        <f aca="false">IF(AND(LEFT(A2260,1)&lt;&gt;"C",D2260&gt;0,F2260&gt;0),1,0)</f>
        <v>1</v>
      </c>
      <c r="K2260" s="3" t="n">
        <f aca="false">IF(AND(H2260="United Kingdom",G2260&lt;&gt;"",COUNTIFS($G$2:G2260,G2260,$H$2:H2260,"United Kingdom")=1),1,0)</f>
        <v>0</v>
      </c>
    </row>
    <row r="2261" customFormat="false" ht="15" hidden="false" customHeight="false" outlineLevel="0" collapsed="false">
      <c r="A2261" s="0" t="s">
        <v>491</v>
      </c>
      <c r="B2261" s="0" t="s">
        <v>20</v>
      </c>
      <c r="C2261" s="0" t="s">
        <v>21</v>
      </c>
      <c r="D2261" s="0" t="n">
        <v>6</v>
      </c>
      <c r="E2261" s="2" t="n">
        <v>40764.4222222222</v>
      </c>
      <c r="F2261" s="0" t="n">
        <v>4.24</v>
      </c>
      <c r="G2261" s="0" t="n">
        <v>14494</v>
      </c>
      <c r="H2261" s="3" t="s">
        <v>14</v>
      </c>
      <c r="I2261" s="4" t="n">
        <f aca="false">D2261*F2261</f>
        <v>25.44</v>
      </c>
      <c r="J2261" s="3" t="n">
        <f aca="false">IF(AND(LEFT(A2261,1)&lt;&gt;"C",D2261&gt;0,F2261&gt;0),1,0)</f>
        <v>1</v>
      </c>
      <c r="K2261" s="3" t="n">
        <f aca="false">IF(AND(H2261="United Kingdom",G2261&lt;&gt;"",COUNTIFS($G$2:G2261,G2261,$H$2:H2261,"United Kingdom")=1),1,0)</f>
        <v>0</v>
      </c>
    </row>
    <row r="2262" customFormat="false" ht="15" hidden="false" customHeight="false" outlineLevel="0" collapsed="false">
      <c r="A2262" s="0" t="s">
        <v>491</v>
      </c>
      <c r="B2262" s="0" t="s">
        <v>63</v>
      </c>
      <c r="C2262" s="0" t="s">
        <v>64</v>
      </c>
      <c r="D2262" s="0" t="n">
        <v>144</v>
      </c>
      <c r="E2262" s="2" t="n">
        <v>40764.4222222222</v>
      </c>
      <c r="F2262" s="0" t="n">
        <v>2.43</v>
      </c>
      <c r="G2262" s="0" t="n">
        <v>14494</v>
      </c>
      <c r="H2262" s="3" t="s">
        <v>14</v>
      </c>
      <c r="I2262" s="4" t="n">
        <f aca="false">D2262*F2262</f>
        <v>349.92</v>
      </c>
      <c r="J2262" s="3" t="n">
        <f aca="false">IF(AND(LEFT(A2262,1)&lt;&gt;"C",D2262&gt;0,F2262&gt;0),1,0)</f>
        <v>1</v>
      </c>
      <c r="K2262" s="3" t="n">
        <f aca="false">IF(AND(H2262="United Kingdom",G2262&lt;&gt;"",COUNTIFS($G$2:G2262,G2262,$H$2:H2262,"United Kingdom")=1),1,0)</f>
        <v>0</v>
      </c>
    </row>
    <row r="2263" customFormat="false" ht="15" hidden="false" customHeight="false" outlineLevel="0" collapsed="false">
      <c r="A2263" s="0" t="s">
        <v>491</v>
      </c>
      <c r="B2263" s="0" t="s">
        <v>58</v>
      </c>
      <c r="C2263" s="0" t="s">
        <v>59</v>
      </c>
      <c r="D2263" s="0" t="n">
        <v>6</v>
      </c>
      <c r="E2263" s="2" t="n">
        <v>40764.4222222222</v>
      </c>
      <c r="F2263" s="0" t="n">
        <v>2.16</v>
      </c>
      <c r="G2263" s="0" t="n">
        <v>14494</v>
      </c>
      <c r="H2263" s="3" t="s">
        <v>14</v>
      </c>
      <c r="I2263" s="4" t="n">
        <f aca="false">D2263*F2263</f>
        <v>12.96</v>
      </c>
      <c r="J2263" s="3" t="n">
        <f aca="false">IF(AND(LEFT(A2263,1)&lt;&gt;"C",D2263&gt;0,F2263&gt;0),1,0)</f>
        <v>1</v>
      </c>
      <c r="K2263" s="3" t="n">
        <f aca="false">IF(AND(H2263="United Kingdom",G2263&lt;&gt;"",COUNTIFS($G$2:G2263,G2263,$H$2:H2263,"United Kingdom")=1),1,0)</f>
        <v>0</v>
      </c>
    </row>
    <row r="2264" customFormat="false" ht="15" hidden="false" customHeight="false" outlineLevel="0" collapsed="false">
      <c r="A2264" s="0" t="s">
        <v>491</v>
      </c>
      <c r="B2264" s="0" t="s">
        <v>43</v>
      </c>
      <c r="C2264" s="0" t="s">
        <v>44</v>
      </c>
      <c r="D2264" s="0" t="n">
        <v>24</v>
      </c>
      <c r="E2264" s="2" t="n">
        <v>40764.4222222222</v>
      </c>
      <c r="F2264" s="0" t="n">
        <v>1.35</v>
      </c>
      <c r="G2264" s="0" t="n">
        <v>14494</v>
      </c>
      <c r="H2264" s="3" t="s">
        <v>14</v>
      </c>
      <c r="I2264" s="4" t="n">
        <f aca="false">D2264*F2264</f>
        <v>32.4</v>
      </c>
      <c r="J2264" s="3" t="n">
        <f aca="false">IF(AND(LEFT(A2264,1)&lt;&gt;"C",D2264&gt;0,F2264&gt;0),1,0)</f>
        <v>1</v>
      </c>
      <c r="K2264" s="3" t="n">
        <f aca="false">IF(AND(H2264="United Kingdom",G2264&lt;&gt;"",COUNTIFS($G$2:G2264,G2264,$H$2:H2264,"United Kingdom")=1),1,0)</f>
        <v>0</v>
      </c>
    </row>
    <row r="2265" customFormat="false" ht="15" hidden="false" customHeight="false" outlineLevel="0" collapsed="false">
      <c r="A2265" s="0" t="s">
        <v>491</v>
      </c>
      <c r="B2265" s="0" t="s">
        <v>45</v>
      </c>
      <c r="C2265" s="0" t="s">
        <v>46</v>
      </c>
      <c r="D2265" s="0" t="n">
        <v>144</v>
      </c>
      <c r="E2265" s="2" t="n">
        <v>40764.4222222222</v>
      </c>
      <c r="F2265" s="0" t="n">
        <v>4.55</v>
      </c>
      <c r="G2265" s="0" t="n">
        <v>14494</v>
      </c>
      <c r="H2265" s="3" t="s">
        <v>14</v>
      </c>
      <c r="I2265" s="4" t="n">
        <f aca="false">D2265*F2265</f>
        <v>655.2</v>
      </c>
      <c r="J2265" s="3" t="n">
        <f aca="false">IF(AND(LEFT(A2265,1)&lt;&gt;"C",D2265&gt;0,F2265&gt;0),1,0)</f>
        <v>1</v>
      </c>
      <c r="K2265" s="3" t="n">
        <f aca="false">IF(AND(H2265="United Kingdom",G2265&lt;&gt;"",COUNTIFS($G$2:G2265,G2265,$H$2:H2265,"United Kingdom")=1),1,0)</f>
        <v>0</v>
      </c>
    </row>
    <row r="2266" customFormat="false" ht="15" hidden="false" customHeight="false" outlineLevel="0" collapsed="false">
      <c r="A2266" s="0" t="s">
        <v>491</v>
      </c>
      <c r="B2266" s="0" t="s">
        <v>29</v>
      </c>
      <c r="C2266" s="0" t="s">
        <v>30</v>
      </c>
      <c r="D2266" s="0" t="n">
        <v>192</v>
      </c>
      <c r="E2266" s="2" t="n">
        <v>40764.4222222222</v>
      </c>
      <c r="F2266" s="0" t="n">
        <v>5.79</v>
      </c>
      <c r="G2266" s="0" t="n">
        <v>14494</v>
      </c>
      <c r="H2266" s="3" t="s">
        <v>14</v>
      </c>
      <c r="I2266" s="4" t="n">
        <f aca="false">D2266*F2266</f>
        <v>1111.68</v>
      </c>
      <c r="J2266" s="3" t="n">
        <f aca="false">IF(AND(LEFT(A2266,1)&lt;&gt;"C",D2266&gt;0,F2266&gt;0),1,0)</f>
        <v>1</v>
      </c>
      <c r="K2266" s="3" t="n">
        <f aca="false">IF(AND(H2266="United Kingdom",G2266&lt;&gt;"",COUNTIFS($G$2:G2266,G2266,$H$2:H2266,"United Kingdom")=1),1,0)</f>
        <v>0</v>
      </c>
    </row>
    <row r="2267" customFormat="false" ht="15" hidden="false" customHeight="false" outlineLevel="0" collapsed="false">
      <c r="A2267" s="0" t="s">
        <v>492</v>
      </c>
      <c r="B2267" s="0" t="s">
        <v>60</v>
      </c>
      <c r="C2267" s="0" t="s">
        <v>61</v>
      </c>
      <c r="D2267" s="0" t="n">
        <v>7</v>
      </c>
      <c r="E2267" s="2" t="n">
        <v>40764.4381944445</v>
      </c>
      <c r="F2267" s="0" t="n">
        <v>0.63</v>
      </c>
      <c r="G2267" s="0" t="n">
        <v>12428</v>
      </c>
      <c r="H2267" s="3" t="s">
        <v>177</v>
      </c>
      <c r="I2267" s="4" t="n">
        <f aca="false">D2267*F2267</f>
        <v>4.41</v>
      </c>
      <c r="J2267" s="3" t="n">
        <f aca="false">IF(AND(LEFT(A2267,1)&lt;&gt;"C",D2267&gt;0,F2267&gt;0),1,0)</f>
        <v>1</v>
      </c>
      <c r="K2267" s="3" t="n">
        <f aca="false">IF(AND(H2267="United Kingdom",G2267&lt;&gt;"",COUNTIFS($G$2:G2267,G2267,$H$2:H2267,"United Kingdom")=1),1,0)</f>
        <v>0</v>
      </c>
    </row>
    <row r="2268" customFormat="false" ht="15" hidden="false" customHeight="false" outlineLevel="0" collapsed="false">
      <c r="A2268" s="0" t="s">
        <v>492</v>
      </c>
      <c r="B2268" s="0" t="s">
        <v>113</v>
      </c>
      <c r="C2268" s="0" t="s">
        <v>114</v>
      </c>
      <c r="D2268" s="0" t="n">
        <v>3</v>
      </c>
      <c r="E2268" s="2" t="n">
        <v>40764.4381944445</v>
      </c>
      <c r="F2268" s="0" t="n">
        <v>3.57</v>
      </c>
      <c r="G2268" s="0" t="n">
        <v>12428</v>
      </c>
      <c r="H2268" s="3" t="s">
        <v>177</v>
      </c>
      <c r="I2268" s="4" t="n">
        <f aca="false">D2268*F2268</f>
        <v>10.71</v>
      </c>
      <c r="J2268" s="3" t="n">
        <f aca="false">IF(AND(LEFT(A2268,1)&lt;&gt;"C",D2268&gt;0,F2268&gt;0),1,0)</f>
        <v>1</v>
      </c>
      <c r="K2268" s="3" t="n">
        <f aca="false">IF(AND(H2268="United Kingdom",G2268&lt;&gt;"",COUNTIFS($G$2:G2268,G2268,$H$2:H2268,"United Kingdom")=1),1,0)</f>
        <v>0</v>
      </c>
    </row>
    <row r="2269" customFormat="false" ht="15" hidden="false" customHeight="false" outlineLevel="0" collapsed="false">
      <c r="A2269" s="0" t="s">
        <v>492</v>
      </c>
      <c r="B2269" s="0" t="s">
        <v>17</v>
      </c>
      <c r="C2269" s="0" t="s">
        <v>18</v>
      </c>
      <c r="D2269" s="0" t="n">
        <v>14</v>
      </c>
      <c r="E2269" s="2" t="n">
        <v>40764.4381944445</v>
      </c>
      <c r="F2269" s="0" t="n">
        <v>1.92</v>
      </c>
      <c r="G2269" s="0" t="n">
        <v>12428</v>
      </c>
      <c r="H2269" s="3" t="s">
        <v>177</v>
      </c>
      <c r="I2269" s="4" t="n">
        <f aca="false">D2269*F2269</f>
        <v>26.88</v>
      </c>
      <c r="J2269" s="3" t="n">
        <f aca="false">IF(AND(LEFT(A2269,1)&lt;&gt;"C",D2269&gt;0,F2269&gt;0),1,0)</f>
        <v>1</v>
      </c>
      <c r="K2269" s="3" t="n">
        <f aca="false">IF(AND(H2269="United Kingdom",G2269&lt;&gt;"",COUNTIFS($G$2:G2269,G2269,$H$2:H2269,"United Kingdom")=1),1,0)</f>
        <v>0</v>
      </c>
    </row>
    <row r="2270" customFormat="false" ht="15" hidden="false" customHeight="false" outlineLevel="0" collapsed="false">
      <c r="A2270" s="0" t="s">
        <v>492</v>
      </c>
      <c r="B2270" s="0" t="s">
        <v>22</v>
      </c>
      <c r="C2270" s="0" t="s">
        <v>23</v>
      </c>
      <c r="D2270" s="0" t="n">
        <v>10</v>
      </c>
      <c r="E2270" s="2" t="n">
        <v>40764.4381944445</v>
      </c>
      <c r="F2270" s="0" t="n">
        <v>3.18</v>
      </c>
      <c r="G2270" s="0" t="n">
        <v>12428</v>
      </c>
      <c r="H2270" s="3" t="s">
        <v>177</v>
      </c>
      <c r="I2270" s="4" t="n">
        <f aca="false">D2270*F2270</f>
        <v>31.8</v>
      </c>
      <c r="J2270" s="3" t="n">
        <f aca="false">IF(AND(LEFT(A2270,1)&lt;&gt;"C",D2270&gt;0,F2270&gt;0),1,0)</f>
        <v>1</v>
      </c>
      <c r="K2270" s="3" t="n">
        <f aca="false">IF(AND(H2270="United Kingdom",G2270&lt;&gt;"",COUNTIFS($G$2:G2270,G2270,$H$2:H2270,"United Kingdom")=1),1,0)</f>
        <v>0</v>
      </c>
    </row>
    <row r="2271" customFormat="false" ht="15" hidden="false" customHeight="false" outlineLevel="0" collapsed="false">
      <c r="A2271" s="0" t="s">
        <v>492</v>
      </c>
      <c r="B2271" s="0" t="s">
        <v>54</v>
      </c>
      <c r="C2271" s="0" t="s">
        <v>55</v>
      </c>
      <c r="D2271" s="0" t="n">
        <v>3</v>
      </c>
      <c r="E2271" s="2" t="n">
        <v>40764.4381944445</v>
      </c>
      <c r="F2271" s="0" t="n">
        <v>0.99</v>
      </c>
      <c r="G2271" s="0" t="n">
        <v>12428</v>
      </c>
      <c r="H2271" s="3" t="s">
        <v>177</v>
      </c>
      <c r="I2271" s="4" t="n">
        <f aca="false">D2271*F2271</f>
        <v>2.97</v>
      </c>
      <c r="J2271" s="3" t="n">
        <f aca="false">IF(AND(LEFT(A2271,1)&lt;&gt;"C",D2271&gt;0,F2271&gt;0),1,0)</f>
        <v>1</v>
      </c>
      <c r="K2271" s="3" t="n">
        <f aca="false">IF(AND(H2271="United Kingdom",G2271&lt;&gt;"",COUNTIFS($G$2:G2271,G2271,$H$2:H2271,"United Kingdom")=1),1,0)</f>
        <v>0</v>
      </c>
    </row>
    <row r="2272" customFormat="false" ht="15" hidden="false" customHeight="false" outlineLevel="0" collapsed="false">
      <c r="A2272" s="0" t="s">
        <v>492</v>
      </c>
      <c r="B2272" s="0" t="s">
        <v>34</v>
      </c>
      <c r="C2272" s="0" t="s">
        <v>35</v>
      </c>
      <c r="D2272" s="0" t="n">
        <v>7</v>
      </c>
      <c r="E2272" s="2" t="n">
        <v>40764.4381944445</v>
      </c>
      <c r="F2272" s="0" t="n">
        <v>2.38</v>
      </c>
      <c r="G2272" s="0" t="n">
        <v>12428</v>
      </c>
      <c r="H2272" s="3" t="s">
        <v>177</v>
      </c>
      <c r="I2272" s="4" t="n">
        <f aca="false">D2272*F2272</f>
        <v>16.66</v>
      </c>
      <c r="J2272" s="3" t="n">
        <f aca="false">IF(AND(LEFT(A2272,1)&lt;&gt;"C",D2272&gt;0,F2272&gt;0),1,0)</f>
        <v>1</v>
      </c>
      <c r="K2272" s="3" t="n">
        <f aca="false">IF(AND(H2272="United Kingdom",G2272&lt;&gt;"",COUNTIFS($G$2:G2272,G2272,$H$2:H2272,"United Kingdom")=1),1,0)</f>
        <v>0</v>
      </c>
    </row>
    <row r="2273" customFormat="false" ht="15" hidden="false" customHeight="false" outlineLevel="0" collapsed="false">
      <c r="A2273" s="0" t="s">
        <v>492</v>
      </c>
      <c r="B2273" s="0" t="s">
        <v>29</v>
      </c>
      <c r="C2273" s="0" t="s">
        <v>30</v>
      </c>
      <c r="D2273" s="0" t="n">
        <v>3</v>
      </c>
      <c r="E2273" s="2" t="n">
        <v>40764.4381944445</v>
      </c>
      <c r="F2273" s="0" t="n">
        <v>5.79</v>
      </c>
      <c r="G2273" s="0" t="n">
        <v>12428</v>
      </c>
      <c r="H2273" s="3" t="s">
        <v>177</v>
      </c>
      <c r="I2273" s="4" t="n">
        <f aca="false">D2273*F2273</f>
        <v>17.37</v>
      </c>
      <c r="J2273" s="3" t="n">
        <f aca="false">IF(AND(LEFT(A2273,1)&lt;&gt;"C",D2273&gt;0,F2273&gt;0),1,0)</f>
        <v>1</v>
      </c>
      <c r="K2273" s="3" t="n">
        <f aca="false">IF(AND(H2273="United Kingdom",G2273&lt;&gt;"",COUNTIFS($G$2:G2273,G2273,$H$2:H2273,"United Kingdom")=1),1,0)</f>
        <v>0</v>
      </c>
    </row>
    <row r="2274" customFormat="false" ht="15" hidden="false" customHeight="false" outlineLevel="0" collapsed="false">
      <c r="A2274" s="0" t="s">
        <v>492</v>
      </c>
      <c r="B2274" s="0" t="s">
        <v>41</v>
      </c>
      <c r="C2274" s="0" t="s">
        <v>42</v>
      </c>
      <c r="D2274" s="0" t="n">
        <v>7</v>
      </c>
      <c r="E2274" s="2" t="n">
        <v>40764.4381944445</v>
      </c>
      <c r="F2274" s="0" t="n">
        <v>3.28</v>
      </c>
      <c r="G2274" s="0" t="n">
        <v>12428</v>
      </c>
      <c r="H2274" s="3" t="s">
        <v>177</v>
      </c>
      <c r="I2274" s="4" t="n">
        <f aca="false">D2274*F2274</f>
        <v>22.96</v>
      </c>
      <c r="J2274" s="3" t="n">
        <f aca="false">IF(AND(LEFT(A2274,1)&lt;&gt;"C",D2274&gt;0,F2274&gt;0),1,0)</f>
        <v>1</v>
      </c>
      <c r="K2274" s="3" t="n">
        <f aca="false">IF(AND(H2274="United Kingdom",G2274&lt;&gt;"",COUNTIFS($G$2:G2274,G2274,$H$2:H2274,"United Kingdom")=1),1,0)</f>
        <v>0</v>
      </c>
    </row>
    <row r="2275" customFormat="false" ht="15" hidden="false" customHeight="false" outlineLevel="0" collapsed="false">
      <c r="A2275" s="0" t="s">
        <v>492</v>
      </c>
      <c r="B2275" s="0" t="s">
        <v>43</v>
      </c>
      <c r="C2275" s="0" t="s">
        <v>44</v>
      </c>
      <c r="D2275" s="0" t="n">
        <v>7</v>
      </c>
      <c r="E2275" s="2" t="n">
        <v>40764.4381944445</v>
      </c>
      <c r="F2275" s="0" t="n">
        <v>1.35</v>
      </c>
      <c r="G2275" s="0" t="n">
        <v>12428</v>
      </c>
      <c r="H2275" s="3" t="s">
        <v>177</v>
      </c>
      <c r="I2275" s="4" t="n">
        <f aca="false">D2275*F2275</f>
        <v>9.45</v>
      </c>
      <c r="J2275" s="3" t="n">
        <f aca="false">IF(AND(LEFT(A2275,1)&lt;&gt;"C",D2275&gt;0,F2275&gt;0),1,0)</f>
        <v>1</v>
      </c>
      <c r="K2275" s="3" t="n">
        <f aca="false">IF(AND(H2275="United Kingdom",G2275&lt;&gt;"",COUNTIFS($G$2:G2275,G2275,$H$2:H2275,"United Kingdom")=1),1,0)</f>
        <v>0</v>
      </c>
    </row>
    <row r="2276" customFormat="false" ht="15" hidden="false" customHeight="false" outlineLevel="0" collapsed="false">
      <c r="A2276" s="0" t="s">
        <v>492</v>
      </c>
      <c r="B2276" s="0" t="s">
        <v>39</v>
      </c>
      <c r="C2276" s="0" t="s">
        <v>40</v>
      </c>
      <c r="D2276" s="0" t="n">
        <v>7</v>
      </c>
      <c r="E2276" s="2" t="n">
        <v>40764.4381944445</v>
      </c>
      <c r="F2276" s="0" t="n">
        <v>2.58</v>
      </c>
      <c r="G2276" s="0" t="n">
        <v>12428</v>
      </c>
      <c r="H2276" s="3" t="s">
        <v>177</v>
      </c>
      <c r="I2276" s="4" t="n">
        <f aca="false">D2276*F2276</f>
        <v>18.06</v>
      </c>
      <c r="J2276" s="3" t="n">
        <f aca="false">IF(AND(LEFT(A2276,1)&lt;&gt;"C",D2276&gt;0,F2276&gt;0),1,0)</f>
        <v>1</v>
      </c>
      <c r="K2276" s="3" t="n">
        <f aca="false">IF(AND(H2276="United Kingdom",G2276&lt;&gt;"",COUNTIFS($G$2:G2276,G2276,$H$2:H2276,"United Kingdom")=1),1,0)</f>
        <v>0</v>
      </c>
    </row>
    <row r="2277" customFormat="false" ht="15" hidden="false" customHeight="false" outlineLevel="0" collapsed="false">
      <c r="A2277" s="0" t="s">
        <v>493</v>
      </c>
      <c r="B2277" s="0" t="s">
        <v>17</v>
      </c>
      <c r="C2277" s="0" t="s">
        <v>18</v>
      </c>
      <c r="D2277" s="0" t="n">
        <v>-2</v>
      </c>
      <c r="E2277" s="2" t="n">
        <v>40764.5444444444</v>
      </c>
      <c r="F2277" s="0" t="n">
        <v>1.92</v>
      </c>
      <c r="G2277" s="0" t="n">
        <v>13759</v>
      </c>
      <c r="H2277" s="3" t="s">
        <v>14</v>
      </c>
      <c r="I2277" s="4" t="n">
        <f aca="false">D2277*F2277</f>
        <v>-3.84</v>
      </c>
      <c r="J2277" s="3" t="n">
        <f aca="false">IF(AND(LEFT(A2277,1)&lt;&gt;"C",D2277&gt;0,F2277&gt;0),1,0)</f>
        <v>0</v>
      </c>
      <c r="K2277" s="3" t="n">
        <f aca="false">IF(AND(H2277="United Kingdom",G2277&lt;&gt;"",COUNTIFS($G$2:G2277,G2277,$H$2:H2277,"United Kingdom")=1),1,0)</f>
        <v>0</v>
      </c>
    </row>
    <row r="2278" customFormat="false" ht="15" hidden="false" customHeight="false" outlineLevel="0" collapsed="false">
      <c r="A2278" s="0" t="s">
        <v>494</v>
      </c>
      <c r="B2278" s="0" t="s">
        <v>113</v>
      </c>
      <c r="C2278" s="0" t="s">
        <v>114</v>
      </c>
      <c r="D2278" s="0" t="n">
        <v>12</v>
      </c>
      <c r="E2278" s="2" t="n">
        <v>40764.5451388889</v>
      </c>
      <c r="F2278" s="0" t="n">
        <v>3.57</v>
      </c>
      <c r="G2278" s="0" t="n">
        <v>17147</v>
      </c>
      <c r="H2278" s="3" t="s">
        <v>14</v>
      </c>
      <c r="I2278" s="4" t="n">
        <f aca="false">D2278*F2278</f>
        <v>42.84</v>
      </c>
      <c r="J2278" s="3" t="n">
        <f aca="false">IF(AND(LEFT(A2278,1)&lt;&gt;"C",D2278&gt;0,F2278&gt;0),1,0)</f>
        <v>1</v>
      </c>
      <c r="K2278" s="3" t="n">
        <f aca="false">IF(AND(H2278="United Kingdom",G2278&lt;&gt;"",COUNTIFS($G$2:G2278,G2278,$H$2:H2278,"United Kingdom")=1),1,0)</f>
        <v>0</v>
      </c>
    </row>
    <row r="2279" customFormat="false" ht="15" hidden="false" customHeight="false" outlineLevel="0" collapsed="false">
      <c r="A2279" s="0" t="s">
        <v>494</v>
      </c>
      <c r="B2279" s="0" t="s">
        <v>63</v>
      </c>
      <c r="C2279" s="0" t="s">
        <v>64</v>
      </c>
      <c r="D2279" s="0" t="n">
        <v>3</v>
      </c>
      <c r="E2279" s="2" t="n">
        <v>40764.5451388889</v>
      </c>
      <c r="F2279" s="0" t="n">
        <v>2.43</v>
      </c>
      <c r="G2279" s="0" t="n">
        <v>17147</v>
      </c>
      <c r="H2279" s="3" t="s">
        <v>14</v>
      </c>
      <c r="I2279" s="4" t="n">
        <f aca="false">D2279*F2279</f>
        <v>7.29</v>
      </c>
      <c r="J2279" s="3" t="n">
        <f aca="false">IF(AND(LEFT(A2279,1)&lt;&gt;"C",D2279&gt;0,F2279&gt;0),1,0)</f>
        <v>1</v>
      </c>
      <c r="K2279" s="3" t="n">
        <f aca="false">IF(AND(H2279="United Kingdom",G2279&lt;&gt;"",COUNTIFS($G$2:G2279,G2279,$H$2:H2279,"United Kingdom")=1),1,0)</f>
        <v>0</v>
      </c>
    </row>
    <row r="2280" customFormat="false" ht="15" hidden="false" customHeight="false" outlineLevel="0" collapsed="false">
      <c r="A2280" s="0" t="s">
        <v>494</v>
      </c>
      <c r="B2280" s="0" t="s">
        <v>43</v>
      </c>
      <c r="C2280" s="0" t="s">
        <v>44</v>
      </c>
      <c r="D2280" s="0" t="n">
        <v>2</v>
      </c>
      <c r="E2280" s="2" t="n">
        <v>40764.5451388889</v>
      </c>
      <c r="F2280" s="0" t="n">
        <v>1.35</v>
      </c>
      <c r="G2280" s="0" t="n">
        <v>17147</v>
      </c>
      <c r="H2280" s="3" t="s">
        <v>14</v>
      </c>
      <c r="I2280" s="4" t="n">
        <f aca="false">D2280*F2280</f>
        <v>2.7</v>
      </c>
      <c r="J2280" s="3" t="n">
        <f aca="false">IF(AND(LEFT(A2280,1)&lt;&gt;"C",D2280&gt;0,F2280&gt;0),1,0)</f>
        <v>1</v>
      </c>
      <c r="K2280" s="3" t="n">
        <f aca="false">IF(AND(H2280="United Kingdom",G2280&lt;&gt;"",COUNTIFS($G$2:G2280,G2280,$H$2:H2280,"United Kingdom")=1),1,0)</f>
        <v>0</v>
      </c>
    </row>
    <row r="2281" customFormat="false" ht="15" hidden="false" customHeight="false" outlineLevel="0" collapsed="false">
      <c r="A2281" s="0" t="s">
        <v>494</v>
      </c>
      <c r="B2281" s="0" t="s">
        <v>54</v>
      </c>
      <c r="C2281" s="0" t="s">
        <v>55</v>
      </c>
      <c r="D2281" s="0" t="n">
        <v>3</v>
      </c>
      <c r="E2281" s="2" t="n">
        <v>40764.5451388889</v>
      </c>
      <c r="F2281" s="0" t="n">
        <v>0.99</v>
      </c>
      <c r="G2281" s="0" t="n">
        <v>17147</v>
      </c>
      <c r="H2281" s="3" t="s">
        <v>14</v>
      </c>
      <c r="I2281" s="4" t="n">
        <f aca="false">D2281*F2281</f>
        <v>2.97</v>
      </c>
      <c r="J2281" s="3" t="n">
        <f aca="false">IF(AND(LEFT(A2281,1)&lt;&gt;"C",D2281&gt;0,F2281&gt;0),1,0)</f>
        <v>1</v>
      </c>
      <c r="K2281" s="3" t="n">
        <f aca="false">IF(AND(H2281="United Kingdom",G2281&lt;&gt;"",COUNTIFS($G$2:G2281,G2281,$H$2:H2281,"United Kingdom")=1),1,0)</f>
        <v>0</v>
      </c>
    </row>
    <row r="2282" customFormat="false" ht="15" hidden="false" customHeight="false" outlineLevel="0" collapsed="false">
      <c r="A2282" s="0" t="s">
        <v>494</v>
      </c>
      <c r="B2282" s="0" t="s">
        <v>29</v>
      </c>
      <c r="C2282" s="0" t="s">
        <v>30</v>
      </c>
      <c r="D2282" s="0" t="n">
        <v>6</v>
      </c>
      <c r="E2282" s="2" t="n">
        <v>40764.5451388889</v>
      </c>
      <c r="F2282" s="0" t="n">
        <v>5.79</v>
      </c>
      <c r="G2282" s="0" t="n">
        <v>17147</v>
      </c>
      <c r="H2282" s="3" t="s">
        <v>14</v>
      </c>
      <c r="I2282" s="4" t="n">
        <f aca="false">D2282*F2282</f>
        <v>34.74</v>
      </c>
      <c r="J2282" s="3" t="n">
        <f aca="false">IF(AND(LEFT(A2282,1)&lt;&gt;"C",D2282&gt;0,F2282&gt;0),1,0)</f>
        <v>1</v>
      </c>
      <c r="K2282" s="3" t="n">
        <f aca="false">IF(AND(H2282="United Kingdom",G2282&lt;&gt;"",COUNTIFS($G$2:G2282,G2282,$H$2:H2282,"United Kingdom")=1),1,0)</f>
        <v>0</v>
      </c>
    </row>
    <row r="2283" customFormat="false" ht="15" hidden="false" customHeight="false" outlineLevel="0" collapsed="false">
      <c r="A2283" s="0" t="s">
        <v>494</v>
      </c>
      <c r="B2283" s="0" t="s">
        <v>32</v>
      </c>
      <c r="C2283" s="0" t="s">
        <v>33</v>
      </c>
      <c r="D2283" s="0" t="n">
        <v>4</v>
      </c>
      <c r="E2283" s="2" t="n">
        <v>40764.5451388889</v>
      </c>
      <c r="F2283" s="0" t="n">
        <v>1.19</v>
      </c>
      <c r="G2283" s="0" t="n">
        <v>17147</v>
      </c>
      <c r="H2283" s="3" t="s">
        <v>14</v>
      </c>
      <c r="I2283" s="4" t="n">
        <f aca="false">D2283*F2283</f>
        <v>4.76</v>
      </c>
      <c r="J2283" s="3" t="n">
        <f aca="false">IF(AND(LEFT(A2283,1)&lt;&gt;"C",D2283&gt;0,F2283&gt;0),1,0)</f>
        <v>1</v>
      </c>
      <c r="K2283" s="3" t="n">
        <f aca="false">IF(AND(H2283="United Kingdom",G2283&lt;&gt;"",COUNTIFS($G$2:G2283,G2283,$H$2:H2283,"United Kingdom")=1),1,0)</f>
        <v>0</v>
      </c>
    </row>
    <row r="2284" customFormat="false" ht="15" hidden="false" customHeight="false" outlineLevel="0" collapsed="false">
      <c r="A2284" s="0" t="s">
        <v>494</v>
      </c>
      <c r="B2284" s="0" t="s">
        <v>12</v>
      </c>
      <c r="C2284" s="0" t="s">
        <v>13</v>
      </c>
      <c r="D2284" s="0" t="n">
        <v>12</v>
      </c>
      <c r="E2284" s="2" t="n">
        <v>40764.5451388889</v>
      </c>
      <c r="F2284" s="0" t="n">
        <v>3.33</v>
      </c>
      <c r="G2284" s="0" t="n">
        <v>17147</v>
      </c>
      <c r="H2284" s="3" t="s">
        <v>14</v>
      </c>
      <c r="I2284" s="4" t="n">
        <f aca="false">D2284*F2284</f>
        <v>39.96</v>
      </c>
      <c r="J2284" s="3" t="n">
        <f aca="false">IF(AND(LEFT(A2284,1)&lt;&gt;"C",D2284&gt;0,F2284&gt;0),1,0)</f>
        <v>1</v>
      </c>
      <c r="K2284" s="3" t="n">
        <f aca="false">IF(AND(H2284="United Kingdom",G2284&lt;&gt;"",COUNTIFS($G$2:G2284,G2284,$H$2:H2284,"United Kingdom")=1),1,0)</f>
        <v>0</v>
      </c>
    </row>
    <row r="2285" customFormat="false" ht="15" hidden="false" customHeight="false" outlineLevel="0" collapsed="false">
      <c r="A2285" s="0" t="s">
        <v>494</v>
      </c>
      <c r="B2285" s="0" t="s">
        <v>48</v>
      </c>
      <c r="C2285" s="0" t="s">
        <v>49</v>
      </c>
      <c r="D2285" s="0" t="n">
        <v>1</v>
      </c>
      <c r="E2285" s="2" t="n">
        <v>40764.5451388889</v>
      </c>
      <c r="F2285" s="0" t="n">
        <v>1.35</v>
      </c>
      <c r="G2285" s="0" t="n">
        <v>17147</v>
      </c>
      <c r="H2285" s="3" t="s">
        <v>14</v>
      </c>
      <c r="I2285" s="4" t="n">
        <f aca="false">D2285*F2285</f>
        <v>1.35</v>
      </c>
      <c r="J2285" s="3" t="n">
        <f aca="false">IF(AND(LEFT(A2285,1)&lt;&gt;"C",D2285&gt;0,F2285&gt;0),1,0)</f>
        <v>1</v>
      </c>
      <c r="K2285" s="3" t="n">
        <f aca="false">IF(AND(H2285="United Kingdom",G2285&lt;&gt;"",COUNTIFS($G$2:G2285,G2285,$H$2:H2285,"United Kingdom")=1),1,0)</f>
        <v>0</v>
      </c>
    </row>
    <row r="2286" customFormat="false" ht="15" hidden="false" customHeight="false" outlineLevel="0" collapsed="false">
      <c r="A2286" s="0" t="s">
        <v>494</v>
      </c>
      <c r="B2286" s="0" t="s">
        <v>77</v>
      </c>
      <c r="C2286" s="0" t="s">
        <v>78</v>
      </c>
      <c r="D2286" s="0" t="n">
        <v>6</v>
      </c>
      <c r="E2286" s="2" t="n">
        <v>40764.5451388889</v>
      </c>
      <c r="F2286" s="0" t="n">
        <v>3.41</v>
      </c>
      <c r="G2286" s="0" t="n">
        <v>17147</v>
      </c>
      <c r="H2286" s="3" t="s">
        <v>14</v>
      </c>
      <c r="I2286" s="4" t="n">
        <f aca="false">D2286*F2286</f>
        <v>20.46</v>
      </c>
      <c r="J2286" s="3" t="n">
        <f aca="false">IF(AND(LEFT(A2286,1)&lt;&gt;"C",D2286&gt;0,F2286&gt;0),1,0)</f>
        <v>1</v>
      </c>
      <c r="K2286" s="3" t="n">
        <f aca="false">IF(AND(H2286="United Kingdom",G2286&lt;&gt;"",COUNTIFS($G$2:G2286,G2286,$H$2:H2286,"United Kingdom")=1),1,0)</f>
        <v>0</v>
      </c>
    </row>
    <row r="2287" customFormat="false" ht="15" hidden="false" customHeight="false" outlineLevel="0" collapsed="false">
      <c r="A2287" s="0" t="s">
        <v>495</v>
      </c>
      <c r="B2287" s="0" t="s">
        <v>63</v>
      </c>
      <c r="C2287" s="0" t="s">
        <v>64</v>
      </c>
      <c r="D2287" s="0" t="n">
        <v>4</v>
      </c>
      <c r="E2287" s="2" t="n">
        <v>40764.5638888889</v>
      </c>
      <c r="F2287" s="0" t="n">
        <v>2.43</v>
      </c>
      <c r="G2287" s="0" t="n">
        <v>13664</v>
      </c>
      <c r="H2287" s="3" t="s">
        <v>14</v>
      </c>
      <c r="I2287" s="4" t="n">
        <f aca="false">D2287*F2287</f>
        <v>9.72</v>
      </c>
      <c r="J2287" s="3" t="n">
        <f aca="false">IF(AND(LEFT(A2287,1)&lt;&gt;"C",D2287&gt;0,F2287&gt;0),1,0)</f>
        <v>1</v>
      </c>
      <c r="K2287" s="3" t="n">
        <f aca="false">IF(AND(H2287="United Kingdom",G2287&lt;&gt;"",COUNTIFS($G$2:G2287,G2287,$H$2:H2287,"United Kingdom")=1),1,0)</f>
        <v>1</v>
      </c>
    </row>
    <row r="2288" customFormat="false" ht="15" hidden="false" customHeight="false" outlineLevel="0" collapsed="false">
      <c r="A2288" s="0" t="s">
        <v>495</v>
      </c>
      <c r="B2288" s="0" t="s">
        <v>41</v>
      </c>
      <c r="C2288" s="0" t="s">
        <v>42</v>
      </c>
      <c r="D2288" s="0" t="n">
        <v>4</v>
      </c>
      <c r="E2288" s="2" t="n">
        <v>40764.5638888889</v>
      </c>
      <c r="F2288" s="0" t="n">
        <v>3.28</v>
      </c>
      <c r="G2288" s="0" t="n">
        <v>13664</v>
      </c>
      <c r="H2288" s="3" t="s">
        <v>14</v>
      </c>
      <c r="I2288" s="4" t="n">
        <f aca="false">D2288*F2288</f>
        <v>13.12</v>
      </c>
      <c r="J2288" s="3" t="n">
        <f aca="false">IF(AND(LEFT(A2288,1)&lt;&gt;"C",D2288&gt;0,F2288&gt;0),1,0)</f>
        <v>1</v>
      </c>
      <c r="K2288" s="3" t="n">
        <f aca="false">IF(AND(H2288="United Kingdom",G2288&lt;&gt;"",COUNTIFS($G$2:G2288,G2288,$H$2:H2288,"United Kingdom")=1),1,0)</f>
        <v>0</v>
      </c>
    </row>
    <row r="2289" customFormat="false" ht="15" hidden="false" customHeight="false" outlineLevel="0" collapsed="false">
      <c r="A2289" s="0" t="s">
        <v>496</v>
      </c>
      <c r="B2289" s="0" t="s">
        <v>60</v>
      </c>
      <c r="C2289" s="0" t="s">
        <v>61</v>
      </c>
      <c r="D2289" s="0" t="n">
        <v>8</v>
      </c>
      <c r="E2289" s="2" t="n">
        <v>40765.3590277778</v>
      </c>
      <c r="F2289" s="0" t="n">
        <v>0.63</v>
      </c>
      <c r="G2289" s="0" t="n">
        <v>15108</v>
      </c>
      <c r="H2289" s="3" t="s">
        <v>14</v>
      </c>
      <c r="I2289" s="4" t="n">
        <f aca="false">D2289*F2289</f>
        <v>5.04</v>
      </c>
      <c r="J2289" s="3" t="n">
        <f aca="false">IF(AND(LEFT(A2289,1)&lt;&gt;"C",D2289&gt;0,F2289&gt;0),1,0)</f>
        <v>1</v>
      </c>
      <c r="K2289" s="3" t="n">
        <f aca="false">IF(AND(H2289="United Kingdom",G2289&lt;&gt;"",COUNTIFS($G$2:G2289,G2289,$H$2:H2289,"United Kingdom")=1),1,0)</f>
        <v>0</v>
      </c>
    </row>
    <row r="2290" customFormat="false" ht="15" hidden="false" customHeight="false" outlineLevel="0" collapsed="false">
      <c r="A2290" s="0" t="s">
        <v>497</v>
      </c>
      <c r="B2290" s="0" t="s">
        <v>58</v>
      </c>
      <c r="C2290" s="0" t="s">
        <v>59</v>
      </c>
      <c r="D2290" s="0" t="n">
        <v>2</v>
      </c>
      <c r="E2290" s="2" t="n">
        <v>40766.5173611111</v>
      </c>
      <c r="F2290" s="0" t="n">
        <v>2.16</v>
      </c>
      <c r="G2290" s="0" t="n">
        <v>12688</v>
      </c>
      <c r="H2290" s="3" t="s">
        <v>14</v>
      </c>
      <c r="I2290" s="4" t="n">
        <f aca="false">D2290*F2290</f>
        <v>4.32</v>
      </c>
      <c r="J2290" s="3" t="n">
        <f aca="false">IF(AND(LEFT(A2290,1)&lt;&gt;"C",D2290&gt;0,F2290&gt;0),1,0)</f>
        <v>1</v>
      </c>
      <c r="K2290" s="3" t="n">
        <f aca="false">IF(AND(H2290="United Kingdom",G2290&lt;&gt;"",COUNTIFS($G$2:G2290,G2290,$H$2:H2290,"United Kingdom")=1),1,0)</f>
        <v>0</v>
      </c>
    </row>
    <row r="2291" customFormat="false" ht="15" hidden="false" customHeight="false" outlineLevel="0" collapsed="false">
      <c r="A2291" s="0" t="s">
        <v>497</v>
      </c>
      <c r="B2291" s="0" t="s">
        <v>72</v>
      </c>
      <c r="C2291" s="0" t="s">
        <v>73</v>
      </c>
      <c r="D2291" s="0" t="n">
        <v>6</v>
      </c>
      <c r="E2291" s="2" t="n">
        <v>40766.5173611111</v>
      </c>
      <c r="F2291" s="0" t="n">
        <v>2.69</v>
      </c>
      <c r="G2291" s="0" t="n">
        <v>12688</v>
      </c>
      <c r="H2291" s="3" t="s">
        <v>14</v>
      </c>
      <c r="I2291" s="4" t="n">
        <f aca="false">D2291*F2291</f>
        <v>16.14</v>
      </c>
      <c r="J2291" s="3" t="n">
        <f aca="false">IF(AND(LEFT(A2291,1)&lt;&gt;"C",D2291&gt;0,F2291&gt;0),1,0)</f>
        <v>1</v>
      </c>
      <c r="K2291" s="3" t="n">
        <f aca="false">IF(AND(H2291="United Kingdom",G2291&lt;&gt;"",COUNTIFS($G$2:G2291,G2291,$H$2:H2291,"United Kingdom")=1),1,0)</f>
        <v>0</v>
      </c>
    </row>
    <row r="2292" customFormat="false" ht="15" hidden="false" customHeight="false" outlineLevel="0" collapsed="false">
      <c r="A2292" s="0" t="s">
        <v>497</v>
      </c>
      <c r="B2292" s="0" t="s">
        <v>80</v>
      </c>
      <c r="C2292" s="0" t="s">
        <v>81</v>
      </c>
      <c r="D2292" s="0" t="n">
        <v>8</v>
      </c>
      <c r="E2292" s="2" t="n">
        <v>40766.5173611111</v>
      </c>
      <c r="F2292" s="0" t="n">
        <v>1.53</v>
      </c>
      <c r="G2292" s="0" t="n">
        <v>12688</v>
      </c>
      <c r="H2292" s="3" t="s">
        <v>14</v>
      </c>
      <c r="I2292" s="4" t="n">
        <f aca="false">D2292*F2292</f>
        <v>12.24</v>
      </c>
      <c r="J2292" s="3" t="n">
        <f aca="false">IF(AND(LEFT(A2292,1)&lt;&gt;"C",D2292&gt;0,F2292&gt;0),1,0)</f>
        <v>1</v>
      </c>
      <c r="K2292" s="3" t="n">
        <f aca="false">IF(AND(H2292="United Kingdom",G2292&lt;&gt;"",COUNTIFS($G$2:G2292,G2292,$H$2:H2292,"United Kingdom")=1),1,0)</f>
        <v>0</v>
      </c>
    </row>
    <row r="2293" customFormat="false" ht="15" hidden="false" customHeight="false" outlineLevel="0" collapsed="false">
      <c r="A2293" s="0" t="s">
        <v>497</v>
      </c>
      <c r="B2293" s="0" t="s">
        <v>29</v>
      </c>
      <c r="C2293" s="0" t="s">
        <v>30</v>
      </c>
      <c r="D2293" s="0" t="n">
        <v>8</v>
      </c>
      <c r="E2293" s="2" t="n">
        <v>40766.5173611111</v>
      </c>
      <c r="F2293" s="0" t="n">
        <v>5.79</v>
      </c>
      <c r="G2293" s="0" t="n">
        <v>12688</v>
      </c>
      <c r="H2293" s="3" t="s">
        <v>14</v>
      </c>
      <c r="I2293" s="4" t="n">
        <f aca="false">D2293*F2293</f>
        <v>46.32</v>
      </c>
      <c r="J2293" s="3" t="n">
        <f aca="false">IF(AND(LEFT(A2293,1)&lt;&gt;"C",D2293&gt;0,F2293&gt;0),1,0)</f>
        <v>1</v>
      </c>
      <c r="K2293" s="3" t="n">
        <f aca="false">IF(AND(H2293="United Kingdom",G2293&lt;&gt;"",COUNTIFS($G$2:G2293,G2293,$H$2:H2293,"United Kingdom")=1),1,0)</f>
        <v>0</v>
      </c>
    </row>
    <row r="2294" customFormat="false" ht="15" hidden="false" customHeight="false" outlineLevel="0" collapsed="false">
      <c r="A2294" s="0" t="s">
        <v>497</v>
      </c>
      <c r="B2294" s="0" t="s">
        <v>43</v>
      </c>
      <c r="C2294" s="0" t="s">
        <v>44</v>
      </c>
      <c r="D2294" s="0" t="n">
        <v>2</v>
      </c>
      <c r="E2294" s="2" t="n">
        <v>40766.5173611111</v>
      </c>
      <c r="F2294" s="0" t="n">
        <v>1.35</v>
      </c>
      <c r="G2294" s="0" t="n">
        <v>12688</v>
      </c>
      <c r="H2294" s="3" t="s">
        <v>14</v>
      </c>
      <c r="I2294" s="4" t="n">
        <f aca="false">D2294*F2294</f>
        <v>2.7</v>
      </c>
      <c r="J2294" s="3" t="n">
        <f aca="false">IF(AND(LEFT(A2294,1)&lt;&gt;"C",D2294&gt;0,F2294&gt;0),1,0)</f>
        <v>1</v>
      </c>
      <c r="K2294" s="3" t="n">
        <f aca="false">IF(AND(H2294="United Kingdom",G2294&lt;&gt;"",COUNTIFS($G$2:G2294,G2294,$H$2:H2294,"United Kingdom")=1),1,0)</f>
        <v>0</v>
      </c>
    </row>
    <row r="2295" customFormat="false" ht="15" hidden="false" customHeight="false" outlineLevel="0" collapsed="false">
      <c r="A2295" s="0" t="s">
        <v>497</v>
      </c>
      <c r="B2295" s="0" t="s">
        <v>25</v>
      </c>
      <c r="C2295" s="0" t="s">
        <v>26</v>
      </c>
      <c r="D2295" s="0" t="n">
        <v>6</v>
      </c>
      <c r="E2295" s="2" t="n">
        <v>40766.5173611111</v>
      </c>
      <c r="F2295" s="0" t="n">
        <v>2.21</v>
      </c>
      <c r="G2295" s="0" t="n">
        <v>12688</v>
      </c>
      <c r="H2295" s="3" t="s">
        <v>14</v>
      </c>
      <c r="I2295" s="4" t="n">
        <f aca="false">D2295*F2295</f>
        <v>13.26</v>
      </c>
      <c r="J2295" s="3" t="n">
        <f aca="false">IF(AND(LEFT(A2295,1)&lt;&gt;"C",D2295&gt;0,F2295&gt;0),1,0)</f>
        <v>1</v>
      </c>
      <c r="K2295" s="3" t="n">
        <f aca="false">IF(AND(H2295="United Kingdom",G2295&lt;&gt;"",COUNTIFS($G$2:G2295,G2295,$H$2:H2295,"United Kingdom")=1),1,0)</f>
        <v>0</v>
      </c>
    </row>
    <row r="2296" customFormat="false" ht="15" hidden="false" customHeight="false" outlineLevel="0" collapsed="false">
      <c r="A2296" s="0" t="s">
        <v>497</v>
      </c>
      <c r="B2296" s="0" t="s">
        <v>77</v>
      </c>
      <c r="C2296" s="0" t="s">
        <v>78</v>
      </c>
      <c r="D2296" s="0" t="n">
        <v>8</v>
      </c>
      <c r="E2296" s="2" t="n">
        <v>40766.5173611111</v>
      </c>
      <c r="F2296" s="0" t="n">
        <v>3.41</v>
      </c>
      <c r="G2296" s="0" t="n">
        <v>12688</v>
      </c>
      <c r="H2296" s="3" t="s">
        <v>14</v>
      </c>
      <c r="I2296" s="4" t="n">
        <f aca="false">D2296*F2296</f>
        <v>27.28</v>
      </c>
      <c r="J2296" s="3" t="n">
        <f aca="false">IF(AND(LEFT(A2296,1)&lt;&gt;"C",D2296&gt;0,F2296&gt;0),1,0)</f>
        <v>1</v>
      </c>
      <c r="K2296" s="3" t="n">
        <f aca="false">IF(AND(H2296="United Kingdom",G2296&lt;&gt;"",COUNTIFS($G$2:G2296,G2296,$H$2:H2296,"United Kingdom")=1),1,0)</f>
        <v>0</v>
      </c>
    </row>
    <row r="2297" customFormat="false" ht="15" hidden="false" customHeight="false" outlineLevel="0" collapsed="false">
      <c r="A2297" s="0" t="s">
        <v>498</v>
      </c>
      <c r="B2297" s="0" t="s">
        <v>68</v>
      </c>
      <c r="C2297" s="0" t="s">
        <v>69</v>
      </c>
      <c r="D2297" s="0" t="n">
        <v>3</v>
      </c>
      <c r="E2297" s="2" t="n">
        <v>40767.6694444444</v>
      </c>
      <c r="F2297" s="0" t="n">
        <v>1.26</v>
      </c>
      <c r="G2297" s="0" t="n">
        <v>14603</v>
      </c>
      <c r="H2297" s="3" t="s">
        <v>14</v>
      </c>
      <c r="I2297" s="4" t="n">
        <f aca="false">D2297*F2297</f>
        <v>3.78</v>
      </c>
      <c r="J2297" s="3" t="n">
        <f aca="false">IF(AND(LEFT(A2297,1)&lt;&gt;"C",D2297&gt;0,F2297&gt;0),1,0)</f>
        <v>1</v>
      </c>
      <c r="K2297" s="3" t="n">
        <f aca="false">IF(AND(H2297="United Kingdom",G2297&lt;&gt;"",COUNTIFS($G$2:G2297,G2297,$H$2:H2297,"United Kingdom")=1),1,0)</f>
        <v>0</v>
      </c>
    </row>
    <row r="2298" customFormat="false" ht="15" hidden="false" customHeight="false" outlineLevel="0" collapsed="false">
      <c r="A2298" s="0" t="s">
        <v>498</v>
      </c>
      <c r="B2298" s="0" t="s">
        <v>43</v>
      </c>
      <c r="C2298" s="0" t="s">
        <v>44</v>
      </c>
      <c r="D2298" s="0" t="n">
        <v>8</v>
      </c>
      <c r="E2298" s="2" t="n">
        <v>40767.6694444444</v>
      </c>
      <c r="F2298" s="0" t="n">
        <v>1.35</v>
      </c>
      <c r="G2298" s="0" t="n">
        <v>14603</v>
      </c>
      <c r="H2298" s="3" t="s">
        <v>14</v>
      </c>
      <c r="I2298" s="4" t="n">
        <f aca="false">D2298*F2298</f>
        <v>10.8</v>
      </c>
      <c r="J2298" s="3" t="n">
        <f aca="false">IF(AND(LEFT(A2298,1)&lt;&gt;"C",D2298&gt;0,F2298&gt;0),1,0)</f>
        <v>1</v>
      </c>
      <c r="K2298" s="3" t="n">
        <f aca="false">IF(AND(H2298="United Kingdom",G2298&lt;&gt;"",COUNTIFS($G$2:G2298,G2298,$H$2:H2298,"United Kingdom")=1),1,0)</f>
        <v>0</v>
      </c>
    </row>
    <row r="2299" customFormat="false" ht="15" hidden="false" customHeight="false" outlineLevel="0" collapsed="false">
      <c r="A2299" s="0" t="s">
        <v>498</v>
      </c>
      <c r="B2299" s="0" t="s">
        <v>63</v>
      </c>
      <c r="C2299" s="0" t="s">
        <v>64</v>
      </c>
      <c r="D2299" s="0" t="n">
        <v>3</v>
      </c>
      <c r="E2299" s="2" t="n">
        <v>40767.6694444444</v>
      </c>
      <c r="F2299" s="0" t="n">
        <v>2.43</v>
      </c>
      <c r="G2299" s="0" t="n">
        <v>14603</v>
      </c>
      <c r="H2299" s="3" t="s">
        <v>14</v>
      </c>
      <c r="I2299" s="4" t="n">
        <f aca="false">D2299*F2299</f>
        <v>7.29</v>
      </c>
      <c r="J2299" s="3" t="n">
        <f aca="false">IF(AND(LEFT(A2299,1)&lt;&gt;"C",D2299&gt;0,F2299&gt;0),1,0)</f>
        <v>1</v>
      </c>
      <c r="K2299" s="3" t="n">
        <f aca="false">IF(AND(H2299="United Kingdom",G2299&lt;&gt;"",COUNTIFS($G$2:G2299,G2299,$H$2:H2299,"United Kingdom")=1),1,0)</f>
        <v>0</v>
      </c>
    </row>
    <row r="2300" customFormat="false" ht="15" hidden="false" customHeight="false" outlineLevel="0" collapsed="false">
      <c r="A2300" s="0" t="s">
        <v>498</v>
      </c>
      <c r="B2300" s="0" t="s">
        <v>113</v>
      </c>
      <c r="C2300" s="0" t="s">
        <v>114</v>
      </c>
      <c r="D2300" s="0" t="n">
        <v>1</v>
      </c>
      <c r="E2300" s="2" t="n">
        <v>40767.6694444444</v>
      </c>
      <c r="F2300" s="0" t="n">
        <v>3.57</v>
      </c>
      <c r="G2300" s="0" t="n">
        <v>14603</v>
      </c>
      <c r="H2300" s="3" t="s">
        <v>14</v>
      </c>
      <c r="I2300" s="4" t="n">
        <f aca="false">D2300*F2300</f>
        <v>3.57</v>
      </c>
      <c r="J2300" s="3" t="n">
        <f aca="false">IF(AND(LEFT(A2300,1)&lt;&gt;"C",D2300&gt;0,F2300&gt;0),1,0)</f>
        <v>1</v>
      </c>
      <c r="K2300" s="3" t="n">
        <f aca="false">IF(AND(H2300="United Kingdom",G2300&lt;&gt;"",COUNTIFS($G$2:G2300,G2300,$H$2:H2300,"United Kingdom")=1),1,0)</f>
        <v>0</v>
      </c>
    </row>
    <row r="2301" customFormat="false" ht="15" hidden="false" customHeight="false" outlineLevel="0" collapsed="false">
      <c r="A2301" s="0" t="s">
        <v>498</v>
      </c>
      <c r="B2301" s="0" t="s">
        <v>72</v>
      </c>
      <c r="C2301" s="0" t="s">
        <v>73</v>
      </c>
      <c r="D2301" s="0" t="n">
        <v>12</v>
      </c>
      <c r="E2301" s="2" t="n">
        <v>40767.6694444444</v>
      </c>
      <c r="F2301" s="0" t="n">
        <v>2.69</v>
      </c>
      <c r="G2301" s="0" t="n">
        <v>14603</v>
      </c>
      <c r="H2301" s="3" t="s">
        <v>14</v>
      </c>
      <c r="I2301" s="4" t="n">
        <f aca="false">D2301*F2301</f>
        <v>32.28</v>
      </c>
      <c r="J2301" s="3" t="n">
        <f aca="false">IF(AND(LEFT(A2301,1)&lt;&gt;"C",D2301&gt;0,F2301&gt;0),1,0)</f>
        <v>1</v>
      </c>
      <c r="K2301" s="3" t="n">
        <f aca="false">IF(AND(H2301="United Kingdom",G2301&lt;&gt;"",COUNTIFS($G$2:G2301,G2301,$H$2:H2301,"United Kingdom")=1),1,0)</f>
        <v>0</v>
      </c>
    </row>
    <row r="2302" customFormat="false" ht="15" hidden="false" customHeight="false" outlineLevel="0" collapsed="false">
      <c r="A2302" s="0" t="s">
        <v>498</v>
      </c>
      <c r="B2302" s="0" t="s">
        <v>17</v>
      </c>
      <c r="C2302" s="0" t="s">
        <v>18</v>
      </c>
      <c r="D2302" s="0" t="n">
        <v>2</v>
      </c>
      <c r="E2302" s="2" t="n">
        <v>40767.6694444444</v>
      </c>
      <c r="F2302" s="0" t="n">
        <v>1.92</v>
      </c>
      <c r="G2302" s="0" t="n">
        <v>14603</v>
      </c>
      <c r="H2302" s="3" t="s">
        <v>14</v>
      </c>
      <c r="I2302" s="4" t="n">
        <f aca="false">D2302*F2302</f>
        <v>3.84</v>
      </c>
      <c r="J2302" s="3" t="n">
        <f aca="false">IF(AND(LEFT(A2302,1)&lt;&gt;"C",D2302&gt;0,F2302&gt;0),1,0)</f>
        <v>1</v>
      </c>
      <c r="K2302" s="3" t="n">
        <f aca="false">IF(AND(H2302="United Kingdom",G2302&lt;&gt;"",COUNTIFS($G$2:G2302,G2302,$H$2:H2302,"United Kingdom")=1),1,0)</f>
        <v>0</v>
      </c>
    </row>
    <row r="2303" customFormat="false" ht="15" hidden="false" customHeight="false" outlineLevel="0" collapsed="false">
      <c r="A2303" s="0" t="s">
        <v>498</v>
      </c>
      <c r="B2303" s="0" t="s">
        <v>52</v>
      </c>
      <c r="C2303" s="0" t="s">
        <v>53</v>
      </c>
      <c r="D2303" s="0" t="n">
        <v>3</v>
      </c>
      <c r="E2303" s="2" t="n">
        <v>40767.6694444444</v>
      </c>
      <c r="F2303" s="0" t="n">
        <v>4.16</v>
      </c>
      <c r="G2303" s="0" t="n">
        <v>14603</v>
      </c>
      <c r="H2303" s="3" t="s">
        <v>14</v>
      </c>
      <c r="I2303" s="4" t="n">
        <f aca="false">D2303*F2303</f>
        <v>12.48</v>
      </c>
      <c r="J2303" s="3" t="n">
        <f aca="false">IF(AND(LEFT(A2303,1)&lt;&gt;"C",D2303&gt;0,F2303&gt;0),1,0)</f>
        <v>1</v>
      </c>
      <c r="K2303" s="3" t="n">
        <f aca="false">IF(AND(H2303="United Kingdom",G2303&lt;&gt;"",COUNTIFS($G$2:G2303,G2303,$H$2:H2303,"United Kingdom")=1),1,0)</f>
        <v>0</v>
      </c>
    </row>
    <row r="2304" customFormat="false" ht="15" hidden="false" customHeight="false" outlineLevel="0" collapsed="false">
      <c r="A2304" s="0" t="s">
        <v>499</v>
      </c>
      <c r="B2304" s="0" t="s">
        <v>52</v>
      </c>
      <c r="C2304" s="0" t="s">
        <v>53</v>
      </c>
      <c r="D2304" s="0" t="n">
        <v>4</v>
      </c>
      <c r="E2304" s="2" t="n">
        <v>40767.7145833333</v>
      </c>
      <c r="F2304" s="0" t="n">
        <v>4.16</v>
      </c>
      <c r="G2304" s="0" t="n">
        <v>17203</v>
      </c>
      <c r="H2304" s="3" t="s">
        <v>14</v>
      </c>
      <c r="I2304" s="4" t="n">
        <f aca="false">D2304*F2304</f>
        <v>16.64</v>
      </c>
      <c r="J2304" s="3" t="n">
        <f aca="false">IF(AND(LEFT(A2304,1)&lt;&gt;"C",D2304&gt;0,F2304&gt;0),1,0)</f>
        <v>1</v>
      </c>
      <c r="K2304" s="3" t="n">
        <f aca="false">IF(AND(H2304="United Kingdom",G2304&lt;&gt;"",COUNTIFS($G$2:G2304,G2304,$H$2:H2304,"United Kingdom")=1),1,0)</f>
        <v>0</v>
      </c>
    </row>
    <row r="2305" customFormat="false" ht="15" hidden="false" customHeight="false" outlineLevel="0" collapsed="false">
      <c r="A2305" s="0" t="s">
        <v>499</v>
      </c>
      <c r="B2305" s="0" t="s">
        <v>63</v>
      </c>
      <c r="C2305" s="0" t="s">
        <v>64</v>
      </c>
      <c r="D2305" s="0" t="n">
        <v>4</v>
      </c>
      <c r="E2305" s="2" t="n">
        <v>40767.7145833333</v>
      </c>
      <c r="F2305" s="0" t="n">
        <v>2.43</v>
      </c>
      <c r="G2305" s="0" t="n">
        <v>17203</v>
      </c>
      <c r="H2305" s="3" t="s">
        <v>14</v>
      </c>
      <c r="I2305" s="4" t="n">
        <f aca="false">D2305*F2305</f>
        <v>9.72</v>
      </c>
      <c r="J2305" s="3" t="n">
        <f aca="false">IF(AND(LEFT(A2305,1)&lt;&gt;"C",D2305&gt;0,F2305&gt;0),1,0)</f>
        <v>1</v>
      </c>
      <c r="K2305" s="3" t="n">
        <f aca="false">IF(AND(H2305="United Kingdom",G2305&lt;&gt;"",COUNTIFS($G$2:G2305,G2305,$H$2:H2305,"United Kingdom")=1),1,0)</f>
        <v>0</v>
      </c>
    </row>
    <row r="2306" customFormat="false" ht="15" hidden="false" customHeight="false" outlineLevel="0" collapsed="false">
      <c r="A2306" s="0" t="s">
        <v>499</v>
      </c>
      <c r="B2306" s="0" t="s">
        <v>65</v>
      </c>
      <c r="C2306" s="0" t="s">
        <v>66</v>
      </c>
      <c r="D2306" s="0" t="n">
        <v>2</v>
      </c>
      <c r="E2306" s="2" t="n">
        <v>40767.7145833333</v>
      </c>
      <c r="F2306" s="0" t="n">
        <v>4.75</v>
      </c>
      <c r="G2306" s="0" t="n">
        <v>17203</v>
      </c>
      <c r="H2306" s="3" t="s">
        <v>14</v>
      </c>
      <c r="I2306" s="4" t="n">
        <f aca="false">D2306*F2306</f>
        <v>9.5</v>
      </c>
      <c r="J2306" s="3" t="n">
        <f aca="false">IF(AND(LEFT(A2306,1)&lt;&gt;"C",D2306&gt;0,F2306&gt;0),1,0)</f>
        <v>1</v>
      </c>
      <c r="K2306" s="3" t="n">
        <f aca="false">IF(AND(H2306="United Kingdom",G2306&lt;&gt;"",COUNTIFS($G$2:G2306,G2306,$H$2:H2306,"United Kingdom")=1),1,0)</f>
        <v>0</v>
      </c>
    </row>
    <row r="2307" customFormat="false" ht="15" hidden="false" customHeight="false" outlineLevel="0" collapsed="false">
      <c r="A2307" s="0" t="s">
        <v>499</v>
      </c>
      <c r="B2307" s="0" t="s">
        <v>75</v>
      </c>
      <c r="C2307" s="0" t="s">
        <v>76</v>
      </c>
      <c r="D2307" s="0" t="n">
        <v>2</v>
      </c>
      <c r="E2307" s="2" t="n">
        <v>40767.7145833333</v>
      </c>
      <c r="F2307" s="0" t="n">
        <v>1.97</v>
      </c>
      <c r="G2307" s="0" t="n">
        <v>17203</v>
      </c>
      <c r="H2307" s="3" t="s">
        <v>14</v>
      </c>
      <c r="I2307" s="4" t="n">
        <f aca="false">D2307*F2307</f>
        <v>3.94</v>
      </c>
      <c r="J2307" s="3" t="n">
        <f aca="false">IF(AND(LEFT(A2307,1)&lt;&gt;"C",D2307&gt;0,F2307&gt;0),1,0)</f>
        <v>1</v>
      </c>
      <c r="K2307" s="3" t="n">
        <f aca="false">IF(AND(H2307="United Kingdom",G2307&lt;&gt;"",COUNTIFS($G$2:G2307,G2307,$H$2:H2307,"United Kingdom")=1),1,0)</f>
        <v>0</v>
      </c>
    </row>
    <row r="2308" customFormat="false" ht="15" hidden="false" customHeight="false" outlineLevel="0" collapsed="false">
      <c r="A2308" s="0" t="s">
        <v>499</v>
      </c>
      <c r="B2308" s="0" t="s">
        <v>22</v>
      </c>
      <c r="C2308" s="0" t="s">
        <v>23</v>
      </c>
      <c r="D2308" s="0" t="n">
        <v>3</v>
      </c>
      <c r="E2308" s="2" t="n">
        <v>40767.7145833333</v>
      </c>
      <c r="F2308" s="0" t="n">
        <v>3.18</v>
      </c>
      <c r="G2308" s="0" t="n">
        <v>17203</v>
      </c>
      <c r="H2308" s="3" t="s">
        <v>14</v>
      </c>
      <c r="I2308" s="4" t="n">
        <f aca="false">D2308*F2308</f>
        <v>9.54</v>
      </c>
      <c r="J2308" s="3" t="n">
        <f aca="false">IF(AND(LEFT(A2308,1)&lt;&gt;"C",D2308&gt;0,F2308&gt;0),1,0)</f>
        <v>1</v>
      </c>
      <c r="K2308" s="3" t="n">
        <f aca="false">IF(AND(H2308="United Kingdom",G2308&lt;&gt;"",COUNTIFS($G$2:G2308,G2308,$H$2:H2308,"United Kingdom")=1),1,0)</f>
        <v>0</v>
      </c>
    </row>
    <row r="2309" customFormat="false" ht="15" hidden="false" customHeight="false" outlineLevel="0" collapsed="false">
      <c r="A2309" s="0" t="s">
        <v>499</v>
      </c>
      <c r="B2309" s="0" t="s">
        <v>90</v>
      </c>
      <c r="C2309" s="0" t="s">
        <v>91</v>
      </c>
      <c r="D2309" s="0" t="n">
        <v>24</v>
      </c>
      <c r="E2309" s="2" t="n">
        <v>40767.7145833333</v>
      </c>
      <c r="F2309" s="0" t="n">
        <v>3.04</v>
      </c>
      <c r="G2309" s="0" t="n">
        <v>17203</v>
      </c>
      <c r="H2309" s="3" t="s">
        <v>14</v>
      </c>
      <c r="I2309" s="4" t="n">
        <f aca="false">D2309*F2309</f>
        <v>72.96</v>
      </c>
      <c r="J2309" s="3" t="n">
        <f aca="false">IF(AND(LEFT(A2309,1)&lt;&gt;"C",D2309&gt;0,F2309&gt;0),1,0)</f>
        <v>1</v>
      </c>
      <c r="K2309" s="3" t="n">
        <f aca="false">IF(AND(H2309="United Kingdom",G2309&lt;&gt;"",COUNTIFS($G$2:G2309,G2309,$H$2:H2309,"United Kingdom")=1),1,0)</f>
        <v>0</v>
      </c>
    </row>
    <row r="2310" customFormat="false" ht="15" hidden="false" customHeight="false" outlineLevel="0" collapsed="false">
      <c r="A2310" s="0" t="s">
        <v>500</v>
      </c>
      <c r="B2310" s="0" t="s">
        <v>12</v>
      </c>
      <c r="C2310" s="0" t="s">
        <v>13</v>
      </c>
      <c r="D2310" s="0" t="n">
        <v>2</v>
      </c>
      <c r="E2310" s="2" t="n">
        <v>40768.4951388889</v>
      </c>
      <c r="F2310" s="0" t="n">
        <v>3.33</v>
      </c>
      <c r="G2310" s="0" t="n">
        <v>13606</v>
      </c>
      <c r="H2310" s="3" t="s">
        <v>14</v>
      </c>
      <c r="I2310" s="4" t="n">
        <f aca="false">D2310*F2310</f>
        <v>6.66</v>
      </c>
      <c r="J2310" s="3" t="n">
        <f aca="false">IF(AND(LEFT(A2310,1)&lt;&gt;"C",D2310&gt;0,F2310&gt;0),1,0)</f>
        <v>1</v>
      </c>
      <c r="K2310" s="3" t="n">
        <f aca="false">IF(AND(H2310="United Kingdom",G2310&lt;&gt;"",COUNTIFS($G$2:G2310,G2310,$H$2:H2310,"United Kingdom")=1),1,0)</f>
        <v>0</v>
      </c>
    </row>
    <row r="2311" customFormat="false" ht="15" hidden="false" customHeight="false" outlineLevel="0" collapsed="false">
      <c r="A2311" s="0" t="s">
        <v>500</v>
      </c>
      <c r="B2311" s="0" t="s">
        <v>58</v>
      </c>
      <c r="C2311" s="0" t="s">
        <v>59</v>
      </c>
      <c r="D2311" s="0" t="n">
        <v>2</v>
      </c>
      <c r="E2311" s="2" t="n">
        <v>40768.4951388889</v>
      </c>
      <c r="F2311" s="0" t="n">
        <v>2.16</v>
      </c>
      <c r="G2311" s="0" t="n">
        <v>13606</v>
      </c>
      <c r="H2311" s="3" t="s">
        <v>14</v>
      </c>
      <c r="I2311" s="4" t="n">
        <f aca="false">D2311*F2311</f>
        <v>4.32</v>
      </c>
      <c r="J2311" s="3" t="n">
        <f aca="false">IF(AND(LEFT(A2311,1)&lt;&gt;"C",D2311&gt;0,F2311&gt;0),1,0)</f>
        <v>1</v>
      </c>
      <c r="K2311" s="3" t="n">
        <f aca="false">IF(AND(H2311="United Kingdom",G2311&lt;&gt;"",COUNTIFS($G$2:G2311,G2311,$H$2:H2311,"United Kingdom")=1),1,0)</f>
        <v>0</v>
      </c>
    </row>
    <row r="2312" customFormat="false" ht="15" hidden="false" customHeight="false" outlineLevel="0" collapsed="false">
      <c r="A2312" s="0" t="s">
        <v>500</v>
      </c>
      <c r="B2312" s="0" t="s">
        <v>37</v>
      </c>
      <c r="C2312" s="0" t="s">
        <v>38</v>
      </c>
      <c r="D2312" s="0" t="n">
        <v>8</v>
      </c>
      <c r="E2312" s="2" t="n">
        <v>40768.4951388889</v>
      </c>
      <c r="F2312" s="0" t="n">
        <v>1.82</v>
      </c>
      <c r="G2312" s="0" t="n">
        <v>13606</v>
      </c>
      <c r="H2312" s="3" t="s">
        <v>14</v>
      </c>
      <c r="I2312" s="4" t="n">
        <f aca="false">D2312*F2312</f>
        <v>14.56</v>
      </c>
      <c r="J2312" s="3" t="n">
        <f aca="false">IF(AND(LEFT(A2312,1)&lt;&gt;"C",D2312&gt;0,F2312&gt;0),1,0)</f>
        <v>1</v>
      </c>
      <c r="K2312" s="3" t="n">
        <f aca="false">IF(AND(H2312="United Kingdom",G2312&lt;&gt;"",COUNTIFS($G$2:G2312,G2312,$H$2:H2312,"United Kingdom")=1),1,0)</f>
        <v>0</v>
      </c>
    </row>
    <row r="2313" customFormat="false" ht="15" hidden="false" customHeight="false" outlineLevel="0" collapsed="false">
      <c r="A2313" s="0" t="s">
        <v>501</v>
      </c>
      <c r="B2313" s="0" t="s">
        <v>52</v>
      </c>
      <c r="C2313" s="0" t="s">
        <v>53</v>
      </c>
      <c r="D2313" s="0" t="n">
        <v>3</v>
      </c>
      <c r="E2313" s="2" t="n">
        <v>40768.5097222222</v>
      </c>
      <c r="F2313" s="0" t="n">
        <v>4.16</v>
      </c>
      <c r="G2313" s="0" t="n">
        <v>15321</v>
      </c>
      <c r="H2313" s="3" t="s">
        <v>14</v>
      </c>
      <c r="I2313" s="4" t="n">
        <f aca="false">D2313*F2313</f>
        <v>12.48</v>
      </c>
      <c r="J2313" s="3" t="n">
        <f aca="false">IF(AND(LEFT(A2313,1)&lt;&gt;"C",D2313&gt;0,F2313&gt;0),1,0)</f>
        <v>1</v>
      </c>
      <c r="K2313" s="3" t="n">
        <f aca="false">IF(AND(H2313="United Kingdom",G2313&lt;&gt;"",COUNTIFS($G$2:G2313,G2313,$H$2:H2313,"United Kingdom")=1),1,0)</f>
        <v>0</v>
      </c>
    </row>
    <row r="2314" customFormat="false" ht="15" hidden="false" customHeight="false" outlineLevel="0" collapsed="false">
      <c r="A2314" s="0" t="s">
        <v>501</v>
      </c>
      <c r="B2314" s="0" t="s">
        <v>54</v>
      </c>
      <c r="C2314" s="0" t="s">
        <v>55</v>
      </c>
      <c r="D2314" s="0" t="n">
        <v>2</v>
      </c>
      <c r="E2314" s="2" t="n">
        <v>40768.5097222222</v>
      </c>
      <c r="F2314" s="0" t="n">
        <v>0.99</v>
      </c>
      <c r="G2314" s="0" t="n">
        <v>15321</v>
      </c>
      <c r="H2314" s="3" t="s">
        <v>14</v>
      </c>
      <c r="I2314" s="4" t="n">
        <f aca="false">D2314*F2314</f>
        <v>1.98</v>
      </c>
      <c r="J2314" s="3" t="n">
        <f aca="false">IF(AND(LEFT(A2314,1)&lt;&gt;"C",D2314&gt;0,F2314&gt;0),1,0)</f>
        <v>1</v>
      </c>
      <c r="K2314" s="3" t="n">
        <f aca="false">IF(AND(H2314="United Kingdom",G2314&lt;&gt;"",COUNTIFS($G$2:G2314,G2314,$H$2:H2314,"United Kingdom")=1),1,0)</f>
        <v>0</v>
      </c>
    </row>
    <row r="2315" customFormat="false" ht="15" hidden="false" customHeight="false" outlineLevel="0" collapsed="false">
      <c r="A2315" s="0" t="s">
        <v>501</v>
      </c>
      <c r="B2315" s="0" t="s">
        <v>65</v>
      </c>
      <c r="C2315" s="0" t="s">
        <v>66</v>
      </c>
      <c r="D2315" s="0" t="n">
        <v>1</v>
      </c>
      <c r="E2315" s="2" t="n">
        <v>40768.5097222222</v>
      </c>
      <c r="F2315" s="0" t="n">
        <v>4.75</v>
      </c>
      <c r="G2315" s="0" t="n">
        <v>15321</v>
      </c>
      <c r="H2315" s="3" t="s">
        <v>14</v>
      </c>
      <c r="I2315" s="4" t="n">
        <f aca="false">D2315*F2315</f>
        <v>4.75</v>
      </c>
      <c r="J2315" s="3" t="n">
        <f aca="false">IF(AND(LEFT(A2315,1)&lt;&gt;"C",D2315&gt;0,F2315&gt;0),1,0)</f>
        <v>1</v>
      </c>
      <c r="K2315" s="3" t="n">
        <f aca="false">IF(AND(H2315="United Kingdom",G2315&lt;&gt;"",COUNTIFS($G$2:G2315,G2315,$H$2:H2315,"United Kingdom")=1),1,0)</f>
        <v>0</v>
      </c>
    </row>
    <row r="2316" customFormat="false" ht="15" hidden="false" customHeight="false" outlineLevel="0" collapsed="false">
      <c r="A2316" s="0" t="s">
        <v>502</v>
      </c>
      <c r="B2316" s="0" t="s">
        <v>68</v>
      </c>
      <c r="C2316" s="0" t="s">
        <v>69</v>
      </c>
      <c r="D2316" s="0" t="n">
        <v>1</v>
      </c>
      <c r="E2316" s="2" t="n">
        <v>40768.6736111111</v>
      </c>
      <c r="F2316" s="0" t="n">
        <v>1.26</v>
      </c>
      <c r="G2316" s="0" t="n">
        <v>13445</v>
      </c>
      <c r="H2316" s="3" t="s">
        <v>14</v>
      </c>
      <c r="I2316" s="4" t="n">
        <f aca="false">D2316*F2316</f>
        <v>1.26</v>
      </c>
      <c r="J2316" s="3" t="n">
        <f aca="false">IF(AND(LEFT(A2316,1)&lt;&gt;"C",D2316&gt;0,F2316&gt;0),1,0)</f>
        <v>1</v>
      </c>
      <c r="K2316" s="3" t="n">
        <f aca="false">IF(AND(H2316="United Kingdom",G2316&lt;&gt;"",COUNTIFS($G$2:G2316,G2316,$H$2:H2316,"United Kingdom")=1),1,0)</f>
        <v>0</v>
      </c>
    </row>
    <row r="2317" customFormat="false" ht="15" hidden="false" customHeight="false" outlineLevel="0" collapsed="false">
      <c r="A2317" s="0" t="s">
        <v>502</v>
      </c>
      <c r="B2317" s="0" t="s">
        <v>27</v>
      </c>
      <c r="C2317" s="0" t="s">
        <v>28</v>
      </c>
      <c r="D2317" s="0" t="n">
        <v>12</v>
      </c>
      <c r="E2317" s="2" t="n">
        <v>40768.6736111111</v>
      </c>
      <c r="F2317" s="0" t="n">
        <v>4.55</v>
      </c>
      <c r="G2317" s="0" t="n">
        <v>13445</v>
      </c>
      <c r="H2317" s="3" t="s">
        <v>14</v>
      </c>
      <c r="I2317" s="4" t="n">
        <f aca="false">D2317*F2317</f>
        <v>54.6</v>
      </c>
      <c r="J2317" s="3" t="n">
        <f aca="false">IF(AND(LEFT(A2317,1)&lt;&gt;"C",D2317&gt;0,F2317&gt;0),1,0)</f>
        <v>1</v>
      </c>
      <c r="K2317" s="3" t="n">
        <f aca="false">IF(AND(H2317="United Kingdom",G2317&lt;&gt;"",COUNTIFS($G$2:G2317,G2317,$H$2:H2317,"United Kingdom")=1),1,0)</f>
        <v>0</v>
      </c>
    </row>
    <row r="2318" customFormat="false" ht="15" hidden="false" customHeight="false" outlineLevel="0" collapsed="false">
      <c r="A2318" s="0" t="s">
        <v>502</v>
      </c>
      <c r="B2318" s="0" t="s">
        <v>90</v>
      </c>
      <c r="C2318" s="0" t="s">
        <v>91</v>
      </c>
      <c r="D2318" s="0" t="n">
        <v>4</v>
      </c>
      <c r="E2318" s="2" t="n">
        <v>40768.6736111111</v>
      </c>
      <c r="F2318" s="0" t="n">
        <v>3.04</v>
      </c>
      <c r="G2318" s="0" t="n">
        <v>13445</v>
      </c>
      <c r="H2318" s="3" t="s">
        <v>14</v>
      </c>
      <c r="I2318" s="4" t="n">
        <f aca="false">D2318*F2318</f>
        <v>12.16</v>
      </c>
      <c r="J2318" s="3" t="n">
        <f aca="false">IF(AND(LEFT(A2318,1)&lt;&gt;"C",D2318&gt;0,F2318&gt;0),1,0)</f>
        <v>1</v>
      </c>
      <c r="K2318" s="3" t="n">
        <f aca="false">IF(AND(H2318="United Kingdom",G2318&lt;&gt;"",COUNTIFS($G$2:G2318,G2318,$H$2:H2318,"United Kingdom")=1),1,0)</f>
        <v>0</v>
      </c>
    </row>
    <row r="2319" customFormat="false" ht="15" hidden="false" customHeight="false" outlineLevel="0" collapsed="false">
      <c r="A2319" s="0" t="s">
        <v>502</v>
      </c>
      <c r="B2319" s="0" t="s">
        <v>32</v>
      </c>
      <c r="C2319" s="0" t="s">
        <v>33</v>
      </c>
      <c r="D2319" s="0" t="n">
        <v>3</v>
      </c>
      <c r="E2319" s="2" t="n">
        <v>40768.6736111111</v>
      </c>
      <c r="F2319" s="0" t="n">
        <v>1.19</v>
      </c>
      <c r="G2319" s="0" t="n">
        <v>13445</v>
      </c>
      <c r="H2319" s="3" t="s">
        <v>14</v>
      </c>
      <c r="I2319" s="4" t="n">
        <f aca="false">D2319*F2319</f>
        <v>3.57</v>
      </c>
      <c r="J2319" s="3" t="n">
        <f aca="false">IF(AND(LEFT(A2319,1)&lt;&gt;"C",D2319&gt;0,F2319&gt;0),1,0)</f>
        <v>1</v>
      </c>
      <c r="K2319" s="3" t="n">
        <f aca="false">IF(AND(H2319="United Kingdom",G2319&lt;&gt;"",COUNTIFS($G$2:G2319,G2319,$H$2:H2319,"United Kingdom")=1),1,0)</f>
        <v>0</v>
      </c>
    </row>
    <row r="2320" customFormat="false" ht="15" hidden="false" customHeight="false" outlineLevel="0" collapsed="false">
      <c r="A2320" s="0" t="s">
        <v>502</v>
      </c>
      <c r="B2320" s="0" t="s">
        <v>50</v>
      </c>
      <c r="C2320" s="0" t="s">
        <v>51</v>
      </c>
      <c r="D2320" s="0" t="n">
        <v>2</v>
      </c>
      <c r="E2320" s="2" t="n">
        <v>40768.6736111111</v>
      </c>
      <c r="F2320" s="0" t="n">
        <v>5.41</v>
      </c>
      <c r="G2320" s="0" t="n">
        <v>13445</v>
      </c>
      <c r="H2320" s="3" t="s">
        <v>14</v>
      </c>
      <c r="I2320" s="4" t="n">
        <f aca="false">D2320*F2320</f>
        <v>10.82</v>
      </c>
      <c r="J2320" s="3" t="n">
        <f aca="false">IF(AND(LEFT(A2320,1)&lt;&gt;"C",D2320&gt;0,F2320&gt;0),1,0)</f>
        <v>1</v>
      </c>
      <c r="K2320" s="3" t="n">
        <f aca="false">IF(AND(H2320="United Kingdom",G2320&lt;&gt;"",COUNTIFS($G$2:G2320,G2320,$H$2:H2320,"United Kingdom")=1),1,0)</f>
        <v>0</v>
      </c>
    </row>
    <row r="2321" customFormat="false" ht="15" hidden="false" customHeight="false" outlineLevel="0" collapsed="false">
      <c r="A2321" s="0" t="s">
        <v>502</v>
      </c>
      <c r="B2321" s="0" t="s">
        <v>60</v>
      </c>
      <c r="C2321" s="0" t="s">
        <v>61</v>
      </c>
      <c r="D2321" s="0" t="n">
        <v>1</v>
      </c>
      <c r="E2321" s="2" t="n">
        <v>40768.6736111111</v>
      </c>
      <c r="F2321" s="0" t="n">
        <v>0.63</v>
      </c>
      <c r="G2321" s="0" t="n">
        <v>13445</v>
      </c>
      <c r="H2321" s="3" t="s">
        <v>14</v>
      </c>
      <c r="I2321" s="4" t="n">
        <f aca="false">D2321*F2321</f>
        <v>0.63</v>
      </c>
      <c r="J2321" s="3" t="n">
        <f aca="false">IF(AND(LEFT(A2321,1)&lt;&gt;"C",D2321&gt;0,F2321&gt;0),1,0)</f>
        <v>1</v>
      </c>
      <c r="K2321" s="3" t="n">
        <f aca="false">IF(AND(H2321="United Kingdom",G2321&lt;&gt;"",COUNTIFS($G$2:G2321,G2321,$H$2:H2321,"United Kingdom")=1),1,0)</f>
        <v>0</v>
      </c>
    </row>
    <row r="2322" customFormat="false" ht="15" hidden="false" customHeight="false" outlineLevel="0" collapsed="false">
      <c r="A2322" s="0" t="s">
        <v>502</v>
      </c>
      <c r="B2322" s="0" t="s">
        <v>17</v>
      </c>
      <c r="C2322" s="0" t="s">
        <v>18</v>
      </c>
      <c r="D2322" s="0" t="n">
        <v>6</v>
      </c>
      <c r="E2322" s="2" t="n">
        <v>40768.6736111111</v>
      </c>
      <c r="F2322" s="0" t="n">
        <v>1.92</v>
      </c>
      <c r="G2322" s="0" t="n">
        <v>13445</v>
      </c>
      <c r="H2322" s="3" t="s">
        <v>14</v>
      </c>
      <c r="I2322" s="4" t="n">
        <f aca="false">D2322*F2322</f>
        <v>11.52</v>
      </c>
      <c r="J2322" s="3" t="n">
        <f aca="false">IF(AND(LEFT(A2322,1)&lt;&gt;"C",D2322&gt;0,F2322&gt;0),1,0)</f>
        <v>1</v>
      </c>
      <c r="K2322" s="3" t="n">
        <f aca="false">IF(AND(H2322="United Kingdom",G2322&lt;&gt;"",COUNTIFS($G$2:G2322,G2322,$H$2:H2322,"United Kingdom")=1),1,0)</f>
        <v>0</v>
      </c>
    </row>
    <row r="2323" customFormat="false" ht="15" hidden="false" customHeight="false" outlineLevel="0" collapsed="false">
      <c r="A2323" s="0" t="s">
        <v>502</v>
      </c>
      <c r="B2323" s="0" t="s">
        <v>75</v>
      </c>
      <c r="C2323" s="0" t="s">
        <v>76</v>
      </c>
      <c r="D2323" s="0" t="n">
        <v>6</v>
      </c>
      <c r="E2323" s="2" t="n">
        <v>40768.6736111111</v>
      </c>
      <c r="F2323" s="0" t="n">
        <v>1.97</v>
      </c>
      <c r="G2323" s="0" t="n">
        <v>13445</v>
      </c>
      <c r="H2323" s="3" t="s">
        <v>14</v>
      </c>
      <c r="I2323" s="4" t="n">
        <f aca="false">D2323*F2323</f>
        <v>11.82</v>
      </c>
      <c r="J2323" s="3" t="n">
        <f aca="false">IF(AND(LEFT(A2323,1)&lt;&gt;"C",D2323&gt;0,F2323&gt;0),1,0)</f>
        <v>1</v>
      </c>
      <c r="K2323" s="3" t="n">
        <f aca="false">IF(AND(H2323="United Kingdom",G2323&lt;&gt;"",COUNTIFS($G$2:G2323,G2323,$H$2:H2323,"United Kingdom")=1),1,0)</f>
        <v>0</v>
      </c>
    </row>
    <row r="2324" customFormat="false" ht="15" hidden="false" customHeight="false" outlineLevel="0" collapsed="false">
      <c r="A2324" s="0" t="s">
        <v>502</v>
      </c>
      <c r="B2324" s="0" t="s">
        <v>48</v>
      </c>
      <c r="C2324" s="0" t="s">
        <v>49</v>
      </c>
      <c r="D2324" s="0" t="n">
        <v>2</v>
      </c>
      <c r="E2324" s="2" t="n">
        <v>40768.6736111111</v>
      </c>
      <c r="F2324" s="0" t="n">
        <v>1.35</v>
      </c>
      <c r="G2324" s="0" t="n">
        <v>13445</v>
      </c>
      <c r="H2324" s="3" t="s">
        <v>14</v>
      </c>
      <c r="I2324" s="4" t="n">
        <f aca="false">D2324*F2324</f>
        <v>2.7</v>
      </c>
      <c r="J2324" s="3" t="n">
        <f aca="false">IF(AND(LEFT(A2324,1)&lt;&gt;"C",D2324&gt;0,F2324&gt;0),1,0)</f>
        <v>1</v>
      </c>
      <c r="K2324" s="3" t="n">
        <f aca="false">IF(AND(H2324="United Kingdom",G2324&lt;&gt;"",COUNTIFS($G$2:G2324,G2324,$H$2:H2324,"United Kingdom")=1),1,0)</f>
        <v>0</v>
      </c>
    </row>
    <row r="2325" customFormat="false" ht="15" hidden="false" customHeight="false" outlineLevel="0" collapsed="false">
      <c r="A2325" s="0" t="s">
        <v>503</v>
      </c>
      <c r="B2325" s="0" t="s">
        <v>27</v>
      </c>
      <c r="C2325" s="0" t="s">
        <v>28</v>
      </c>
      <c r="D2325" s="0" t="n">
        <v>16</v>
      </c>
      <c r="E2325" s="2" t="n">
        <v>40768.7263888889</v>
      </c>
      <c r="F2325" s="0" t="n">
        <v>4.55</v>
      </c>
      <c r="G2325" s="0" t="n">
        <v>16583</v>
      </c>
      <c r="H2325" s="3" t="s">
        <v>14</v>
      </c>
      <c r="I2325" s="4" t="n">
        <f aca="false">D2325*F2325</f>
        <v>72.8</v>
      </c>
      <c r="J2325" s="3" t="n">
        <f aca="false">IF(AND(LEFT(A2325,1)&lt;&gt;"C",D2325&gt;0,F2325&gt;0),1,0)</f>
        <v>1</v>
      </c>
      <c r="K2325" s="3" t="n">
        <f aca="false">IF(AND(H2325="United Kingdom",G2325&lt;&gt;"",COUNTIFS($G$2:G2325,G2325,$H$2:H2325,"United Kingdom")=1),1,0)</f>
        <v>0</v>
      </c>
    </row>
    <row r="2326" customFormat="false" ht="15" hidden="false" customHeight="false" outlineLevel="0" collapsed="false">
      <c r="A2326" s="0" t="s">
        <v>503</v>
      </c>
      <c r="B2326" s="0" t="s">
        <v>12</v>
      </c>
      <c r="C2326" s="0" t="s">
        <v>13</v>
      </c>
      <c r="D2326" s="0" t="n">
        <v>2</v>
      </c>
      <c r="E2326" s="2" t="n">
        <v>40768.7263888889</v>
      </c>
      <c r="F2326" s="0" t="n">
        <v>3.33</v>
      </c>
      <c r="G2326" s="0" t="n">
        <v>16583</v>
      </c>
      <c r="H2326" s="3" t="s">
        <v>14</v>
      </c>
      <c r="I2326" s="4" t="n">
        <f aca="false">D2326*F2326</f>
        <v>6.66</v>
      </c>
      <c r="J2326" s="3" t="n">
        <f aca="false">IF(AND(LEFT(A2326,1)&lt;&gt;"C",D2326&gt;0,F2326&gt;0),1,0)</f>
        <v>1</v>
      </c>
      <c r="K2326" s="3" t="n">
        <f aca="false">IF(AND(H2326="United Kingdom",G2326&lt;&gt;"",COUNTIFS($G$2:G2326,G2326,$H$2:H2326,"United Kingdom")=1),1,0)</f>
        <v>0</v>
      </c>
    </row>
    <row r="2327" customFormat="false" ht="15" hidden="false" customHeight="false" outlineLevel="0" collapsed="false">
      <c r="A2327" s="0" t="s">
        <v>503</v>
      </c>
      <c r="B2327" s="0" t="s">
        <v>68</v>
      </c>
      <c r="C2327" s="0" t="s">
        <v>69</v>
      </c>
      <c r="D2327" s="0" t="n">
        <v>2</v>
      </c>
      <c r="E2327" s="2" t="n">
        <v>40768.7263888889</v>
      </c>
      <c r="F2327" s="0" t="n">
        <v>1.26</v>
      </c>
      <c r="G2327" s="0" t="n">
        <v>16583</v>
      </c>
      <c r="H2327" s="3" t="s">
        <v>14</v>
      </c>
      <c r="I2327" s="4" t="n">
        <f aca="false">D2327*F2327</f>
        <v>2.52</v>
      </c>
      <c r="J2327" s="3" t="n">
        <f aca="false">IF(AND(LEFT(A2327,1)&lt;&gt;"C",D2327&gt;0,F2327&gt;0),1,0)</f>
        <v>1</v>
      </c>
      <c r="K2327" s="3" t="n">
        <f aca="false">IF(AND(H2327="United Kingdom",G2327&lt;&gt;"",COUNTIFS($G$2:G2327,G2327,$H$2:H2327,"United Kingdom")=1),1,0)</f>
        <v>0</v>
      </c>
    </row>
    <row r="2328" customFormat="false" ht="15" hidden="false" customHeight="false" outlineLevel="0" collapsed="false">
      <c r="A2328" s="0" t="s">
        <v>504</v>
      </c>
      <c r="B2328" s="0" t="s">
        <v>113</v>
      </c>
      <c r="C2328" s="0" t="s">
        <v>114</v>
      </c>
      <c r="D2328" s="0" t="n">
        <v>12</v>
      </c>
      <c r="E2328" s="2" t="n">
        <v>40769.5409722222</v>
      </c>
      <c r="F2328" s="0" t="n">
        <v>3.57</v>
      </c>
      <c r="G2328" s="0" t="n">
        <v>15427</v>
      </c>
      <c r="H2328" s="3" t="s">
        <v>57</v>
      </c>
      <c r="I2328" s="4" t="n">
        <f aca="false">D2328*F2328</f>
        <v>42.84</v>
      </c>
      <c r="J2328" s="3" t="n">
        <f aca="false">IF(AND(LEFT(A2328,1)&lt;&gt;"C",D2328&gt;0,F2328&gt;0),1,0)</f>
        <v>1</v>
      </c>
      <c r="K2328" s="3" t="n">
        <f aca="false">IF(AND(H2328="United Kingdom",G2328&lt;&gt;"",COUNTIFS($G$2:G2328,G2328,$H$2:H2328,"United Kingdom")=1),1,0)</f>
        <v>0</v>
      </c>
    </row>
    <row r="2329" customFormat="false" ht="15" hidden="false" customHeight="false" outlineLevel="0" collapsed="false">
      <c r="A2329" s="0" t="s">
        <v>504</v>
      </c>
      <c r="B2329" s="0" t="s">
        <v>60</v>
      </c>
      <c r="C2329" s="0" t="s">
        <v>61</v>
      </c>
      <c r="D2329" s="0" t="n">
        <v>3</v>
      </c>
      <c r="E2329" s="2" t="n">
        <v>40769.5409722222</v>
      </c>
      <c r="F2329" s="0" t="n">
        <v>0.63</v>
      </c>
      <c r="G2329" s="0" t="n">
        <v>15427</v>
      </c>
      <c r="H2329" s="3" t="s">
        <v>57</v>
      </c>
      <c r="I2329" s="4" t="n">
        <f aca="false">D2329*F2329</f>
        <v>1.89</v>
      </c>
      <c r="J2329" s="3" t="n">
        <f aca="false">IF(AND(LEFT(A2329,1)&lt;&gt;"C",D2329&gt;0,F2329&gt;0),1,0)</f>
        <v>1</v>
      </c>
      <c r="K2329" s="3" t="n">
        <f aca="false">IF(AND(H2329="United Kingdom",G2329&lt;&gt;"",COUNTIFS($G$2:G2329,G2329,$H$2:H2329,"United Kingdom")=1),1,0)</f>
        <v>0</v>
      </c>
    </row>
    <row r="2330" customFormat="false" ht="15" hidden="false" customHeight="false" outlineLevel="0" collapsed="false">
      <c r="A2330" s="0" t="s">
        <v>504</v>
      </c>
      <c r="B2330" s="0" t="s">
        <v>50</v>
      </c>
      <c r="C2330" s="0" t="s">
        <v>51</v>
      </c>
      <c r="D2330" s="0" t="n">
        <v>1</v>
      </c>
      <c r="E2330" s="2" t="n">
        <v>40769.5409722222</v>
      </c>
      <c r="F2330" s="0" t="n">
        <v>5.41</v>
      </c>
      <c r="G2330" s="0" t="n">
        <v>15427</v>
      </c>
      <c r="H2330" s="3" t="s">
        <v>57</v>
      </c>
      <c r="I2330" s="4" t="n">
        <f aca="false">D2330*F2330</f>
        <v>5.41</v>
      </c>
      <c r="J2330" s="3" t="n">
        <f aca="false">IF(AND(LEFT(A2330,1)&lt;&gt;"C",D2330&gt;0,F2330&gt;0),1,0)</f>
        <v>1</v>
      </c>
      <c r="K2330" s="3" t="n">
        <f aca="false">IF(AND(H2330="United Kingdom",G2330&lt;&gt;"",COUNTIFS($G$2:G2330,G2330,$H$2:H2330,"United Kingdom")=1),1,0)</f>
        <v>0</v>
      </c>
    </row>
    <row r="2331" customFormat="false" ht="15" hidden="false" customHeight="false" outlineLevel="0" collapsed="false">
      <c r="A2331" s="0" t="s">
        <v>504</v>
      </c>
      <c r="B2331" s="0" t="s">
        <v>58</v>
      </c>
      <c r="C2331" s="0" t="s">
        <v>59</v>
      </c>
      <c r="D2331" s="0" t="n">
        <v>38</v>
      </c>
      <c r="E2331" s="2" t="n">
        <v>40769.5409722222</v>
      </c>
      <c r="F2331" s="0" t="n">
        <v>2.16</v>
      </c>
      <c r="G2331" s="0" t="n">
        <v>15427</v>
      </c>
      <c r="H2331" s="3" t="s">
        <v>57</v>
      </c>
      <c r="I2331" s="4" t="n">
        <f aca="false">D2331*F2331</f>
        <v>82.08</v>
      </c>
      <c r="J2331" s="3" t="n">
        <f aca="false">IF(AND(LEFT(A2331,1)&lt;&gt;"C",D2331&gt;0,F2331&gt;0),1,0)</f>
        <v>1</v>
      </c>
      <c r="K2331" s="3" t="n">
        <f aca="false">IF(AND(H2331="United Kingdom",G2331&lt;&gt;"",COUNTIFS($G$2:G2331,G2331,$H$2:H2331,"United Kingdom")=1),1,0)</f>
        <v>0</v>
      </c>
    </row>
    <row r="2332" customFormat="false" ht="15" hidden="false" customHeight="false" outlineLevel="0" collapsed="false">
      <c r="A2332" s="0" t="s">
        <v>504</v>
      </c>
      <c r="B2332" s="0" t="s">
        <v>45</v>
      </c>
      <c r="C2332" s="0" t="s">
        <v>46</v>
      </c>
      <c r="D2332" s="0" t="n">
        <v>38</v>
      </c>
      <c r="E2332" s="2" t="n">
        <v>40769.5409722222</v>
      </c>
      <c r="F2332" s="0" t="n">
        <v>4.55</v>
      </c>
      <c r="G2332" s="0" t="n">
        <v>15427</v>
      </c>
      <c r="H2332" s="3" t="s">
        <v>57</v>
      </c>
      <c r="I2332" s="4" t="n">
        <f aca="false">D2332*F2332</f>
        <v>172.9</v>
      </c>
      <c r="J2332" s="3" t="n">
        <f aca="false">IF(AND(LEFT(A2332,1)&lt;&gt;"C",D2332&gt;0,F2332&gt;0),1,0)</f>
        <v>1</v>
      </c>
      <c r="K2332" s="3" t="n">
        <f aca="false">IF(AND(H2332="United Kingdom",G2332&lt;&gt;"",COUNTIFS($G$2:G2332,G2332,$H$2:H2332,"United Kingdom")=1),1,0)</f>
        <v>0</v>
      </c>
    </row>
    <row r="2333" customFormat="false" ht="15" hidden="false" customHeight="false" outlineLevel="0" collapsed="false">
      <c r="A2333" s="0" t="s">
        <v>504</v>
      </c>
      <c r="B2333" s="0" t="s">
        <v>34</v>
      </c>
      <c r="C2333" s="0" t="s">
        <v>35</v>
      </c>
      <c r="D2333" s="0" t="n">
        <v>6</v>
      </c>
      <c r="E2333" s="2" t="n">
        <v>40769.5409722222</v>
      </c>
      <c r="F2333" s="0" t="n">
        <v>2.38</v>
      </c>
      <c r="G2333" s="0" t="n">
        <v>15427</v>
      </c>
      <c r="H2333" s="3" t="s">
        <v>57</v>
      </c>
      <c r="I2333" s="4" t="n">
        <f aca="false">D2333*F2333</f>
        <v>14.28</v>
      </c>
      <c r="J2333" s="3" t="n">
        <f aca="false">IF(AND(LEFT(A2333,1)&lt;&gt;"C",D2333&gt;0,F2333&gt;0),1,0)</f>
        <v>1</v>
      </c>
      <c r="K2333" s="3" t="n">
        <f aca="false">IF(AND(H2333="United Kingdom",G2333&lt;&gt;"",COUNTIFS($G$2:G2333,G2333,$H$2:H2333,"United Kingdom")=1),1,0)</f>
        <v>0</v>
      </c>
    </row>
    <row r="2334" customFormat="false" ht="15" hidden="false" customHeight="false" outlineLevel="0" collapsed="false">
      <c r="A2334" s="0" t="s">
        <v>505</v>
      </c>
      <c r="B2334" s="0" t="s">
        <v>60</v>
      </c>
      <c r="C2334" s="0" t="s">
        <v>61</v>
      </c>
      <c r="D2334" s="0" t="n">
        <v>216</v>
      </c>
      <c r="E2334" s="2" t="n">
        <v>40769.74375</v>
      </c>
      <c r="F2334" s="0" t="n">
        <v>0.63</v>
      </c>
      <c r="G2334" s="0" t="n">
        <v>15104</v>
      </c>
      <c r="H2334" s="3" t="s">
        <v>14</v>
      </c>
      <c r="I2334" s="4" t="n">
        <f aca="false">D2334*F2334</f>
        <v>136.08</v>
      </c>
      <c r="J2334" s="3" t="n">
        <f aca="false">IF(AND(LEFT(A2334,1)&lt;&gt;"C",D2334&gt;0,F2334&gt;0),1,0)</f>
        <v>1</v>
      </c>
      <c r="K2334" s="3" t="n">
        <f aca="false">IF(AND(H2334="United Kingdom",G2334&lt;&gt;"",COUNTIFS($G$2:G2334,G2334,$H$2:H2334,"United Kingdom")=1),1,0)</f>
        <v>0</v>
      </c>
    </row>
    <row r="2335" customFormat="false" ht="15" hidden="false" customHeight="false" outlineLevel="0" collapsed="false">
      <c r="A2335" s="0" t="s">
        <v>505</v>
      </c>
      <c r="B2335" s="0" t="s">
        <v>63</v>
      </c>
      <c r="C2335" s="0" t="s">
        <v>64</v>
      </c>
      <c r="D2335" s="0" t="n">
        <v>12</v>
      </c>
      <c r="E2335" s="2" t="n">
        <v>40769.74375</v>
      </c>
      <c r="F2335" s="0" t="n">
        <v>2.43</v>
      </c>
      <c r="G2335" s="0" t="n">
        <v>15104</v>
      </c>
      <c r="H2335" s="3" t="s">
        <v>14</v>
      </c>
      <c r="I2335" s="4" t="n">
        <f aca="false">D2335*F2335</f>
        <v>29.16</v>
      </c>
      <c r="J2335" s="3" t="n">
        <f aca="false">IF(AND(LEFT(A2335,1)&lt;&gt;"C",D2335&gt;0,F2335&gt;0),1,0)</f>
        <v>1</v>
      </c>
      <c r="K2335" s="3" t="n">
        <f aca="false">IF(AND(H2335="United Kingdom",G2335&lt;&gt;"",COUNTIFS($G$2:G2335,G2335,$H$2:H2335,"United Kingdom")=1),1,0)</f>
        <v>0</v>
      </c>
    </row>
    <row r="2336" customFormat="false" ht="15" hidden="false" customHeight="false" outlineLevel="0" collapsed="false">
      <c r="A2336" s="0" t="s">
        <v>505</v>
      </c>
      <c r="B2336" s="0" t="s">
        <v>12</v>
      </c>
      <c r="C2336" s="0" t="s">
        <v>13</v>
      </c>
      <c r="D2336" s="0" t="n">
        <v>192</v>
      </c>
      <c r="E2336" s="2" t="n">
        <v>40769.74375</v>
      </c>
      <c r="F2336" s="0" t="n">
        <v>3.33</v>
      </c>
      <c r="G2336" s="0" t="n">
        <v>15104</v>
      </c>
      <c r="H2336" s="3" t="s">
        <v>14</v>
      </c>
      <c r="I2336" s="4" t="n">
        <f aca="false">D2336*F2336</f>
        <v>639.36</v>
      </c>
      <c r="J2336" s="3" t="n">
        <f aca="false">IF(AND(LEFT(A2336,1)&lt;&gt;"C",D2336&gt;0,F2336&gt;0),1,0)</f>
        <v>1</v>
      </c>
      <c r="K2336" s="3" t="n">
        <f aca="false">IF(AND(H2336="United Kingdom",G2336&lt;&gt;"",COUNTIFS($G$2:G2336,G2336,$H$2:H2336,"United Kingdom")=1),1,0)</f>
        <v>0</v>
      </c>
    </row>
    <row r="2337" customFormat="false" ht="15" hidden="false" customHeight="false" outlineLevel="0" collapsed="false">
      <c r="A2337" s="0" t="s">
        <v>505</v>
      </c>
      <c r="B2337" s="0" t="s">
        <v>20</v>
      </c>
      <c r="C2337" s="0" t="s">
        <v>21</v>
      </c>
      <c r="D2337" s="0" t="n">
        <v>72</v>
      </c>
      <c r="E2337" s="2" t="n">
        <v>40769.74375</v>
      </c>
      <c r="F2337" s="0" t="n">
        <v>4.24</v>
      </c>
      <c r="G2337" s="0" t="n">
        <v>15104</v>
      </c>
      <c r="H2337" s="3" t="s">
        <v>14</v>
      </c>
      <c r="I2337" s="4" t="n">
        <f aca="false">D2337*F2337</f>
        <v>305.28</v>
      </c>
      <c r="J2337" s="3" t="n">
        <f aca="false">IF(AND(LEFT(A2337,1)&lt;&gt;"C",D2337&gt;0,F2337&gt;0),1,0)</f>
        <v>1</v>
      </c>
      <c r="K2337" s="3" t="n">
        <f aca="false">IF(AND(H2337="United Kingdom",G2337&lt;&gt;"",COUNTIFS($G$2:G2337,G2337,$H$2:H2337,"United Kingdom")=1),1,0)</f>
        <v>0</v>
      </c>
    </row>
    <row r="2338" customFormat="false" ht="15" hidden="false" customHeight="false" outlineLevel="0" collapsed="false">
      <c r="A2338" s="0" t="s">
        <v>505</v>
      </c>
      <c r="B2338" s="0" t="s">
        <v>65</v>
      </c>
      <c r="C2338" s="0" t="s">
        <v>66</v>
      </c>
      <c r="D2338" s="0" t="n">
        <v>288</v>
      </c>
      <c r="E2338" s="2" t="n">
        <v>40769.74375</v>
      </c>
      <c r="F2338" s="0" t="n">
        <v>4.75</v>
      </c>
      <c r="G2338" s="0" t="n">
        <v>15104</v>
      </c>
      <c r="H2338" s="3" t="s">
        <v>14</v>
      </c>
      <c r="I2338" s="4" t="n">
        <f aca="false">D2338*F2338</f>
        <v>1368</v>
      </c>
      <c r="J2338" s="3" t="n">
        <f aca="false">IF(AND(LEFT(A2338,1)&lt;&gt;"C",D2338&gt;0,F2338&gt;0),1,0)</f>
        <v>1</v>
      </c>
      <c r="K2338" s="3" t="n">
        <f aca="false">IF(AND(H2338="United Kingdom",G2338&lt;&gt;"",COUNTIFS($G$2:G2338,G2338,$H$2:H2338,"United Kingdom")=1),1,0)</f>
        <v>0</v>
      </c>
    </row>
    <row r="2339" customFormat="false" ht="15" hidden="false" customHeight="false" outlineLevel="0" collapsed="false">
      <c r="A2339" s="0" t="s">
        <v>505</v>
      </c>
      <c r="B2339" s="0" t="s">
        <v>48</v>
      </c>
      <c r="C2339" s="0" t="s">
        <v>49</v>
      </c>
      <c r="D2339" s="0" t="n">
        <v>108</v>
      </c>
      <c r="E2339" s="2" t="n">
        <v>40769.74375</v>
      </c>
      <c r="F2339" s="0" t="n">
        <v>1.35</v>
      </c>
      <c r="G2339" s="0" t="n">
        <v>15104</v>
      </c>
      <c r="H2339" s="3" t="s">
        <v>14</v>
      </c>
      <c r="I2339" s="4" t="n">
        <f aca="false">D2339*F2339</f>
        <v>145.8</v>
      </c>
      <c r="J2339" s="3" t="n">
        <f aca="false">IF(AND(LEFT(A2339,1)&lt;&gt;"C",D2339&gt;0,F2339&gt;0),1,0)</f>
        <v>1</v>
      </c>
      <c r="K2339" s="3" t="n">
        <f aca="false">IF(AND(H2339="United Kingdom",G2339&lt;&gt;"",COUNTIFS($G$2:G2339,G2339,$H$2:H2339,"United Kingdom")=1),1,0)</f>
        <v>0</v>
      </c>
    </row>
    <row r="2340" customFormat="false" ht="15" hidden="false" customHeight="false" outlineLevel="0" collapsed="false">
      <c r="A2340" s="0" t="s">
        <v>505</v>
      </c>
      <c r="B2340" s="0" t="s">
        <v>15</v>
      </c>
      <c r="C2340" s="0" t="s">
        <v>16</v>
      </c>
      <c r="D2340" s="0" t="n">
        <v>288</v>
      </c>
      <c r="E2340" s="2" t="n">
        <v>40769.74375</v>
      </c>
      <c r="F2340" s="0" t="n">
        <v>3.18</v>
      </c>
      <c r="G2340" s="0" t="n">
        <v>15104</v>
      </c>
      <c r="H2340" s="3" t="s">
        <v>14</v>
      </c>
      <c r="I2340" s="4" t="n">
        <f aca="false">D2340*F2340</f>
        <v>915.84</v>
      </c>
      <c r="J2340" s="3" t="n">
        <f aca="false">IF(AND(LEFT(A2340,1)&lt;&gt;"C",D2340&gt;0,F2340&gt;0),1,0)</f>
        <v>1</v>
      </c>
      <c r="K2340" s="3" t="n">
        <f aca="false">IF(AND(H2340="United Kingdom",G2340&lt;&gt;"",COUNTIFS($G$2:G2340,G2340,$H$2:H2340,"United Kingdom")=1),1,0)</f>
        <v>0</v>
      </c>
    </row>
    <row r="2341" customFormat="false" ht="15" hidden="false" customHeight="false" outlineLevel="0" collapsed="false">
      <c r="A2341" s="0" t="s">
        <v>505</v>
      </c>
      <c r="B2341" s="0" t="s">
        <v>45</v>
      </c>
      <c r="C2341" s="0" t="s">
        <v>46</v>
      </c>
      <c r="D2341" s="0" t="n">
        <v>24</v>
      </c>
      <c r="E2341" s="2" t="n">
        <v>40769.74375</v>
      </c>
      <c r="F2341" s="0" t="n">
        <v>4.55</v>
      </c>
      <c r="G2341" s="0" t="n">
        <v>15104</v>
      </c>
      <c r="H2341" s="3" t="s">
        <v>14</v>
      </c>
      <c r="I2341" s="4" t="n">
        <f aca="false">D2341*F2341</f>
        <v>109.2</v>
      </c>
      <c r="J2341" s="3" t="n">
        <f aca="false">IF(AND(LEFT(A2341,1)&lt;&gt;"C",D2341&gt;0,F2341&gt;0),1,0)</f>
        <v>1</v>
      </c>
      <c r="K2341" s="3" t="n">
        <f aca="false">IF(AND(H2341="United Kingdom",G2341&lt;&gt;"",COUNTIFS($G$2:G2341,G2341,$H$2:H2341,"United Kingdom")=1),1,0)</f>
        <v>0</v>
      </c>
    </row>
    <row r="2342" customFormat="false" ht="15" hidden="false" customHeight="false" outlineLevel="0" collapsed="false">
      <c r="A2342" s="0" t="s">
        <v>506</v>
      </c>
      <c r="B2342" s="0" t="s">
        <v>54</v>
      </c>
      <c r="C2342" s="0" t="s">
        <v>55</v>
      </c>
      <c r="D2342" s="0" t="n">
        <v>72</v>
      </c>
      <c r="E2342" s="2" t="n">
        <v>40769.7493055556</v>
      </c>
      <c r="F2342" s="0" t="n">
        <v>0.99</v>
      </c>
      <c r="G2342" s="0" t="n">
        <v>13532</v>
      </c>
      <c r="H2342" s="3" t="s">
        <v>88</v>
      </c>
      <c r="I2342" s="4" t="n">
        <f aca="false">D2342*F2342</f>
        <v>71.28</v>
      </c>
      <c r="J2342" s="3" t="n">
        <f aca="false">IF(AND(LEFT(A2342,1)&lt;&gt;"C",D2342&gt;0,F2342&gt;0),1,0)</f>
        <v>1</v>
      </c>
      <c r="K2342" s="3" t="n">
        <f aca="false">IF(AND(H2342="United Kingdom",G2342&lt;&gt;"",COUNTIFS($G$2:G2342,G2342,$H$2:H2342,"United Kingdom")=1),1,0)</f>
        <v>0</v>
      </c>
    </row>
    <row r="2343" customFormat="false" ht="15" hidden="false" customHeight="false" outlineLevel="0" collapsed="false">
      <c r="A2343" s="0" t="s">
        <v>507</v>
      </c>
      <c r="B2343" s="0" t="s">
        <v>68</v>
      </c>
      <c r="C2343" s="0" t="s">
        <v>69</v>
      </c>
      <c r="D2343" s="0" t="n">
        <v>576</v>
      </c>
      <c r="E2343" s="2" t="n">
        <v>40769.7861111111</v>
      </c>
      <c r="F2343" s="0" t="n">
        <v>1.26</v>
      </c>
      <c r="G2343" s="0" t="n">
        <v>17597</v>
      </c>
      <c r="H2343" s="3" t="s">
        <v>14</v>
      </c>
      <c r="I2343" s="4" t="n">
        <f aca="false">D2343*F2343</f>
        <v>725.76</v>
      </c>
      <c r="J2343" s="3" t="n">
        <f aca="false">IF(AND(LEFT(A2343,1)&lt;&gt;"C",D2343&gt;0,F2343&gt;0),1,0)</f>
        <v>1</v>
      </c>
      <c r="K2343" s="3" t="n">
        <f aca="false">IF(AND(H2343="United Kingdom",G2343&lt;&gt;"",COUNTIFS($G$2:G2343,G2343,$H$2:H2343,"United Kingdom")=1),1,0)</f>
        <v>0</v>
      </c>
    </row>
    <row r="2344" customFormat="false" ht="15" hidden="false" customHeight="false" outlineLevel="0" collapsed="false">
      <c r="A2344" s="0" t="s">
        <v>508</v>
      </c>
      <c r="B2344" s="0" t="s">
        <v>29</v>
      </c>
      <c r="C2344" s="0" t="s">
        <v>30</v>
      </c>
      <c r="D2344" s="0" t="n">
        <v>2</v>
      </c>
      <c r="E2344" s="2" t="n">
        <v>40769.8013888889</v>
      </c>
      <c r="F2344" s="0" t="n">
        <v>5.79</v>
      </c>
      <c r="G2344" s="0" t="n">
        <v>16973</v>
      </c>
      <c r="H2344" s="3" t="s">
        <v>14</v>
      </c>
      <c r="I2344" s="4" t="n">
        <f aca="false">D2344*F2344</f>
        <v>11.58</v>
      </c>
      <c r="J2344" s="3" t="n">
        <f aca="false">IF(AND(LEFT(A2344,1)&lt;&gt;"C",D2344&gt;0,F2344&gt;0),1,0)</f>
        <v>1</v>
      </c>
      <c r="K2344" s="3" t="n">
        <f aca="false">IF(AND(H2344="United Kingdom",G2344&lt;&gt;"",COUNTIFS($G$2:G2344,G2344,$H$2:H2344,"United Kingdom")=1),1,0)</f>
        <v>1</v>
      </c>
    </row>
    <row r="2345" customFormat="false" ht="15" hidden="false" customHeight="false" outlineLevel="0" collapsed="false">
      <c r="A2345" s="0" t="s">
        <v>508</v>
      </c>
      <c r="B2345" s="0" t="s">
        <v>27</v>
      </c>
      <c r="C2345" s="0" t="s">
        <v>28</v>
      </c>
      <c r="D2345" s="0" t="n">
        <v>6</v>
      </c>
      <c r="E2345" s="2" t="n">
        <v>40769.8013888889</v>
      </c>
      <c r="F2345" s="0" t="n">
        <v>4.55</v>
      </c>
      <c r="G2345" s="0" t="n">
        <v>16973</v>
      </c>
      <c r="H2345" s="3" t="s">
        <v>14</v>
      </c>
      <c r="I2345" s="4" t="n">
        <f aca="false">D2345*F2345</f>
        <v>27.3</v>
      </c>
      <c r="J2345" s="3" t="n">
        <f aca="false">IF(AND(LEFT(A2345,1)&lt;&gt;"C",D2345&gt;0,F2345&gt;0),1,0)</f>
        <v>1</v>
      </c>
      <c r="K2345" s="3" t="n">
        <f aca="false">IF(AND(H2345="United Kingdom",G2345&lt;&gt;"",COUNTIFS($G$2:G2345,G2345,$H$2:H2345,"United Kingdom")=1),1,0)</f>
        <v>0</v>
      </c>
    </row>
    <row r="2346" customFormat="false" ht="15" hidden="false" customHeight="false" outlineLevel="0" collapsed="false">
      <c r="A2346" s="0" t="s">
        <v>508</v>
      </c>
      <c r="B2346" s="0" t="s">
        <v>54</v>
      </c>
      <c r="C2346" s="0" t="s">
        <v>55</v>
      </c>
      <c r="D2346" s="0" t="n">
        <v>2</v>
      </c>
      <c r="E2346" s="2" t="n">
        <v>40769.8013888889</v>
      </c>
      <c r="F2346" s="0" t="n">
        <v>0.99</v>
      </c>
      <c r="G2346" s="0" t="n">
        <v>16973</v>
      </c>
      <c r="H2346" s="3" t="s">
        <v>14</v>
      </c>
      <c r="I2346" s="4" t="n">
        <f aca="false">D2346*F2346</f>
        <v>1.98</v>
      </c>
      <c r="J2346" s="3" t="n">
        <f aca="false">IF(AND(LEFT(A2346,1)&lt;&gt;"C",D2346&gt;0,F2346&gt;0),1,0)</f>
        <v>1</v>
      </c>
      <c r="K2346" s="3" t="n">
        <f aca="false">IF(AND(H2346="United Kingdom",G2346&lt;&gt;"",COUNTIFS($G$2:G2346,G2346,$H$2:H2346,"United Kingdom")=1),1,0)</f>
        <v>0</v>
      </c>
    </row>
    <row r="2347" customFormat="false" ht="15" hidden="false" customHeight="false" outlineLevel="0" collapsed="false">
      <c r="A2347" s="0" t="s">
        <v>508</v>
      </c>
      <c r="B2347" s="0" t="s">
        <v>43</v>
      </c>
      <c r="C2347" s="0" t="s">
        <v>44</v>
      </c>
      <c r="D2347" s="0" t="n">
        <v>12</v>
      </c>
      <c r="E2347" s="2" t="n">
        <v>40769.8013888889</v>
      </c>
      <c r="F2347" s="0" t="n">
        <v>1.35</v>
      </c>
      <c r="G2347" s="0" t="n">
        <v>16973</v>
      </c>
      <c r="H2347" s="3" t="s">
        <v>14</v>
      </c>
      <c r="I2347" s="4" t="n">
        <f aca="false">D2347*F2347</f>
        <v>16.2</v>
      </c>
      <c r="J2347" s="3" t="n">
        <f aca="false">IF(AND(LEFT(A2347,1)&lt;&gt;"C",D2347&gt;0,F2347&gt;0),1,0)</f>
        <v>1</v>
      </c>
      <c r="K2347" s="3" t="n">
        <f aca="false">IF(AND(H2347="United Kingdom",G2347&lt;&gt;"",COUNTIFS($G$2:G2347,G2347,$H$2:H2347,"United Kingdom")=1),1,0)</f>
        <v>0</v>
      </c>
    </row>
    <row r="2348" customFormat="false" ht="15" hidden="false" customHeight="false" outlineLevel="0" collapsed="false">
      <c r="A2348" s="0" t="s">
        <v>509</v>
      </c>
      <c r="B2348" s="0" t="s">
        <v>75</v>
      </c>
      <c r="C2348" s="0" t="s">
        <v>76</v>
      </c>
      <c r="D2348" s="0" t="n">
        <v>6</v>
      </c>
      <c r="E2348" s="2" t="n">
        <v>40770.4506944444</v>
      </c>
      <c r="F2348" s="0" t="n">
        <v>1.97</v>
      </c>
      <c r="G2348" s="0" t="n">
        <v>18249</v>
      </c>
      <c r="H2348" s="3" t="s">
        <v>14</v>
      </c>
      <c r="I2348" s="4" t="n">
        <f aca="false">D2348*F2348</f>
        <v>11.82</v>
      </c>
      <c r="J2348" s="3" t="n">
        <f aca="false">IF(AND(LEFT(A2348,1)&lt;&gt;"C",D2348&gt;0,F2348&gt;0),1,0)</f>
        <v>1</v>
      </c>
      <c r="K2348" s="3" t="n">
        <f aca="false">IF(AND(H2348="United Kingdom",G2348&lt;&gt;"",COUNTIFS($G$2:G2348,G2348,$H$2:H2348,"United Kingdom")=1),1,0)</f>
        <v>0</v>
      </c>
    </row>
    <row r="2349" customFormat="false" ht="15" hidden="false" customHeight="false" outlineLevel="0" collapsed="false">
      <c r="A2349" s="0" t="s">
        <v>510</v>
      </c>
      <c r="B2349" s="0" t="s">
        <v>43</v>
      </c>
      <c r="C2349" s="0" t="s">
        <v>44</v>
      </c>
      <c r="D2349" s="0" t="n">
        <v>2</v>
      </c>
      <c r="E2349" s="2" t="n">
        <v>40770.49375</v>
      </c>
      <c r="F2349" s="0" t="n">
        <v>1.35</v>
      </c>
      <c r="G2349" s="0" t="n">
        <v>12535</v>
      </c>
      <c r="H2349" s="3" t="s">
        <v>120</v>
      </c>
      <c r="I2349" s="4" t="n">
        <f aca="false">D2349*F2349</f>
        <v>2.7</v>
      </c>
      <c r="J2349" s="3" t="n">
        <f aca="false">IF(AND(LEFT(A2349,1)&lt;&gt;"C",D2349&gt;0,F2349&gt;0),1,0)</f>
        <v>1</v>
      </c>
      <c r="K2349" s="3" t="n">
        <f aca="false">IF(AND(H2349="United Kingdom",G2349&lt;&gt;"",COUNTIFS($G$2:G2349,G2349,$H$2:H2349,"United Kingdom")=1),1,0)</f>
        <v>0</v>
      </c>
    </row>
    <row r="2350" customFormat="false" ht="15" hidden="false" customHeight="false" outlineLevel="0" collapsed="false">
      <c r="A2350" s="0" t="s">
        <v>510</v>
      </c>
      <c r="B2350" s="0" t="s">
        <v>63</v>
      </c>
      <c r="C2350" s="0" t="s">
        <v>64</v>
      </c>
      <c r="D2350" s="0" t="n">
        <v>1</v>
      </c>
      <c r="E2350" s="2" t="n">
        <v>40770.49375</v>
      </c>
      <c r="F2350" s="0" t="n">
        <v>2.43</v>
      </c>
      <c r="G2350" s="0" t="n">
        <v>12535</v>
      </c>
      <c r="H2350" s="3" t="s">
        <v>120</v>
      </c>
      <c r="I2350" s="4" t="n">
        <f aca="false">D2350*F2350</f>
        <v>2.43</v>
      </c>
      <c r="J2350" s="3" t="n">
        <f aca="false">IF(AND(LEFT(A2350,1)&lt;&gt;"C",D2350&gt;0,F2350&gt;0),1,0)</f>
        <v>1</v>
      </c>
      <c r="K2350" s="3" t="n">
        <f aca="false">IF(AND(H2350="United Kingdom",G2350&lt;&gt;"",COUNTIFS($G$2:G2350,G2350,$H$2:H2350,"United Kingdom")=1),1,0)</f>
        <v>0</v>
      </c>
    </row>
    <row r="2351" customFormat="false" ht="15" hidden="false" customHeight="false" outlineLevel="0" collapsed="false">
      <c r="A2351" s="0" t="s">
        <v>510</v>
      </c>
      <c r="B2351" s="0" t="s">
        <v>15</v>
      </c>
      <c r="C2351" s="0" t="s">
        <v>16</v>
      </c>
      <c r="D2351" s="0" t="n">
        <v>2</v>
      </c>
      <c r="E2351" s="2" t="n">
        <v>40770.49375</v>
      </c>
      <c r="F2351" s="0" t="n">
        <v>3.18</v>
      </c>
      <c r="G2351" s="0" t="n">
        <v>12535</v>
      </c>
      <c r="H2351" s="3" t="s">
        <v>120</v>
      </c>
      <c r="I2351" s="4" t="n">
        <f aca="false">D2351*F2351</f>
        <v>6.36</v>
      </c>
      <c r="J2351" s="3" t="n">
        <f aca="false">IF(AND(LEFT(A2351,1)&lt;&gt;"C",D2351&gt;0,F2351&gt;0),1,0)</f>
        <v>1</v>
      </c>
      <c r="K2351" s="3" t="n">
        <f aca="false">IF(AND(H2351="United Kingdom",G2351&lt;&gt;"",COUNTIFS($G$2:G2351,G2351,$H$2:H2351,"United Kingdom")=1),1,0)</f>
        <v>0</v>
      </c>
    </row>
    <row r="2352" customFormat="false" ht="15" hidden="false" customHeight="false" outlineLevel="0" collapsed="false">
      <c r="A2352" s="0" t="s">
        <v>510</v>
      </c>
      <c r="B2352" s="0" t="s">
        <v>17</v>
      </c>
      <c r="C2352" s="0" t="s">
        <v>18</v>
      </c>
      <c r="D2352" s="0" t="n">
        <v>15</v>
      </c>
      <c r="E2352" s="2" t="n">
        <v>40770.49375</v>
      </c>
      <c r="F2352" s="0" t="n">
        <v>1.92</v>
      </c>
      <c r="G2352" s="0" t="n">
        <v>12535</v>
      </c>
      <c r="H2352" s="3" t="s">
        <v>120</v>
      </c>
      <c r="I2352" s="4" t="n">
        <f aca="false">D2352*F2352</f>
        <v>28.8</v>
      </c>
      <c r="J2352" s="3" t="n">
        <f aca="false">IF(AND(LEFT(A2352,1)&lt;&gt;"C",D2352&gt;0,F2352&gt;0),1,0)</f>
        <v>1</v>
      </c>
      <c r="K2352" s="3" t="n">
        <f aca="false">IF(AND(H2352="United Kingdom",G2352&lt;&gt;"",COUNTIFS($G$2:G2352,G2352,$H$2:H2352,"United Kingdom")=1),1,0)</f>
        <v>0</v>
      </c>
    </row>
    <row r="2353" customFormat="false" ht="15" hidden="false" customHeight="false" outlineLevel="0" collapsed="false">
      <c r="A2353" s="0" t="s">
        <v>510</v>
      </c>
      <c r="B2353" s="0" t="s">
        <v>65</v>
      </c>
      <c r="C2353" s="0" t="s">
        <v>66</v>
      </c>
      <c r="D2353" s="0" t="n">
        <v>5</v>
      </c>
      <c r="E2353" s="2" t="n">
        <v>40770.49375</v>
      </c>
      <c r="F2353" s="0" t="n">
        <v>4.75</v>
      </c>
      <c r="G2353" s="0" t="n">
        <v>12535</v>
      </c>
      <c r="H2353" s="3" t="s">
        <v>120</v>
      </c>
      <c r="I2353" s="4" t="n">
        <f aca="false">D2353*F2353</f>
        <v>23.75</v>
      </c>
      <c r="J2353" s="3" t="n">
        <f aca="false">IF(AND(LEFT(A2353,1)&lt;&gt;"C",D2353&gt;0,F2353&gt;0),1,0)</f>
        <v>1</v>
      </c>
      <c r="K2353" s="3" t="n">
        <f aca="false">IF(AND(H2353="United Kingdom",G2353&lt;&gt;"",COUNTIFS($G$2:G2353,G2353,$H$2:H2353,"United Kingdom")=1),1,0)</f>
        <v>0</v>
      </c>
    </row>
    <row r="2354" customFormat="false" ht="15" hidden="false" customHeight="false" outlineLevel="0" collapsed="false">
      <c r="A2354" s="0" t="s">
        <v>511</v>
      </c>
      <c r="B2354" s="0" t="s">
        <v>27</v>
      </c>
      <c r="C2354" s="0" t="s">
        <v>28</v>
      </c>
      <c r="D2354" s="0" t="n">
        <v>2</v>
      </c>
      <c r="E2354" s="2" t="n">
        <v>40770.5305555556</v>
      </c>
      <c r="F2354" s="0" t="n">
        <v>4.55</v>
      </c>
      <c r="G2354" s="0" t="n">
        <v>16243</v>
      </c>
      <c r="H2354" s="3" t="s">
        <v>14</v>
      </c>
      <c r="I2354" s="4" t="n">
        <f aca="false">D2354*F2354</f>
        <v>9.1</v>
      </c>
      <c r="J2354" s="3" t="n">
        <f aca="false">IF(AND(LEFT(A2354,1)&lt;&gt;"C",D2354&gt;0,F2354&gt;0),1,0)</f>
        <v>1</v>
      </c>
      <c r="K2354" s="3" t="n">
        <f aca="false">IF(AND(H2354="United Kingdom",G2354&lt;&gt;"",COUNTIFS($G$2:G2354,G2354,$H$2:H2354,"United Kingdom")=1),1,0)</f>
        <v>0</v>
      </c>
    </row>
    <row r="2355" customFormat="false" ht="15" hidden="false" customHeight="false" outlineLevel="0" collapsed="false">
      <c r="A2355" s="0" t="s">
        <v>512</v>
      </c>
      <c r="B2355" s="0" t="s">
        <v>60</v>
      </c>
      <c r="C2355" s="0" t="s">
        <v>61</v>
      </c>
      <c r="D2355" s="0" t="n">
        <v>1</v>
      </c>
      <c r="E2355" s="2" t="n">
        <v>40770.7076388889</v>
      </c>
      <c r="F2355" s="0" t="n">
        <v>0.63</v>
      </c>
      <c r="H2355" s="3" t="s">
        <v>14</v>
      </c>
      <c r="I2355" s="4" t="n">
        <f aca="false">D2355*F2355</f>
        <v>0.63</v>
      </c>
      <c r="J2355" s="3" t="n">
        <f aca="false">IF(AND(LEFT(A2355,1)&lt;&gt;"C",D2355&gt;0,F2355&gt;0),1,0)</f>
        <v>1</v>
      </c>
      <c r="K2355" s="3" t="n">
        <f aca="false">IF(AND(H2355="United Kingdom",G2355&lt;&gt;"",COUNTIFS($G$2:G2355,G2355,$H$2:H2355,"United Kingdom")=1),1,0)</f>
        <v>0</v>
      </c>
    </row>
    <row r="2356" customFormat="false" ht="15" hidden="false" customHeight="false" outlineLevel="0" collapsed="false">
      <c r="A2356" s="0" t="s">
        <v>512</v>
      </c>
      <c r="B2356" s="0" t="s">
        <v>45</v>
      </c>
      <c r="C2356" s="0" t="s">
        <v>46</v>
      </c>
      <c r="D2356" s="0" t="n">
        <v>3</v>
      </c>
      <c r="E2356" s="2" t="n">
        <v>40770.7076388889</v>
      </c>
      <c r="F2356" s="0" t="n">
        <v>4.55</v>
      </c>
      <c r="H2356" s="3" t="s">
        <v>14</v>
      </c>
      <c r="I2356" s="4" t="n">
        <f aca="false">D2356*F2356</f>
        <v>13.65</v>
      </c>
      <c r="J2356" s="3" t="n">
        <f aca="false">IF(AND(LEFT(A2356,1)&lt;&gt;"C",D2356&gt;0,F2356&gt;0),1,0)</f>
        <v>1</v>
      </c>
      <c r="K2356" s="3" t="n">
        <f aca="false">IF(AND(H2356="United Kingdom",G2356&lt;&gt;"",COUNTIFS($G$2:G2356,G2356,$H$2:H2356,"United Kingdom")=1),1,0)</f>
        <v>0</v>
      </c>
    </row>
    <row r="2357" customFormat="false" ht="15" hidden="false" customHeight="false" outlineLevel="0" collapsed="false">
      <c r="A2357" s="0" t="s">
        <v>512</v>
      </c>
      <c r="B2357" s="0" t="s">
        <v>48</v>
      </c>
      <c r="C2357" s="0" t="s">
        <v>49</v>
      </c>
      <c r="D2357" s="0" t="n">
        <v>6</v>
      </c>
      <c r="E2357" s="2" t="n">
        <v>40770.7076388889</v>
      </c>
      <c r="F2357" s="0" t="n">
        <v>1.35</v>
      </c>
      <c r="H2357" s="3" t="s">
        <v>14</v>
      </c>
      <c r="I2357" s="4" t="n">
        <f aca="false">D2357*F2357</f>
        <v>8.1</v>
      </c>
      <c r="J2357" s="3" t="n">
        <f aca="false">IF(AND(LEFT(A2357,1)&lt;&gt;"C",D2357&gt;0,F2357&gt;0),1,0)</f>
        <v>1</v>
      </c>
      <c r="K2357" s="3" t="n">
        <f aca="false">IF(AND(H2357="United Kingdom",G2357&lt;&gt;"",COUNTIFS($G$2:G2357,G2357,$H$2:H2357,"United Kingdom")=1),1,0)</f>
        <v>0</v>
      </c>
    </row>
    <row r="2358" customFormat="false" ht="15" hidden="false" customHeight="false" outlineLevel="0" collapsed="false">
      <c r="A2358" s="0" t="s">
        <v>512</v>
      </c>
      <c r="B2358" s="0" t="s">
        <v>17</v>
      </c>
      <c r="C2358" s="0" t="s">
        <v>18</v>
      </c>
      <c r="D2358" s="0" t="n">
        <v>1</v>
      </c>
      <c r="E2358" s="2" t="n">
        <v>40770.7076388889</v>
      </c>
      <c r="F2358" s="0" t="n">
        <v>1.92</v>
      </c>
      <c r="H2358" s="3" t="s">
        <v>14</v>
      </c>
      <c r="I2358" s="4" t="n">
        <f aca="false">D2358*F2358</f>
        <v>1.92</v>
      </c>
      <c r="J2358" s="3" t="n">
        <f aca="false">IF(AND(LEFT(A2358,1)&lt;&gt;"C",D2358&gt;0,F2358&gt;0),1,0)</f>
        <v>1</v>
      </c>
      <c r="K2358" s="3" t="n">
        <f aca="false">IF(AND(H2358="United Kingdom",G2358&lt;&gt;"",COUNTIFS($G$2:G2358,G2358,$H$2:H2358,"United Kingdom")=1),1,0)</f>
        <v>0</v>
      </c>
    </row>
    <row r="2359" customFormat="false" ht="15" hidden="false" customHeight="false" outlineLevel="0" collapsed="false">
      <c r="A2359" s="0" t="s">
        <v>513</v>
      </c>
      <c r="B2359" s="0" t="s">
        <v>72</v>
      </c>
      <c r="C2359" s="0" t="s">
        <v>73</v>
      </c>
      <c r="D2359" s="0" t="n">
        <v>1</v>
      </c>
      <c r="E2359" s="2" t="n">
        <v>40771.4166666667</v>
      </c>
      <c r="F2359" s="0" t="n">
        <v>2.69</v>
      </c>
      <c r="G2359" s="0" t="n">
        <v>14603</v>
      </c>
      <c r="H2359" s="3" t="s">
        <v>14</v>
      </c>
      <c r="I2359" s="4" t="n">
        <f aca="false">D2359*F2359</f>
        <v>2.69</v>
      </c>
      <c r="J2359" s="3" t="n">
        <f aca="false">IF(AND(LEFT(A2359,1)&lt;&gt;"C",D2359&gt;0,F2359&gt;0),1,0)</f>
        <v>1</v>
      </c>
      <c r="K2359" s="3" t="n">
        <f aca="false">IF(AND(H2359="United Kingdom",G2359&lt;&gt;"",COUNTIFS($G$2:G2359,G2359,$H$2:H2359,"United Kingdom")=1),1,0)</f>
        <v>0</v>
      </c>
    </row>
    <row r="2360" customFormat="false" ht="15" hidden="false" customHeight="false" outlineLevel="0" collapsed="false">
      <c r="A2360" s="0" t="s">
        <v>513</v>
      </c>
      <c r="B2360" s="0" t="s">
        <v>37</v>
      </c>
      <c r="C2360" s="0" t="s">
        <v>38</v>
      </c>
      <c r="D2360" s="0" t="n">
        <v>2</v>
      </c>
      <c r="E2360" s="2" t="n">
        <v>40771.4166666667</v>
      </c>
      <c r="F2360" s="0" t="n">
        <v>1.82</v>
      </c>
      <c r="G2360" s="0" t="n">
        <v>14603</v>
      </c>
      <c r="H2360" s="3" t="s">
        <v>14</v>
      </c>
      <c r="I2360" s="4" t="n">
        <f aca="false">D2360*F2360</f>
        <v>3.64</v>
      </c>
      <c r="J2360" s="3" t="n">
        <f aca="false">IF(AND(LEFT(A2360,1)&lt;&gt;"C",D2360&gt;0,F2360&gt;0),1,0)</f>
        <v>1</v>
      </c>
      <c r="K2360" s="3" t="n">
        <f aca="false">IF(AND(H2360="United Kingdom",G2360&lt;&gt;"",COUNTIFS($G$2:G2360,G2360,$H$2:H2360,"United Kingdom")=1),1,0)</f>
        <v>0</v>
      </c>
    </row>
    <row r="2361" customFormat="false" ht="15" hidden="false" customHeight="false" outlineLevel="0" collapsed="false">
      <c r="A2361" s="0" t="s">
        <v>513</v>
      </c>
      <c r="B2361" s="0" t="s">
        <v>63</v>
      </c>
      <c r="C2361" s="0" t="s">
        <v>64</v>
      </c>
      <c r="D2361" s="0" t="n">
        <v>4</v>
      </c>
      <c r="E2361" s="2" t="n">
        <v>40771.4166666667</v>
      </c>
      <c r="F2361" s="0" t="n">
        <v>2.43</v>
      </c>
      <c r="G2361" s="0" t="n">
        <v>14603</v>
      </c>
      <c r="H2361" s="3" t="s">
        <v>14</v>
      </c>
      <c r="I2361" s="4" t="n">
        <f aca="false">D2361*F2361</f>
        <v>9.72</v>
      </c>
      <c r="J2361" s="3" t="n">
        <f aca="false">IF(AND(LEFT(A2361,1)&lt;&gt;"C",D2361&gt;0,F2361&gt;0),1,0)</f>
        <v>1</v>
      </c>
      <c r="K2361" s="3" t="n">
        <f aca="false">IF(AND(H2361="United Kingdom",G2361&lt;&gt;"",COUNTIFS($G$2:G2361,G2361,$H$2:H2361,"United Kingdom")=1),1,0)</f>
        <v>0</v>
      </c>
    </row>
    <row r="2362" customFormat="false" ht="15" hidden="false" customHeight="false" outlineLevel="0" collapsed="false">
      <c r="A2362" s="0" t="s">
        <v>513</v>
      </c>
      <c r="B2362" s="0" t="s">
        <v>68</v>
      </c>
      <c r="C2362" s="0" t="s">
        <v>69</v>
      </c>
      <c r="D2362" s="0" t="n">
        <v>1</v>
      </c>
      <c r="E2362" s="2" t="n">
        <v>40771.4166666667</v>
      </c>
      <c r="F2362" s="0" t="n">
        <v>1.26</v>
      </c>
      <c r="G2362" s="0" t="n">
        <v>14603</v>
      </c>
      <c r="H2362" s="3" t="s">
        <v>14</v>
      </c>
      <c r="I2362" s="4" t="n">
        <f aca="false">D2362*F2362</f>
        <v>1.26</v>
      </c>
      <c r="J2362" s="3" t="n">
        <f aca="false">IF(AND(LEFT(A2362,1)&lt;&gt;"C",D2362&gt;0,F2362&gt;0),1,0)</f>
        <v>1</v>
      </c>
      <c r="K2362" s="3" t="n">
        <f aca="false">IF(AND(H2362="United Kingdom",G2362&lt;&gt;"",COUNTIFS($G$2:G2362,G2362,$H$2:H2362,"United Kingdom")=1),1,0)</f>
        <v>0</v>
      </c>
    </row>
    <row r="2363" customFormat="false" ht="15" hidden="false" customHeight="false" outlineLevel="0" collapsed="false">
      <c r="A2363" s="0" t="s">
        <v>514</v>
      </c>
      <c r="B2363" s="0" t="s">
        <v>12</v>
      </c>
      <c r="C2363" s="0" t="s">
        <v>13</v>
      </c>
      <c r="D2363" s="0" t="n">
        <v>288</v>
      </c>
      <c r="E2363" s="2" t="n">
        <v>40771.5784722222</v>
      </c>
      <c r="F2363" s="0" t="n">
        <v>3.33</v>
      </c>
      <c r="H2363" s="3" t="s">
        <v>14</v>
      </c>
      <c r="I2363" s="4" t="n">
        <f aca="false">D2363*F2363</f>
        <v>959.04</v>
      </c>
      <c r="J2363" s="3" t="n">
        <f aca="false">IF(AND(LEFT(A2363,1)&lt;&gt;"C",D2363&gt;0,F2363&gt;0),1,0)</f>
        <v>1</v>
      </c>
      <c r="K2363" s="3" t="n">
        <f aca="false">IF(AND(H2363="United Kingdom",G2363&lt;&gt;"",COUNTIFS($G$2:G2363,G2363,$H$2:H2363,"United Kingdom")=1),1,0)</f>
        <v>0</v>
      </c>
    </row>
    <row r="2364" customFormat="false" ht="15" hidden="false" customHeight="false" outlineLevel="0" collapsed="false">
      <c r="A2364" s="0" t="s">
        <v>514</v>
      </c>
      <c r="B2364" s="0" t="s">
        <v>39</v>
      </c>
      <c r="C2364" s="0" t="s">
        <v>40</v>
      </c>
      <c r="D2364" s="0" t="n">
        <v>144</v>
      </c>
      <c r="E2364" s="2" t="n">
        <v>40771.5784722222</v>
      </c>
      <c r="F2364" s="0" t="n">
        <v>2.58</v>
      </c>
      <c r="H2364" s="3" t="s">
        <v>14</v>
      </c>
      <c r="I2364" s="4" t="n">
        <f aca="false">D2364*F2364</f>
        <v>371.52</v>
      </c>
      <c r="J2364" s="3" t="n">
        <f aca="false">IF(AND(LEFT(A2364,1)&lt;&gt;"C",D2364&gt;0,F2364&gt;0),1,0)</f>
        <v>1</v>
      </c>
      <c r="K2364" s="3" t="n">
        <f aca="false">IF(AND(H2364="United Kingdom",G2364&lt;&gt;"",COUNTIFS($G$2:G2364,G2364,$H$2:H2364,"United Kingdom")=1),1,0)</f>
        <v>0</v>
      </c>
    </row>
    <row r="2365" customFormat="false" ht="15" hidden="false" customHeight="false" outlineLevel="0" collapsed="false">
      <c r="A2365" s="0" t="s">
        <v>514</v>
      </c>
      <c r="B2365" s="0" t="s">
        <v>34</v>
      </c>
      <c r="C2365" s="0" t="s">
        <v>35</v>
      </c>
      <c r="D2365" s="0" t="n">
        <v>48</v>
      </c>
      <c r="E2365" s="2" t="n">
        <v>40771.5784722222</v>
      </c>
      <c r="F2365" s="0" t="n">
        <v>2.38</v>
      </c>
      <c r="H2365" s="3" t="s">
        <v>14</v>
      </c>
      <c r="I2365" s="4" t="n">
        <f aca="false">D2365*F2365</f>
        <v>114.24</v>
      </c>
      <c r="J2365" s="3" t="n">
        <f aca="false">IF(AND(LEFT(A2365,1)&lt;&gt;"C",D2365&gt;0,F2365&gt;0),1,0)</f>
        <v>1</v>
      </c>
      <c r="K2365" s="3" t="n">
        <f aca="false">IF(AND(H2365="United Kingdom",G2365&lt;&gt;"",COUNTIFS($G$2:G2365,G2365,$H$2:H2365,"United Kingdom")=1),1,0)</f>
        <v>0</v>
      </c>
    </row>
    <row r="2366" customFormat="false" ht="15" hidden="false" customHeight="false" outlineLevel="0" collapsed="false">
      <c r="A2366" s="0" t="s">
        <v>515</v>
      </c>
      <c r="B2366" s="0" t="s">
        <v>39</v>
      </c>
      <c r="C2366" s="0" t="s">
        <v>40</v>
      </c>
      <c r="D2366" s="0" t="n">
        <v>1</v>
      </c>
      <c r="E2366" s="2" t="n">
        <v>40771.6902777778</v>
      </c>
      <c r="F2366" s="0" t="n">
        <v>2.58</v>
      </c>
      <c r="G2366" s="0" t="n">
        <v>17737</v>
      </c>
      <c r="H2366" s="3" t="s">
        <v>14</v>
      </c>
      <c r="I2366" s="4" t="n">
        <f aca="false">D2366*F2366</f>
        <v>2.58</v>
      </c>
      <c r="J2366" s="3" t="n">
        <f aca="false">IF(AND(LEFT(A2366,1)&lt;&gt;"C",D2366&gt;0,F2366&gt;0),1,0)</f>
        <v>1</v>
      </c>
      <c r="K2366" s="3" t="n">
        <f aca="false">IF(AND(H2366="United Kingdom",G2366&lt;&gt;"",COUNTIFS($G$2:G2366,G2366,$H$2:H2366,"United Kingdom")=1),1,0)</f>
        <v>0</v>
      </c>
    </row>
    <row r="2367" customFormat="false" ht="15" hidden="false" customHeight="false" outlineLevel="0" collapsed="false">
      <c r="A2367" s="0" t="s">
        <v>515</v>
      </c>
      <c r="B2367" s="0" t="s">
        <v>48</v>
      </c>
      <c r="C2367" s="0" t="s">
        <v>49</v>
      </c>
      <c r="D2367" s="0" t="n">
        <v>2</v>
      </c>
      <c r="E2367" s="2" t="n">
        <v>40771.6902777778</v>
      </c>
      <c r="F2367" s="0" t="n">
        <v>1.35</v>
      </c>
      <c r="G2367" s="0" t="n">
        <v>17737</v>
      </c>
      <c r="H2367" s="3" t="s">
        <v>14</v>
      </c>
      <c r="I2367" s="4" t="n">
        <f aca="false">D2367*F2367</f>
        <v>2.7</v>
      </c>
      <c r="J2367" s="3" t="n">
        <f aca="false">IF(AND(LEFT(A2367,1)&lt;&gt;"C",D2367&gt;0,F2367&gt;0),1,0)</f>
        <v>1</v>
      </c>
      <c r="K2367" s="3" t="n">
        <f aca="false">IF(AND(H2367="United Kingdom",G2367&lt;&gt;"",COUNTIFS($G$2:G2367,G2367,$H$2:H2367,"United Kingdom")=1),1,0)</f>
        <v>0</v>
      </c>
    </row>
    <row r="2368" customFormat="false" ht="15" hidden="false" customHeight="false" outlineLevel="0" collapsed="false">
      <c r="A2368" s="0" t="s">
        <v>516</v>
      </c>
      <c r="B2368" s="0" t="s">
        <v>17</v>
      </c>
      <c r="C2368" s="0" t="s">
        <v>18</v>
      </c>
      <c r="D2368" s="0" t="n">
        <v>4</v>
      </c>
      <c r="E2368" s="2" t="n">
        <v>40771.7340277778</v>
      </c>
      <c r="F2368" s="0" t="n">
        <v>1.92</v>
      </c>
      <c r="G2368" s="0" t="n">
        <v>17178</v>
      </c>
      <c r="H2368" s="3" t="s">
        <v>14</v>
      </c>
      <c r="I2368" s="4" t="n">
        <f aca="false">D2368*F2368</f>
        <v>7.68</v>
      </c>
      <c r="J2368" s="3" t="n">
        <f aca="false">IF(AND(LEFT(A2368,1)&lt;&gt;"C",D2368&gt;0,F2368&gt;0),1,0)</f>
        <v>1</v>
      </c>
      <c r="K2368" s="3" t="n">
        <f aca="false">IF(AND(H2368="United Kingdom",G2368&lt;&gt;"",COUNTIFS($G$2:G2368,G2368,$H$2:H2368,"United Kingdom")=1),1,0)</f>
        <v>0</v>
      </c>
    </row>
    <row r="2369" customFormat="false" ht="15" hidden="false" customHeight="false" outlineLevel="0" collapsed="false">
      <c r="A2369" s="0" t="s">
        <v>516</v>
      </c>
      <c r="B2369" s="0" t="s">
        <v>60</v>
      </c>
      <c r="C2369" s="0" t="s">
        <v>61</v>
      </c>
      <c r="D2369" s="0" t="n">
        <v>1</v>
      </c>
      <c r="E2369" s="2" t="n">
        <v>40771.7340277778</v>
      </c>
      <c r="F2369" s="0" t="n">
        <v>0.63</v>
      </c>
      <c r="G2369" s="0" t="n">
        <v>17178</v>
      </c>
      <c r="H2369" s="3" t="s">
        <v>14</v>
      </c>
      <c r="I2369" s="4" t="n">
        <f aca="false">D2369*F2369</f>
        <v>0.63</v>
      </c>
      <c r="J2369" s="3" t="n">
        <f aca="false">IF(AND(LEFT(A2369,1)&lt;&gt;"C",D2369&gt;0,F2369&gt;0),1,0)</f>
        <v>1</v>
      </c>
      <c r="K2369" s="3" t="n">
        <f aca="false">IF(AND(H2369="United Kingdom",G2369&lt;&gt;"",COUNTIFS($G$2:G2369,G2369,$H$2:H2369,"United Kingdom")=1),1,0)</f>
        <v>0</v>
      </c>
    </row>
    <row r="2370" customFormat="false" ht="15" hidden="false" customHeight="false" outlineLevel="0" collapsed="false">
      <c r="A2370" s="0" t="s">
        <v>516</v>
      </c>
      <c r="B2370" s="0" t="s">
        <v>37</v>
      </c>
      <c r="C2370" s="0" t="s">
        <v>38</v>
      </c>
      <c r="D2370" s="0" t="n">
        <v>4</v>
      </c>
      <c r="E2370" s="2" t="n">
        <v>40771.7340277778</v>
      </c>
      <c r="F2370" s="0" t="n">
        <v>1.82</v>
      </c>
      <c r="G2370" s="0" t="n">
        <v>17178</v>
      </c>
      <c r="H2370" s="3" t="s">
        <v>14</v>
      </c>
      <c r="I2370" s="4" t="n">
        <f aca="false">D2370*F2370</f>
        <v>7.28</v>
      </c>
      <c r="J2370" s="3" t="n">
        <f aca="false">IF(AND(LEFT(A2370,1)&lt;&gt;"C",D2370&gt;0,F2370&gt;0),1,0)</f>
        <v>1</v>
      </c>
      <c r="K2370" s="3" t="n">
        <f aca="false">IF(AND(H2370="United Kingdom",G2370&lt;&gt;"",COUNTIFS($G$2:G2370,G2370,$H$2:H2370,"United Kingdom")=1),1,0)</f>
        <v>0</v>
      </c>
    </row>
    <row r="2371" customFormat="false" ht="15" hidden="false" customHeight="false" outlineLevel="0" collapsed="false">
      <c r="A2371" s="0" t="s">
        <v>517</v>
      </c>
      <c r="B2371" s="0" t="s">
        <v>54</v>
      </c>
      <c r="C2371" s="0" t="s">
        <v>55</v>
      </c>
      <c r="D2371" s="0" t="n">
        <v>6</v>
      </c>
      <c r="E2371" s="2" t="n">
        <v>40772.4048611111</v>
      </c>
      <c r="F2371" s="0" t="n">
        <v>0.99</v>
      </c>
      <c r="G2371" s="0" t="n">
        <v>16066</v>
      </c>
      <c r="H2371" s="3" t="s">
        <v>14</v>
      </c>
      <c r="I2371" s="4" t="n">
        <f aca="false">D2371*F2371</f>
        <v>5.94</v>
      </c>
      <c r="J2371" s="3" t="n">
        <f aca="false">IF(AND(LEFT(A2371,1)&lt;&gt;"C",D2371&gt;0,F2371&gt;0),1,0)</f>
        <v>1</v>
      </c>
      <c r="K2371" s="3" t="n">
        <f aca="false">IF(AND(H2371="United Kingdom",G2371&lt;&gt;"",COUNTIFS($G$2:G2371,G2371,$H$2:H2371,"United Kingdom")=1),1,0)</f>
        <v>0</v>
      </c>
    </row>
    <row r="2372" customFormat="false" ht="15" hidden="false" customHeight="false" outlineLevel="0" collapsed="false">
      <c r="A2372" s="0" t="s">
        <v>517</v>
      </c>
      <c r="B2372" s="0" t="s">
        <v>39</v>
      </c>
      <c r="C2372" s="0" t="s">
        <v>40</v>
      </c>
      <c r="D2372" s="0" t="n">
        <v>2</v>
      </c>
      <c r="E2372" s="2" t="n">
        <v>40772.4048611111</v>
      </c>
      <c r="F2372" s="0" t="n">
        <v>2.58</v>
      </c>
      <c r="G2372" s="0" t="n">
        <v>16066</v>
      </c>
      <c r="H2372" s="3" t="s">
        <v>14</v>
      </c>
      <c r="I2372" s="4" t="n">
        <f aca="false">D2372*F2372</f>
        <v>5.16</v>
      </c>
      <c r="J2372" s="3" t="n">
        <f aca="false">IF(AND(LEFT(A2372,1)&lt;&gt;"C",D2372&gt;0,F2372&gt;0),1,0)</f>
        <v>1</v>
      </c>
      <c r="K2372" s="3" t="n">
        <f aca="false">IF(AND(H2372="United Kingdom",G2372&lt;&gt;"",COUNTIFS($G$2:G2372,G2372,$H$2:H2372,"United Kingdom")=1),1,0)</f>
        <v>0</v>
      </c>
    </row>
    <row r="2373" customFormat="false" ht="15" hidden="false" customHeight="false" outlineLevel="0" collapsed="false">
      <c r="A2373" s="0" t="s">
        <v>518</v>
      </c>
      <c r="B2373" s="0" t="s">
        <v>12</v>
      </c>
      <c r="C2373" s="0" t="s">
        <v>13</v>
      </c>
      <c r="D2373" s="0" t="n">
        <v>4</v>
      </c>
      <c r="E2373" s="2" t="n">
        <v>40772.44375</v>
      </c>
      <c r="F2373" s="0" t="n">
        <v>3.33</v>
      </c>
      <c r="G2373" s="0" t="n">
        <v>14240</v>
      </c>
      <c r="H2373" s="3" t="s">
        <v>14</v>
      </c>
      <c r="I2373" s="4" t="n">
        <f aca="false">D2373*F2373</f>
        <v>13.32</v>
      </c>
      <c r="J2373" s="3" t="n">
        <f aca="false">IF(AND(LEFT(A2373,1)&lt;&gt;"C",D2373&gt;0,F2373&gt;0),1,0)</f>
        <v>1</v>
      </c>
      <c r="K2373" s="3" t="n">
        <f aca="false">IF(AND(H2373="United Kingdom",G2373&lt;&gt;"",COUNTIFS($G$2:G2373,G2373,$H$2:H2373,"United Kingdom")=1),1,0)</f>
        <v>0</v>
      </c>
    </row>
    <row r="2374" customFormat="false" ht="15" hidden="false" customHeight="false" outlineLevel="0" collapsed="false">
      <c r="A2374" s="0" t="s">
        <v>518</v>
      </c>
      <c r="B2374" s="0" t="s">
        <v>37</v>
      </c>
      <c r="C2374" s="0" t="s">
        <v>38</v>
      </c>
      <c r="D2374" s="0" t="n">
        <v>1</v>
      </c>
      <c r="E2374" s="2" t="n">
        <v>40772.44375</v>
      </c>
      <c r="F2374" s="0" t="n">
        <v>1.82</v>
      </c>
      <c r="G2374" s="0" t="n">
        <v>14240</v>
      </c>
      <c r="H2374" s="3" t="s">
        <v>14</v>
      </c>
      <c r="I2374" s="4" t="n">
        <f aca="false">D2374*F2374</f>
        <v>1.82</v>
      </c>
      <c r="J2374" s="3" t="n">
        <f aca="false">IF(AND(LEFT(A2374,1)&lt;&gt;"C",D2374&gt;0,F2374&gt;0),1,0)</f>
        <v>1</v>
      </c>
      <c r="K2374" s="3" t="n">
        <f aca="false">IF(AND(H2374="United Kingdom",G2374&lt;&gt;"",COUNTIFS($G$2:G2374,G2374,$H$2:H2374,"United Kingdom")=1),1,0)</f>
        <v>0</v>
      </c>
    </row>
    <row r="2375" customFormat="false" ht="15" hidden="false" customHeight="false" outlineLevel="0" collapsed="false">
      <c r="A2375" s="0" t="s">
        <v>518</v>
      </c>
      <c r="B2375" s="0" t="s">
        <v>72</v>
      </c>
      <c r="C2375" s="0" t="s">
        <v>73</v>
      </c>
      <c r="D2375" s="0" t="n">
        <v>8</v>
      </c>
      <c r="E2375" s="2" t="n">
        <v>40772.44375</v>
      </c>
      <c r="F2375" s="0" t="n">
        <v>2.69</v>
      </c>
      <c r="G2375" s="0" t="n">
        <v>14240</v>
      </c>
      <c r="H2375" s="3" t="s">
        <v>14</v>
      </c>
      <c r="I2375" s="4" t="n">
        <f aca="false">D2375*F2375</f>
        <v>21.52</v>
      </c>
      <c r="J2375" s="3" t="n">
        <f aca="false">IF(AND(LEFT(A2375,1)&lt;&gt;"C",D2375&gt;0,F2375&gt;0),1,0)</f>
        <v>1</v>
      </c>
      <c r="K2375" s="3" t="n">
        <f aca="false">IF(AND(H2375="United Kingdom",G2375&lt;&gt;"",COUNTIFS($G$2:G2375,G2375,$H$2:H2375,"United Kingdom")=1),1,0)</f>
        <v>0</v>
      </c>
    </row>
    <row r="2376" customFormat="false" ht="15" hidden="false" customHeight="false" outlineLevel="0" collapsed="false">
      <c r="A2376" s="0" t="s">
        <v>518</v>
      </c>
      <c r="B2376" s="0" t="s">
        <v>90</v>
      </c>
      <c r="C2376" s="0" t="s">
        <v>91</v>
      </c>
      <c r="D2376" s="0" t="n">
        <v>6</v>
      </c>
      <c r="E2376" s="2" t="n">
        <v>40772.44375</v>
      </c>
      <c r="F2376" s="0" t="n">
        <v>3.04</v>
      </c>
      <c r="G2376" s="0" t="n">
        <v>14240</v>
      </c>
      <c r="H2376" s="3" t="s">
        <v>14</v>
      </c>
      <c r="I2376" s="4" t="n">
        <f aca="false">D2376*F2376</f>
        <v>18.24</v>
      </c>
      <c r="J2376" s="3" t="n">
        <f aca="false">IF(AND(LEFT(A2376,1)&lt;&gt;"C",D2376&gt;0,F2376&gt;0),1,0)</f>
        <v>1</v>
      </c>
      <c r="K2376" s="3" t="n">
        <f aca="false">IF(AND(H2376="United Kingdom",G2376&lt;&gt;"",COUNTIFS($G$2:G2376,G2376,$H$2:H2376,"United Kingdom")=1),1,0)</f>
        <v>0</v>
      </c>
    </row>
    <row r="2377" customFormat="false" ht="15" hidden="false" customHeight="false" outlineLevel="0" collapsed="false">
      <c r="A2377" s="0" t="s">
        <v>519</v>
      </c>
      <c r="B2377" s="0" t="s">
        <v>34</v>
      </c>
      <c r="C2377" s="0" t="s">
        <v>35</v>
      </c>
      <c r="D2377" s="0" t="n">
        <v>432</v>
      </c>
      <c r="E2377" s="2" t="n">
        <v>40772.4666666667</v>
      </c>
      <c r="F2377" s="0" t="n">
        <v>2.38</v>
      </c>
      <c r="G2377" s="0" t="n">
        <v>13970</v>
      </c>
      <c r="H2377" s="3" t="s">
        <v>14</v>
      </c>
      <c r="I2377" s="4" t="n">
        <f aca="false">D2377*F2377</f>
        <v>1028.16</v>
      </c>
      <c r="J2377" s="3" t="n">
        <f aca="false">IF(AND(LEFT(A2377,1)&lt;&gt;"C",D2377&gt;0,F2377&gt;0),1,0)</f>
        <v>1</v>
      </c>
      <c r="K2377" s="3" t="n">
        <f aca="false">IF(AND(H2377="United Kingdom",G2377&lt;&gt;"",COUNTIFS($G$2:G2377,G2377,$H$2:H2377,"United Kingdom")=1),1,0)</f>
        <v>0</v>
      </c>
    </row>
    <row r="2378" customFormat="false" ht="15" hidden="false" customHeight="false" outlineLevel="0" collapsed="false">
      <c r="A2378" s="0" t="s">
        <v>519</v>
      </c>
      <c r="B2378" s="0" t="s">
        <v>113</v>
      </c>
      <c r="C2378" s="0" t="s">
        <v>114</v>
      </c>
      <c r="D2378" s="0" t="n">
        <v>432</v>
      </c>
      <c r="E2378" s="2" t="n">
        <v>40772.4666666667</v>
      </c>
      <c r="F2378" s="0" t="n">
        <v>3.57</v>
      </c>
      <c r="G2378" s="0" t="n">
        <v>13970</v>
      </c>
      <c r="H2378" s="3" t="s">
        <v>14</v>
      </c>
      <c r="I2378" s="4" t="n">
        <f aca="false">D2378*F2378</f>
        <v>1542.24</v>
      </c>
      <c r="J2378" s="3" t="n">
        <f aca="false">IF(AND(LEFT(A2378,1)&lt;&gt;"C",D2378&gt;0,F2378&gt;0),1,0)</f>
        <v>1</v>
      </c>
      <c r="K2378" s="3" t="n">
        <f aca="false">IF(AND(H2378="United Kingdom",G2378&lt;&gt;"",COUNTIFS($G$2:G2378,G2378,$H$2:H2378,"United Kingdom")=1),1,0)</f>
        <v>0</v>
      </c>
    </row>
    <row r="2379" customFormat="false" ht="15" hidden="false" customHeight="false" outlineLevel="0" collapsed="false">
      <c r="A2379" s="0" t="s">
        <v>519</v>
      </c>
      <c r="B2379" s="0" t="s">
        <v>15</v>
      </c>
      <c r="C2379" s="0" t="s">
        <v>16</v>
      </c>
      <c r="D2379" s="0" t="n">
        <v>48</v>
      </c>
      <c r="E2379" s="2" t="n">
        <v>40772.4666666667</v>
      </c>
      <c r="F2379" s="0" t="n">
        <v>3.18</v>
      </c>
      <c r="G2379" s="0" t="n">
        <v>13970</v>
      </c>
      <c r="H2379" s="3" t="s">
        <v>14</v>
      </c>
      <c r="I2379" s="4" t="n">
        <f aca="false">D2379*F2379</f>
        <v>152.64</v>
      </c>
      <c r="J2379" s="3" t="n">
        <f aca="false">IF(AND(LEFT(A2379,1)&lt;&gt;"C",D2379&gt;0,F2379&gt;0),1,0)</f>
        <v>1</v>
      </c>
      <c r="K2379" s="3" t="n">
        <f aca="false">IF(AND(H2379="United Kingdom",G2379&lt;&gt;"",COUNTIFS($G$2:G2379,G2379,$H$2:H2379,"United Kingdom")=1),1,0)</f>
        <v>0</v>
      </c>
    </row>
    <row r="2380" customFormat="false" ht="15" hidden="false" customHeight="false" outlineLevel="0" collapsed="false">
      <c r="A2380" s="0" t="s">
        <v>519</v>
      </c>
      <c r="B2380" s="0" t="s">
        <v>63</v>
      </c>
      <c r="C2380" s="0" t="s">
        <v>64</v>
      </c>
      <c r="D2380" s="0" t="n">
        <v>72</v>
      </c>
      <c r="E2380" s="2" t="n">
        <v>40772.4666666667</v>
      </c>
      <c r="F2380" s="0" t="n">
        <v>2.43</v>
      </c>
      <c r="G2380" s="0" t="n">
        <v>13970</v>
      </c>
      <c r="H2380" s="3" t="s">
        <v>14</v>
      </c>
      <c r="I2380" s="4" t="n">
        <f aca="false">D2380*F2380</f>
        <v>174.96</v>
      </c>
      <c r="J2380" s="3" t="n">
        <f aca="false">IF(AND(LEFT(A2380,1)&lt;&gt;"C",D2380&gt;0,F2380&gt;0),1,0)</f>
        <v>1</v>
      </c>
      <c r="K2380" s="3" t="n">
        <f aca="false">IF(AND(H2380="United Kingdom",G2380&lt;&gt;"",COUNTIFS($G$2:G2380,G2380,$H$2:H2380,"United Kingdom")=1),1,0)</f>
        <v>0</v>
      </c>
    </row>
    <row r="2381" customFormat="false" ht="15" hidden="false" customHeight="false" outlineLevel="0" collapsed="false">
      <c r="A2381" s="0" t="s">
        <v>519</v>
      </c>
      <c r="B2381" s="0" t="s">
        <v>25</v>
      </c>
      <c r="C2381" s="0" t="s">
        <v>26</v>
      </c>
      <c r="D2381" s="0" t="n">
        <v>192</v>
      </c>
      <c r="E2381" s="2" t="n">
        <v>40772.4666666667</v>
      </c>
      <c r="F2381" s="0" t="n">
        <v>2.21</v>
      </c>
      <c r="G2381" s="0" t="n">
        <v>13970</v>
      </c>
      <c r="H2381" s="3" t="s">
        <v>14</v>
      </c>
      <c r="I2381" s="4" t="n">
        <f aca="false">D2381*F2381</f>
        <v>424.32</v>
      </c>
      <c r="J2381" s="3" t="n">
        <f aca="false">IF(AND(LEFT(A2381,1)&lt;&gt;"C",D2381&gt;0,F2381&gt;0),1,0)</f>
        <v>1</v>
      </c>
      <c r="K2381" s="3" t="n">
        <f aca="false">IF(AND(H2381="United Kingdom",G2381&lt;&gt;"",COUNTIFS($G$2:G2381,G2381,$H$2:H2381,"United Kingdom")=1),1,0)</f>
        <v>0</v>
      </c>
    </row>
    <row r="2382" customFormat="false" ht="15" hidden="false" customHeight="false" outlineLevel="0" collapsed="false">
      <c r="A2382" s="0" t="s">
        <v>519</v>
      </c>
      <c r="B2382" s="0" t="s">
        <v>22</v>
      </c>
      <c r="C2382" s="0" t="s">
        <v>23</v>
      </c>
      <c r="D2382" s="0" t="n">
        <v>6</v>
      </c>
      <c r="E2382" s="2" t="n">
        <v>40772.4666666667</v>
      </c>
      <c r="F2382" s="0" t="n">
        <v>3.18</v>
      </c>
      <c r="G2382" s="0" t="n">
        <v>13970</v>
      </c>
      <c r="H2382" s="3" t="s">
        <v>14</v>
      </c>
      <c r="I2382" s="4" t="n">
        <f aca="false">D2382*F2382</f>
        <v>19.08</v>
      </c>
      <c r="J2382" s="3" t="n">
        <f aca="false">IF(AND(LEFT(A2382,1)&lt;&gt;"C",D2382&gt;0,F2382&gt;0),1,0)</f>
        <v>1</v>
      </c>
      <c r="K2382" s="3" t="n">
        <f aca="false">IF(AND(H2382="United Kingdom",G2382&lt;&gt;"",COUNTIFS($G$2:G2382,G2382,$H$2:H2382,"United Kingdom")=1),1,0)</f>
        <v>0</v>
      </c>
    </row>
    <row r="2383" customFormat="false" ht="15" hidden="false" customHeight="false" outlineLevel="0" collapsed="false">
      <c r="A2383" s="0" t="s">
        <v>519</v>
      </c>
      <c r="B2383" s="0" t="s">
        <v>54</v>
      </c>
      <c r="C2383" s="0" t="s">
        <v>55</v>
      </c>
      <c r="D2383" s="0" t="n">
        <v>18</v>
      </c>
      <c r="E2383" s="2" t="n">
        <v>40772.4666666667</v>
      </c>
      <c r="F2383" s="0" t="n">
        <v>0.99</v>
      </c>
      <c r="G2383" s="0" t="n">
        <v>13970</v>
      </c>
      <c r="H2383" s="3" t="s">
        <v>14</v>
      </c>
      <c r="I2383" s="4" t="n">
        <f aca="false">D2383*F2383</f>
        <v>17.82</v>
      </c>
      <c r="J2383" s="3" t="n">
        <f aca="false">IF(AND(LEFT(A2383,1)&lt;&gt;"C",D2383&gt;0,F2383&gt;0),1,0)</f>
        <v>1</v>
      </c>
      <c r="K2383" s="3" t="n">
        <f aca="false">IF(AND(H2383="United Kingdom",G2383&lt;&gt;"",COUNTIFS($G$2:G2383,G2383,$H$2:H2383,"United Kingdom")=1),1,0)</f>
        <v>0</v>
      </c>
    </row>
    <row r="2384" customFormat="false" ht="15" hidden="false" customHeight="false" outlineLevel="0" collapsed="false">
      <c r="A2384" s="0" t="s">
        <v>519</v>
      </c>
      <c r="B2384" s="0" t="s">
        <v>12</v>
      </c>
      <c r="C2384" s="0" t="s">
        <v>13</v>
      </c>
      <c r="D2384" s="0" t="n">
        <v>48</v>
      </c>
      <c r="E2384" s="2" t="n">
        <v>40772.4666666667</v>
      </c>
      <c r="F2384" s="0" t="n">
        <v>3.33</v>
      </c>
      <c r="G2384" s="0" t="n">
        <v>13970</v>
      </c>
      <c r="H2384" s="3" t="s">
        <v>14</v>
      </c>
      <c r="I2384" s="4" t="n">
        <f aca="false">D2384*F2384</f>
        <v>159.84</v>
      </c>
      <c r="J2384" s="3" t="n">
        <f aca="false">IF(AND(LEFT(A2384,1)&lt;&gt;"C",D2384&gt;0,F2384&gt;0),1,0)</f>
        <v>1</v>
      </c>
      <c r="K2384" s="3" t="n">
        <f aca="false">IF(AND(H2384="United Kingdom",G2384&lt;&gt;"",COUNTIFS($G$2:G2384,G2384,$H$2:H2384,"United Kingdom")=1),1,0)</f>
        <v>0</v>
      </c>
    </row>
    <row r="2385" customFormat="false" ht="15" hidden="false" customHeight="false" outlineLevel="0" collapsed="false">
      <c r="A2385" s="0" t="s">
        <v>520</v>
      </c>
      <c r="B2385" s="0" t="s">
        <v>39</v>
      </c>
      <c r="C2385" s="0" t="s">
        <v>40</v>
      </c>
      <c r="D2385" s="0" t="n">
        <v>108</v>
      </c>
      <c r="E2385" s="2" t="n">
        <v>40772.7791666667</v>
      </c>
      <c r="F2385" s="0" t="n">
        <v>2.58</v>
      </c>
      <c r="G2385" s="0" t="n">
        <v>17178</v>
      </c>
      <c r="H2385" s="3" t="s">
        <v>14</v>
      </c>
      <c r="I2385" s="4" t="n">
        <f aca="false">D2385*F2385</f>
        <v>278.64</v>
      </c>
      <c r="J2385" s="3" t="n">
        <f aca="false">IF(AND(LEFT(A2385,1)&lt;&gt;"C",D2385&gt;0,F2385&gt;0),1,0)</f>
        <v>1</v>
      </c>
      <c r="K2385" s="3" t="n">
        <f aca="false">IF(AND(H2385="United Kingdom",G2385&lt;&gt;"",COUNTIFS($G$2:G2385,G2385,$H$2:H2385,"United Kingdom")=1),1,0)</f>
        <v>0</v>
      </c>
    </row>
    <row r="2386" customFormat="false" ht="15" hidden="false" customHeight="false" outlineLevel="0" collapsed="false">
      <c r="A2386" s="0" t="s">
        <v>520</v>
      </c>
      <c r="B2386" s="0" t="s">
        <v>32</v>
      </c>
      <c r="C2386" s="0" t="s">
        <v>33</v>
      </c>
      <c r="D2386" s="0" t="n">
        <v>144</v>
      </c>
      <c r="E2386" s="2" t="n">
        <v>40772.7791666667</v>
      </c>
      <c r="F2386" s="0" t="n">
        <v>1.19</v>
      </c>
      <c r="G2386" s="0" t="n">
        <v>17178</v>
      </c>
      <c r="H2386" s="3" t="s">
        <v>14</v>
      </c>
      <c r="I2386" s="4" t="n">
        <f aca="false">D2386*F2386</f>
        <v>171.36</v>
      </c>
      <c r="J2386" s="3" t="n">
        <f aca="false">IF(AND(LEFT(A2386,1)&lt;&gt;"C",D2386&gt;0,F2386&gt;0),1,0)</f>
        <v>1</v>
      </c>
      <c r="K2386" s="3" t="n">
        <f aca="false">IF(AND(H2386="United Kingdom",G2386&lt;&gt;"",COUNTIFS($G$2:G2386,G2386,$H$2:H2386,"United Kingdom")=1),1,0)</f>
        <v>0</v>
      </c>
    </row>
    <row r="2387" customFormat="false" ht="15" hidden="false" customHeight="false" outlineLevel="0" collapsed="false">
      <c r="A2387" s="0" t="s">
        <v>520</v>
      </c>
      <c r="B2387" s="0" t="s">
        <v>58</v>
      </c>
      <c r="C2387" s="0" t="s">
        <v>59</v>
      </c>
      <c r="D2387" s="0" t="n">
        <v>48</v>
      </c>
      <c r="E2387" s="2" t="n">
        <v>40772.7791666667</v>
      </c>
      <c r="F2387" s="0" t="n">
        <v>2.16</v>
      </c>
      <c r="G2387" s="0" t="n">
        <v>17178</v>
      </c>
      <c r="H2387" s="3" t="s">
        <v>14</v>
      </c>
      <c r="I2387" s="4" t="n">
        <f aca="false">D2387*F2387</f>
        <v>103.68</v>
      </c>
      <c r="J2387" s="3" t="n">
        <f aca="false">IF(AND(LEFT(A2387,1)&lt;&gt;"C",D2387&gt;0,F2387&gt;0),1,0)</f>
        <v>1</v>
      </c>
      <c r="K2387" s="3" t="n">
        <f aca="false">IF(AND(H2387="United Kingdom",G2387&lt;&gt;"",COUNTIFS($G$2:G2387,G2387,$H$2:H2387,"United Kingdom")=1),1,0)</f>
        <v>0</v>
      </c>
    </row>
    <row r="2388" customFormat="false" ht="15" hidden="false" customHeight="false" outlineLevel="0" collapsed="false">
      <c r="A2388" s="0" t="s">
        <v>521</v>
      </c>
      <c r="B2388" s="0" t="s">
        <v>37</v>
      </c>
      <c r="C2388" s="0" t="s">
        <v>38</v>
      </c>
      <c r="D2388" s="0" t="n">
        <v>2</v>
      </c>
      <c r="E2388" s="2" t="n">
        <v>40773.6180555556</v>
      </c>
      <c r="F2388" s="0" t="n">
        <v>1.82</v>
      </c>
      <c r="G2388" s="0" t="n">
        <v>16009</v>
      </c>
      <c r="H2388" s="3" t="s">
        <v>14</v>
      </c>
      <c r="I2388" s="4" t="n">
        <f aca="false">D2388*F2388</f>
        <v>3.64</v>
      </c>
      <c r="J2388" s="3" t="n">
        <f aca="false">IF(AND(LEFT(A2388,1)&lt;&gt;"C",D2388&gt;0,F2388&gt;0),1,0)</f>
        <v>1</v>
      </c>
      <c r="K2388" s="3" t="n">
        <f aca="false">IF(AND(H2388="United Kingdom",G2388&lt;&gt;"",COUNTIFS($G$2:G2388,G2388,$H$2:H2388,"United Kingdom")=1),1,0)</f>
        <v>0</v>
      </c>
    </row>
    <row r="2389" customFormat="false" ht="15" hidden="false" customHeight="false" outlineLevel="0" collapsed="false">
      <c r="A2389" s="0" t="s">
        <v>521</v>
      </c>
      <c r="B2389" s="0" t="s">
        <v>17</v>
      </c>
      <c r="C2389" s="0" t="s">
        <v>18</v>
      </c>
      <c r="D2389" s="0" t="n">
        <v>8</v>
      </c>
      <c r="E2389" s="2" t="n">
        <v>40773.6180555556</v>
      </c>
      <c r="F2389" s="0" t="n">
        <v>1.92</v>
      </c>
      <c r="G2389" s="0" t="n">
        <v>16009</v>
      </c>
      <c r="H2389" s="3" t="s">
        <v>14</v>
      </c>
      <c r="I2389" s="4" t="n">
        <f aca="false">D2389*F2389</f>
        <v>15.36</v>
      </c>
      <c r="J2389" s="3" t="n">
        <f aca="false">IF(AND(LEFT(A2389,1)&lt;&gt;"C",D2389&gt;0,F2389&gt;0),1,0)</f>
        <v>1</v>
      </c>
      <c r="K2389" s="3" t="n">
        <f aca="false">IF(AND(H2389="United Kingdom",G2389&lt;&gt;"",COUNTIFS($G$2:G2389,G2389,$H$2:H2389,"United Kingdom")=1),1,0)</f>
        <v>0</v>
      </c>
    </row>
    <row r="2390" customFormat="false" ht="15" hidden="false" customHeight="false" outlineLevel="0" collapsed="false">
      <c r="A2390" s="0" t="s">
        <v>521</v>
      </c>
      <c r="B2390" s="0" t="s">
        <v>75</v>
      </c>
      <c r="C2390" s="0" t="s">
        <v>76</v>
      </c>
      <c r="D2390" s="0" t="n">
        <v>3</v>
      </c>
      <c r="E2390" s="2" t="n">
        <v>40773.6180555556</v>
      </c>
      <c r="F2390" s="0" t="n">
        <v>1.97</v>
      </c>
      <c r="G2390" s="0" t="n">
        <v>16009</v>
      </c>
      <c r="H2390" s="3" t="s">
        <v>14</v>
      </c>
      <c r="I2390" s="4" t="n">
        <f aca="false">D2390*F2390</f>
        <v>5.91</v>
      </c>
      <c r="J2390" s="3" t="n">
        <f aca="false">IF(AND(LEFT(A2390,1)&lt;&gt;"C",D2390&gt;0,F2390&gt;0),1,0)</f>
        <v>1</v>
      </c>
      <c r="K2390" s="3" t="n">
        <f aca="false">IF(AND(H2390="United Kingdom",G2390&lt;&gt;"",COUNTIFS($G$2:G2390,G2390,$H$2:H2390,"United Kingdom")=1),1,0)</f>
        <v>0</v>
      </c>
    </row>
    <row r="2391" customFormat="false" ht="15" hidden="false" customHeight="false" outlineLevel="0" collapsed="false">
      <c r="A2391" s="0" t="s">
        <v>521</v>
      </c>
      <c r="B2391" s="0" t="s">
        <v>54</v>
      </c>
      <c r="C2391" s="0" t="s">
        <v>55</v>
      </c>
      <c r="D2391" s="0" t="n">
        <v>12</v>
      </c>
      <c r="E2391" s="2" t="n">
        <v>40773.6180555556</v>
      </c>
      <c r="F2391" s="0" t="n">
        <v>0.99</v>
      </c>
      <c r="G2391" s="0" t="n">
        <v>16009</v>
      </c>
      <c r="H2391" s="3" t="s">
        <v>14</v>
      </c>
      <c r="I2391" s="4" t="n">
        <f aca="false">D2391*F2391</f>
        <v>11.88</v>
      </c>
      <c r="J2391" s="3" t="n">
        <f aca="false">IF(AND(LEFT(A2391,1)&lt;&gt;"C",D2391&gt;0,F2391&gt;0),1,0)</f>
        <v>1</v>
      </c>
      <c r="K2391" s="3" t="n">
        <f aca="false">IF(AND(H2391="United Kingdom",G2391&lt;&gt;"",COUNTIFS($G$2:G2391,G2391,$H$2:H2391,"United Kingdom")=1),1,0)</f>
        <v>0</v>
      </c>
    </row>
    <row r="2392" customFormat="false" ht="15" hidden="false" customHeight="false" outlineLevel="0" collapsed="false">
      <c r="A2392" s="0" t="s">
        <v>521</v>
      </c>
      <c r="B2392" s="0" t="s">
        <v>113</v>
      </c>
      <c r="C2392" s="0" t="s">
        <v>114</v>
      </c>
      <c r="D2392" s="0" t="n">
        <v>4</v>
      </c>
      <c r="E2392" s="2" t="n">
        <v>40773.6180555556</v>
      </c>
      <c r="F2392" s="0" t="n">
        <v>3.57</v>
      </c>
      <c r="G2392" s="0" t="n">
        <v>16009</v>
      </c>
      <c r="H2392" s="3" t="s">
        <v>14</v>
      </c>
      <c r="I2392" s="4" t="n">
        <f aca="false">D2392*F2392</f>
        <v>14.28</v>
      </c>
      <c r="J2392" s="3" t="n">
        <f aca="false">IF(AND(LEFT(A2392,1)&lt;&gt;"C",D2392&gt;0,F2392&gt;0),1,0)</f>
        <v>1</v>
      </c>
      <c r="K2392" s="3" t="n">
        <f aca="false">IF(AND(H2392="United Kingdom",G2392&lt;&gt;"",COUNTIFS($G$2:G2392,G2392,$H$2:H2392,"United Kingdom")=1),1,0)</f>
        <v>0</v>
      </c>
    </row>
    <row r="2393" customFormat="false" ht="15" hidden="false" customHeight="false" outlineLevel="0" collapsed="false">
      <c r="A2393" s="0" t="s">
        <v>521</v>
      </c>
      <c r="B2393" s="0" t="s">
        <v>60</v>
      </c>
      <c r="C2393" s="0" t="s">
        <v>61</v>
      </c>
      <c r="D2393" s="0" t="n">
        <v>6</v>
      </c>
      <c r="E2393" s="2" t="n">
        <v>40773.6180555556</v>
      </c>
      <c r="F2393" s="0" t="n">
        <v>0.63</v>
      </c>
      <c r="G2393" s="0" t="n">
        <v>16009</v>
      </c>
      <c r="H2393" s="3" t="s">
        <v>14</v>
      </c>
      <c r="I2393" s="4" t="n">
        <f aca="false">D2393*F2393</f>
        <v>3.78</v>
      </c>
      <c r="J2393" s="3" t="n">
        <f aca="false">IF(AND(LEFT(A2393,1)&lt;&gt;"C",D2393&gt;0,F2393&gt;0),1,0)</f>
        <v>1</v>
      </c>
      <c r="K2393" s="3" t="n">
        <f aca="false">IF(AND(H2393="United Kingdom",G2393&lt;&gt;"",COUNTIFS($G$2:G2393,G2393,$H$2:H2393,"United Kingdom")=1),1,0)</f>
        <v>0</v>
      </c>
    </row>
    <row r="2394" customFormat="false" ht="15" hidden="false" customHeight="false" outlineLevel="0" collapsed="false">
      <c r="A2394" s="0" t="s">
        <v>521</v>
      </c>
      <c r="B2394" s="0" t="s">
        <v>50</v>
      </c>
      <c r="C2394" s="0" t="s">
        <v>51</v>
      </c>
      <c r="D2394" s="0" t="n">
        <v>4</v>
      </c>
      <c r="E2394" s="2" t="n">
        <v>40773.6180555556</v>
      </c>
      <c r="F2394" s="0" t="n">
        <v>5.41</v>
      </c>
      <c r="G2394" s="0" t="n">
        <v>16009</v>
      </c>
      <c r="H2394" s="3" t="s">
        <v>14</v>
      </c>
      <c r="I2394" s="4" t="n">
        <f aca="false">D2394*F2394</f>
        <v>21.64</v>
      </c>
      <c r="J2394" s="3" t="n">
        <f aca="false">IF(AND(LEFT(A2394,1)&lt;&gt;"C",D2394&gt;0,F2394&gt;0),1,0)</f>
        <v>1</v>
      </c>
      <c r="K2394" s="3" t="n">
        <f aca="false">IF(AND(H2394="United Kingdom",G2394&lt;&gt;"",COUNTIFS($G$2:G2394,G2394,$H$2:H2394,"United Kingdom")=1),1,0)</f>
        <v>0</v>
      </c>
    </row>
    <row r="2395" customFormat="false" ht="15" hidden="false" customHeight="false" outlineLevel="0" collapsed="false">
      <c r="A2395" s="0" t="s">
        <v>521</v>
      </c>
      <c r="B2395" s="0" t="s">
        <v>12</v>
      </c>
      <c r="C2395" s="0" t="s">
        <v>13</v>
      </c>
      <c r="D2395" s="0" t="n">
        <v>2</v>
      </c>
      <c r="E2395" s="2" t="n">
        <v>40773.6180555556</v>
      </c>
      <c r="F2395" s="0" t="n">
        <v>3.33</v>
      </c>
      <c r="G2395" s="0" t="n">
        <v>16009</v>
      </c>
      <c r="H2395" s="3" t="s">
        <v>14</v>
      </c>
      <c r="I2395" s="4" t="n">
        <f aca="false">D2395*F2395</f>
        <v>6.66</v>
      </c>
      <c r="J2395" s="3" t="n">
        <f aca="false">IF(AND(LEFT(A2395,1)&lt;&gt;"C",D2395&gt;0,F2395&gt;0),1,0)</f>
        <v>1</v>
      </c>
      <c r="K2395" s="3" t="n">
        <f aca="false">IF(AND(H2395="United Kingdom",G2395&lt;&gt;"",COUNTIFS($G$2:G2395,G2395,$H$2:H2395,"United Kingdom")=1),1,0)</f>
        <v>0</v>
      </c>
    </row>
    <row r="2396" customFormat="false" ht="15" hidden="false" customHeight="false" outlineLevel="0" collapsed="false">
      <c r="A2396" s="0" t="s">
        <v>521</v>
      </c>
      <c r="B2396" s="0" t="s">
        <v>63</v>
      </c>
      <c r="C2396" s="0" t="s">
        <v>64</v>
      </c>
      <c r="D2396" s="0" t="n">
        <v>1</v>
      </c>
      <c r="E2396" s="2" t="n">
        <v>40773.6180555556</v>
      </c>
      <c r="F2396" s="0" t="n">
        <v>2.43</v>
      </c>
      <c r="G2396" s="0" t="n">
        <v>16009</v>
      </c>
      <c r="H2396" s="3" t="s">
        <v>14</v>
      </c>
      <c r="I2396" s="4" t="n">
        <f aca="false">D2396*F2396</f>
        <v>2.43</v>
      </c>
      <c r="J2396" s="3" t="n">
        <f aca="false">IF(AND(LEFT(A2396,1)&lt;&gt;"C",D2396&gt;0,F2396&gt;0),1,0)</f>
        <v>1</v>
      </c>
      <c r="K2396" s="3" t="n">
        <f aca="false">IF(AND(H2396="United Kingdom",G2396&lt;&gt;"",COUNTIFS($G$2:G2396,G2396,$H$2:H2396,"United Kingdom")=1),1,0)</f>
        <v>0</v>
      </c>
    </row>
    <row r="2397" customFormat="false" ht="15" hidden="false" customHeight="false" outlineLevel="0" collapsed="false">
      <c r="A2397" s="0" t="s">
        <v>522</v>
      </c>
      <c r="B2397" s="0" t="s">
        <v>52</v>
      </c>
      <c r="C2397" s="0" t="s">
        <v>53</v>
      </c>
      <c r="D2397" s="0" t="n">
        <v>2</v>
      </c>
      <c r="E2397" s="2" t="n">
        <v>40773.7722222222</v>
      </c>
      <c r="F2397" s="0" t="n">
        <v>4.16</v>
      </c>
      <c r="G2397" s="0" t="n">
        <v>13089</v>
      </c>
      <c r="H2397" s="3" t="s">
        <v>14</v>
      </c>
      <c r="I2397" s="4" t="n">
        <f aca="false">D2397*F2397</f>
        <v>8.32</v>
      </c>
      <c r="J2397" s="3" t="n">
        <f aca="false">IF(AND(LEFT(A2397,1)&lt;&gt;"C",D2397&gt;0,F2397&gt;0),1,0)</f>
        <v>1</v>
      </c>
      <c r="K2397" s="3" t="n">
        <f aca="false">IF(AND(H2397="United Kingdom",G2397&lt;&gt;"",COUNTIFS($G$2:G2397,G2397,$H$2:H2397,"United Kingdom")=1),1,0)</f>
        <v>0</v>
      </c>
    </row>
    <row r="2398" customFormat="false" ht="15" hidden="false" customHeight="false" outlineLevel="0" collapsed="false">
      <c r="A2398" s="0" t="s">
        <v>523</v>
      </c>
      <c r="B2398" s="0" t="s">
        <v>17</v>
      </c>
      <c r="C2398" s="0" t="s">
        <v>18</v>
      </c>
      <c r="D2398" s="0" t="n">
        <v>432</v>
      </c>
      <c r="E2398" s="2" t="n">
        <v>40774.38125</v>
      </c>
      <c r="F2398" s="0" t="n">
        <v>1.92</v>
      </c>
      <c r="G2398" s="0" t="n">
        <v>15284</v>
      </c>
      <c r="H2398" s="3" t="s">
        <v>14</v>
      </c>
      <c r="I2398" s="4" t="n">
        <f aca="false">D2398*F2398</f>
        <v>829.44</v>
      </c>
      <c r="J2398" s="3" t="n">
        <f aca="false">IF(AND(LEFT(A2398,1)&lt;&gt;"C",D2398&gt;0,F2398&gt;0),1,0)</f>
        <v>1</v>
      </c>
      <c r="K2398" s="3" t="n">
        <f aca="false">IF(AND(H2398="United Kingdom",G2398&lt;&gt;"",COUNTIFS($G$2:G2398,G2398,$H$2:H2398,"United Kingdom")=1),1,0)</f>
        <v>0</v>
      </c>
    </row>
    <row r="2399" customFormat="false" ht="15" hidden="false" customHeight="false" outlineLevel="0" collapsed="false">
      <c r="A2399" s="0" t="s">
        <v>523</v>
      </c>
      <c r="B2399" s="0" t="s">
        <v>68</v>
      </c>
      <c r="C2399" s="0" t="s">
        <v>69</v>
      </c>
      <c r="D2399" s="0" t="n">
        <v>144</v>
      </c>
      <c r="E2399" s="2" t="n">
        <v>40774.38125</v>
      </c>
      <c r="F2399" s="0" t="n">
        <v>1.26</v>
      </c>
      <c r="G2399" s="0" t="n">
        <v>15284</v>
      </c>
      <c r="H2399" s="3" t="s">
        <v>14</v>
      </c>
      <c r="I2399" s="4" t="n">
        <f aca="false">D2399*F2399</f>
        <v>181.44</v>
      </c>
      <c r="J2399" s="3" t="n">
        <f aca="false">IF(AND(LEFT(A2399,1)&lt;&gt;"C",D2399&gt;0,F2399&gt;0),1,0)</f>
        <v>1</v>
      </c>
      <c r="K2399" s="3" t="n">
        <f aca="false">IF(AND(H2399="United Kingdom",G2399&lt;&gt;"",COUNTIFS($G$2:G2399,G2399,$H$2:H2399,"United Kingdom")=1),1,0)</f>
        <v>0</v>
      </c>
    </row>
    <row r="2400" customFormat="false" ht="15" hidden="false" customHeight="false" outlineLevel="0" collapsed="false">
      <c r="A2400" s="0" t="s">
        <v>523</v>
      </c>
      <c r="B2400" s="0" t="s">
        <v>15</v>
      </c>
      <c r="C2400" s="0" t="s">
        <v>16</v>
      </c>
      <c r="D2400" s="0" t="n">
        <v>36</v>
      </c>
      <c r="E2400" s="2" t="n">
        <v>40774.38125</v>
      </c>
      <c r="F2400" s="0" t="n">
        <v>3.18</v>
      </c>
      <c r="G2400" s="0" t="n">
        <v>15284</v>
      </c>
      <c r="H2400" s="3" t="s">
        <v>14</v>
      </c>
      <c r="I2400" s="4" t="n">
        <f aca="false">D2400*F2400</f>
        <v>114.48</v>
      </c>
      <c r="J2400" s="3" t="n">
        <f aca="false">IF(AND(LEFT(A2400,1)&lt;&gt;"C",D2400&gt;0,F2400&gt;0),1,0)</f>
        <v>1</v>
      </c>
      <c r="K2400" s="3" t="n">
        <f aca="false">IF(AND(H2400="United Kingdom",G2400&lt;&gt;"",COUNTIFS($G$2:G2400,G2400,$H$2:H2400,"United Kingdom")=1),1,0)</f>
        <v>0</v>
      </c>
    </row>
    <row r="2401" customFormat="false" ht="15" hidden="false" customHeight="false" outlineLevel="0" collapsed="false">
      <c r="A2401" s="0" t="s">
        <v>523</v>
      </c>
      <c r="B2401" s="0" t="s">
        <v>77</v>
      </c>
      <c r="C2401" s="0" t="s">
        <v>78</v>
      </c>
      <c r="D2401" s="0" t="n">
        <v>24</v>
      </c>
      <c r="E2401" s="2" t="n">
        <v>40774.38125</v>
      </c>
      <c r="F2401" s="0" t="n">
        <v>3.41</v>
      </c>
      <c r="G2401" s="0" t="n">
        <v>15284</v>
      </c>
      <c r="H2401" s="3" t="s">
        <v>14</v>
      </c>
      <c r="I2401" s="4" t="n">
        <f aca="false">D2401*F2401</f>
        <v>81.84</v>
      </c>
      <c r="J2401" s="3" t="n">
        <f aca="false">IF(AND(LEFT(A2401,1)&lt;&gt;"C",D2401&gt;0,F2401&gt;0),1,0)</f>
        <v>1</v>
      </c>
      <c r="K2401" s="3" t="n">
        <f aca="false">IF(AND(H2401="United Kingdom",G2401&lt;&gt;"",COUNTIFS($G$2:G2401,G2401,$H$2:H2401,"United Kingdom")=1),1,0)</f>
        <v>0</v>
      </c>
    </row>
    <row r="2402" customFormat="false" ht="15" hidden="false" customHeight="false" outlineLevel="0" collapsed="false">
      <c r="A2402" s="0" t="s">
        <v>523</v>
      </c>
      <c r="B2402" s="0" t="s">
        <v>60</v>
      </c>
      <c r="C2402" s="0" t="s">
        <v>61</v>
      </c>
      <c r="D2402" s="0" t="n">
        <v>108</v>
      </c>
      <c r="E2402" s="2" t="n">
        <v>40774.38125</v>
      </c>
      <c r="F2402" s="0" t="n">
        <v>0.63</v>
      </c>
      <c r="G2402" s="0" t="n">
        <v>15284</v>
      </c>
      <c r="H2402" s="3" t="s">
        <v>14</v>
      </c>
      <c r="I2402" s="4" t="n">
        <f aca="false">D2402*F2402</f>
        <v>68.04</v>
      </c>
      <c r="J2402" s="3" t="n">
        <f aca="false">IF(AND(LEFT(A2402,1)&lt;&gt;"C",D2402&gt;0,F2402&gt;0),1,0)</f>
        <v>1</v>
      </c>
      <c r="K2402" s="3" t="n">
        <f aca="false">IF(AND(H2402="United Kingdom",G2402&lt;&gt;"",COUNTIFS($G$2:G2402,G2402,$H$2:H2402,"United Kingdom")=1),1,0)</f>
        <v>0</v>
      </c>
    </row>
    <row r="2403" customFormat="false" ht="15" hidden="false" customHeight="false" outlineLevel="0" collapsed="false">
      <c r="A2403" s="0" t="s">
        <v>523</v>
      </c>
      <c r="B2403" s="0" t="s">
        <v>20</v>
      </c>
      <c r="C2403" s="0" t="s">
        <v>21</v>
      </c>
      <c r="D2403" s="0" t="n">
        <v>36</v>
      </c>
      <c r="E2403" s="2" t="n">
        <v>40774.38125</v>
      </c>
      <c r="F2403" s="0" t="n">
        <v>4.24</v>
      </c>
      <c r="G2403" s="0" t="n">
        <v>15284</v>
      </c>
      <c r="H2403" s="3" t="s">
        <v>14</v>
      </c>
      <c r="I2403" s="4" t="n">
        <f aca="false">D2403*F2403</f>
        <v>152.64</v>
      </c>
      <c r="J2403" s="3" t="n">
        <f aca="false">IF(AND(LEFT(A2403,1)&lt;&gt;"C",D2403&gt;0,F2403&gt;0),1,0)</f>
        <v>1</v>
      </c>
      <c r="K2403" s="3" t="n">
        <f aca="false">IF(AND(H2403="United Kingdom",G2403&lt;&gt;"",COUNTIFS($G$2:G2403,G2403,$H$2:H2403,"United Kingdom")=1),1,0)</f>
        <v>0</v>
      </c>
    </row>
    <row r="2404" customFormat="false" ht="15" hidden="false" customHeight="false" outlineLevel="0" collapsed="false">
      <c r="A2404" s="0" t="s">
        <v>523</v>
      </c>
      <c r="B2404" s="0" t="s">
        <v>58</v>
      </c>
      <c r="C2404" s="0" t="s">
        <v>59</v>
      </c>
      <c r="D2404" s="0" t="n">
        <v>36</v>
      </c>
      <c r="E2404" s="2" t="n">
        <v>40774.38125</v>
      </c>
      <c r="F2404" s="0" t="n">
        <v>2.16</v>
      </c>
      <c r="G2404" s="0" t="n">
        <v>15284</v>
      </c>
      <c r="H2404" s="3" t="s">
        <v>14</v>
      </c>
      <c r="I2404" s="4" t="n">
        <f aca="false">D2404*F2404</f>
        <v>77.76</v>
      </c>
      <c r="J2404" s="3" t="n">
        <f aca="false">IF(AND(LEFT(A2404,1)&lt;&gt;"C",D2404&gt;0,F2404&gt;0),1,0)</f>
        <v>1</v>
      </c>
      <c r="K2404" s="3" t="n">
        <f aca="false">IF(AND(H2404="United Kingdom",G2404&lt;&gt;"",COUNTIFS($G$2:G2404,G2404,$H$2:H2404,"United Kingdom")=1),1,0)</f>
        <v>0</v>
      </c>
    </row>
    <row r="2405" customFormat="false" ht="15" hidden="false" customHeight="false" outlineLevel="0" collapsed="false">
      <c r="A2405" s="0" t="s">
        <v>524</v>
      </c>
      <c r="B2405" s="0" t="s">
        <v>113</v>
      </c>
      <c r="C2405" s="0" t="s">
        <v>114</v>
      </c>
      <c r="D2405" s="0" t="n">
        <v>2</v>
      </c>
      <c r="E2405" s="2" t="n">
        <v>40774.7909722222</v>
      </c>
      <c r="F2405" s="0" t="n">
        <v>3.57</v>
      </c>
      <c r="G2405" s="0" t="n">
        <v>12452</v>
      </c>
      <c r="H2405" s="3" t="s">
        <v>459</v>
      </c>
      <c r="I2405" s="4" t="n">
        <f aca="false">D2405*F2405</f>
        <v>7.14</v>
      </c>
      <c r="J2405" s="3" t="n">
        <f aca="false">IF(AND(LEFT(A2405,1)&lt;&gt;"C",D2405&gt;0,F2405&gt;0),1,0)</f>
        <v>1</v>
      </c>
      <c r="K2405" s="3" t="n">
        <f aca="false">IF(AND(H2405="United Kingdom",G2405&lt;&gt;"",COUNTIFS($G$2:G2405,G2405,$H$2:H2405,"United Kingdom")=1),1,0)</f>
        <v>0</v>
      </c>
    </row>
    <row r="2406" customFormat="false" ht="15" hidden="false" customHeight="false" outlineLevel="0" collapsed="false">
      <c r="A2406" s="0" t="s">
        <v>524</v>
      </c>
      <c r="B2406" s="0" t="s">
        <v>43</v>
      </c>
      <c r="C2406" s="0" t="s">
        <v>44</v>
      </c>
      <c r="D2406" s="0" t="n">
        <v>2</v>
      </c>
      <c r="E2406" s="2" t="n">
        <v>40774.7909722222</v>
      </c>
      <c r="F2406" s="0" t="n">
        <v>1.35</v>
      </c>
      <c r="G2406" s="0" t="n">
        <v>12452</v>
      </c>
      <c r="H2406" s="3" t="s">
        <v>459</v>
      </c>
      <c r="I2406" s="4" t="n">
        <f aca="false">D2406*F2406</f>
        <v>2.7</v>
      </c>
      <c r="J2406" s="3" t="n">
        <f aca="false">IF(AND(LEFT(A2406,1)&lt;&gt;"C",D2406&gt;0,F2406&gt;0),1,0)</f>
        <v>1</v>
      </c>
      <c r="K2406" s="3" t="n">
        <f aca="false">IF(AND(H2406="United Kingdom",G2406&lt;&gt;"",COUNTIFS($G$2:G2406,G2406,$H$2:H2406,"United Kingdom")=1),1,0)</f>
        <v>0</v>
      </c>
    </row>
    <row r="2407" customFormat="false" ht="15" hidden="false" customHeight="false" outlineLevel="0" collapsed="false">
      <c r="A2407" s="0" t="s">
        <v>524</v>
      </c>
      <c r="B2407" s="0" t="s">
        <v>80</v>
      </c>
      <c r="C2407" s="0" t="s">
        <v>81</v>
      </c>
      <c r="D2407" s="0" t="n">
        <v>4</v>
      </c>
      <c r="E2407" s="2" t="n">
        <v>40774.7909722222</v>
      </c>
      <c r="F2407" s="0" t="n">
        <v>1.53</v>
      </c>
      <c r="G2407" s="0" t="n">
        <v>12452</v>
      </c>
      <c r="H2407" s="3" t="s">
        <v>459</v>
      </c>
      <c r="I2407" s="4" t="n">
        <f aca="false">D2407*F2407</f>
        <v>6.12</v>
      </c>
      <c r="J2407" s="3" t="n">
        <f aca="false">IF(AND(LEFT(A2407,1)&lt;&gt;"C",D2407&gt;0,F2407&gt;0),1,0)</f>
        <v>1</v>
      </c>
      <c r="K2407" s="3" t="n">
        <f aca="false">IF(AND(H2407="United Kingdom",G2407&lt;&gt;"",COUNTIFS($G$2:G2407,G2407,$H$2:H2407,"United Kingdom")=1),1,0)</f>
        <v>0</v>
      </c>
    </row>
    <row r="2408" customFormat="false" ht="15" hidden="false" customHeight="false" outlineLevel="0" collapsed="false">
      <c r="A2408" s="0" t="s">
        <v>525</v>
      </c>
      <c r="B2408" s="0" t="s">
        <v>65</v>
      </c>
      <c r="C2408" s="0" t="s">
        <v>66</v>
      </c>
      <c r="D2408" s="0" t="n">
        <v>4</v>
      </c>
      <c r="E2408" s="2" t="n">
        <v>40775.4097222222</v>
      </c>
      <c r="F2408" s="0" t="n">
        <v>4.75</v>
      </c>
      <c r="G2408" s="0" t="n">
        <v>17354</v>
      </c>
      <c r="H2408" s="3" t="s">
        <v>14</v>
      </c>
      <c r="I2408" s="4" t="n">
        <f aca="false">D2408*F2408</f>
        <v>19</v>
      </c>
      <c r="J2408" s="3" t="n">
        <f aca="false">IF(AND(LEFT(A2408,1)&lt;&gt;"C",D2408&gt;0,F2408&gt;0),1,0)</f>
        <v>1</v>
      </c>
      <c r="K2408" s="3" t="n">
        <f aca="false">IF(AND(H2408="United Kingdom",G2408&lt;&gt;"",COUNTIFS($G$2:G2408,G2408,$H$2:H2408,"United Kingdom")=1),1,0)</f>
        <v>0</v>
      </c>
    </row>
    <row r="2409" customFormat="false" ht="15" hidden="false" customHeight="false" outlineLevel="0" collapsed="false">
      <c r="A2409" s="0" t="s">
        <v>526</v>
      </c>
      <c r="B2409" s="0" t="s">
        <v>80</v>
      </c>
      <c r="C2409" s="0" t="s">
        <v>81</v>
      </c>
      <c r="D2409" s="0" t="n">
        <v>144</v>
      </c>
      <c r="E2409" s="2" t="n">
        <v>40775.4868055556</v>
      </c>
      <c r="F2409" s="0" t="n">
        <v>1.53</v>
      </c>
      <c r="G2409" s="0" t="n">
        <v>17203</v>
      </c>
      <c r="H2409" s="3" t="s">
        <v>14</v>
      </c>
      <c r="I2409" s="4" t="n">
        <f aca="false">D2409*F2409</f>
        <v>220.32</v>
      </c>
      <c r="J2409" s="3" t="n">
        <f aca="false">IF(AND(LEFT(A2409,1)&lt;&gt;"C",D2409&gt;0,F2409&gt;0),1,0)</f>
        <v>1</v>
      </c>
      <c r="K2409" s="3" t="n">
        <f aca="false">IF(AND(H2409="United Kingdom",G2409&lt;&gt;"",COUNTIFS($G$2:G2409,G2409,$H$2:H2409,"United Kingdom")=1),1,0)</f>
        <v>0</v>
      </c>
    </row>
    <row r="2410" customFormat="false" ht="15" hidden="false" customHeight="false" outlineLevel="0" collapsed="false">
      <c r="A2410" s="0" t="s">
        <v>526</v>
      </c>
      <c r="B2410" s="0" t="s">
        <v>113</v>
      </c>
      <c r="C2410" s="0" t="s">
        <v>114</v>
      </c>
      <c r="D2410" s="0" t="n">
        <v>144</v>
      </c>
      <c r="E2410" s="2" t="n">
        <v>40775.4868055556</v>
      </c>
      <c r="F2410" s="0" t="n">
        <v>3.57</v>
      </c>
      <c r="G2410" s="0" t="n">
        <v>17203</v>
      </c>
      <c r="H2410" s="3" t="s">
        <v>14</v>
      </c>
      <c r="I2410" s="4" t="n">
        <f aca="false">D2410*F2410</f>
        <v>514.08</v>
      </c>
      <c r="J2410" s="3" t="n">
        <f aca="false">IF(AND(LEFT(A2410,1)&lt;&gt;"C",D2410&gt;0,F2410&gt;0),1,0)</f>
        <v>1</v>
      </c>
      <c r="K2410" s="3" t="n">
        <f aca="false">IF(AND(H2410="United Kingdom",G2410&lt;&gt;"",COUNTIFS($G$2:G2410,G2410,$H$2:H2410,"United Kingdom")=1),1,0)</f>
        <v>0</v>
      </c>
    </row>
    <row r="2411" customFormat="false" ht="15" hidden="false" customHeight="false" outlineLevel="0" collapsed="false">
      <c r="A2411" s="0" t="s">
        <v>526</v>
      </c>
      <c r="B2411" s="0" t="s">
        <v>58</v>
      </c>
      <c r="C2411" s="0" t="s">
        <v>59</v>
      </c>
      <c r="D2411" s="0" t="n">
        <v>18</v>
      </c>
      <c r="E2411" s="2" t="n">
        <v>40775.4868055556</v>
      </c>
      <c r="F2411" s="0" t="n">
        <v>2.16</v>
      </c>
      <c r="G2411" s="0" t="n">
        <v>17203</v>
      </c>
      <c r="H2411" s="3" t="s">
        <v>14</v>
      </c>
      <c r="I2411" s="4" t="n">
        <f aca="false">D2411*F2411</f>
        <v>38.88</v>
      </c>
      <c r="J2411" s="3" t="n">
        <f aca="false">IF(AND(LEFT(A2411,1)&lt;&gt;"C",D2411&gt;0,F2411&gt;0),1,0)</f>
        <v>1</v>
      </c>
      <c r="K2411" s="3" t="n">
        <f aca="false">IF(AND(H2411="United Kingdom",G2411&lt;&gt;"",COUNTIFS($G$2:G2411,G2411,$H$2:H2411,"United Kingdom")=1),1,0)</f>
        <v>0</v>
      </c>
    </row>
    <row r="2412" customFormat="false" ht="15" hidden="false" customHeight="false" outlineLevel="0" collapsed="false">
      <c r="A2412" s="0" t="s">
        <v>526</v>
      </c>
      <c r="B2412" s="0" t="s">
        <v>90</v>
      </c>
      <c r="C2412" s="0" t="s">
        <v>91</v>
      </c>
      <c r="D2412" s="0" t="n">
        <v>144</v>
      </c>
      <c r="E2412" s="2" t="n">
        <v>40775.4868055556</v>
      </c>
      <c r="F2412" s="0" t="n">
        <v>3.04</v>
      </c>
      <c r="G2412" s="0" t="n">
        <v>17203</v>
      </c>
      <c r="H2412" s="3" t="s">
        <v>14</v>
      </c>
      <c r="I2412" s="4" t="n">
        <f aca="false">D2412*F2412</f>
        <v>437.76</v>
      </c>
      <c r="J2412" s="3" t="n">
        <f aca="false">IF(AND(LEFT(A2412,1)&lt;&gt;"C",D2412&gt;0,F2412&gt;0),1,0)</f>
        <v>1</v>
      </c>
      <c r="K2412" s="3" t="n">
        <f aca="false">IF(AND(H2412="United Kingdom",G2412&lt;&gt;"",COUNTIFS($G$2:G2412,G2412,$H$2:H2412,"United Kingdom")=1),1,0)</f>
        <v>0</v>
      </c>
    </row>
    <row r="2413" customFormat="false" ht="15" hidden="false" customHeight="false" outlineLevel="0" collapsed="false">
      <c r="A2413" s="0" t="s">
        <v>526</v>
      </c>
      <c r="B2413" s="0" t="s">
        <v>63</v>
      </c>
      <c r="C2413" s="0" t="s">
        <v>64</v>
      </c>
      <c r="D2413" s="0" t="n">
        <v>432</v>
      </c>
      <c r="E2413" s="2" t="n">
        <v>40775.4868055556</v>
      </c>
      <c r="F2413" s="0" t="n">
        <v>2.43</v>
      </c>
      <c r="G2413" s="0" t="n">
        <v>17203</v>
      </c>
      <c r="H2413" s="3" t="s">
        <v>14</v>
      </c>
      <c r="I2413" s="4" t="n">
        <f aca="false">D2413*F2413</f>
        <v>1049.76</v>
      </c>
      <c r="J2413" s="3" t="n">
        <f aca="false">IF(AND(LEFT(A2413,1)&lt;&gt;"C",D2413&gt;0,F2413&gt;0),1,0)</f>
        <v>1</v>
      </c>
      <c r="K2413" s="3" t="n">
        <f aca="false">IF(AND(H2413="United Kingdom",G2413&lt;&gt;"",COUNTIFS($G$2:G2413,G2413,$H$2:H2413,"United Kingdom")=1),1,0)</f>
        <v>0</v>
      </c>
    </row>
    <row r="2414" customFormat="false" ht="15" hidden="false" customHeight="false" outlineLevel="0" collapsed="false">
      <c r="A2414" s="0" t="s">
        <v>526</v>
      </c>
      <c r="B2414" s="0" t="s">
        <v>27</v>
      </c>
      <c r="C2414" s="0" t="s">
        <v>28</v>
      </c>
      <c r="D2414" s="0" t="n">
        <v>24</v>
      </c>
      <c r="E2414" s="2" t="n">
        <v>40775.4868055556</v>
      </c>
      <c r="F2414" s="0" t="n">
        <v>4.55</v>
      </c>
      <c r="G2414" s="0" t="n">
        <v>17203</v>
      </c>
      <c r="H2414" s="3" t="s">
        <v>14</v>
      </c>
      <c r="I2414" s="4" t="n">
        <f aca="false">D2414*F2414</f>
        <v>109.2</v>
      </c>
      <c r="J2414" s="3" t="n">
        <f aca="false">IF(AND(LEFT(A2414,1)&lt;&gt;"C",D2414&gt;0,F2414&gt;0),1,0)</f>
        <v>1</v>
      </c>
      <c r="K2414" s="3" t="n">
        <f aca="false">IF(AND(H2414="United Kingdom",G2414&lt;&gt;"",COUNTIFS($G$2:G2414,G2414,$H$2:H2414,"United Kingdom")=1),1,0)</f>
        <v>0</v>
      </c>
    </row>
    <row r="2415" customFormat="false" ht="15" hidden="false" customHeight="false" outlineLevel="0" collapsed="false">
      <c r="A2415" s="0" t="s">
        <v>526</v>
      </c>
      <c r="B2415" s="0" t="s">
        <v>65</v>
      </c>
      <c r="C2415" s="0" t="s">
        <v>66</v>
      </c>
      <c r="D2415" s="0" t="n">
        <v>12</v>
      </c>
      <c r="E2415" s="2" t="n">
        <v>40775.4868055556</v>
      </c>
      <c r="F2415" s="0" t="n">
        <v>4.75</v>
      </c>
      <c r="G2415" s="0" t="n">
        <v>17203</v>
      </c>
      <c r="H2415" s="3" t="s">
        <v>14</v>
      </c>
      <c r="I2415" s="4" t="n">
        <f aca="false">D2415*F2415</f>
        <v>57</v>
      </c>
      <c r="J2415" s="3" t="n">
        <f aca="false">IF(AND(LEFT(A2415,1)&lt;&gt;"C",D2415&gt;0,F2415&gt;0),1,0)</f>
        <v>1</v>
      </c>
      <c r="K2415" s="3" t="n">
        <f aca="false">IF(AND(H2415="United Kingdom",G2415&lt;&gt;"",COUNTIFS($G$2:G2415,G2415,$H$2:H2415,"United Kingdom")=1),1,0)</f>
        <v>0</v>
      </c>
    </row>
    <row r="2416" customFormat="false" ht="15" hidden="false" customHeight="false" outlineLevel="0" collapsed="false">
      <c r="A2416" s="0" t="s">
        <v>526</v>
      </c>
      <c r="B2416" s="0" t="s">
        <v>32</v>
      </c>
      <c r="C2416" s="0" t="s">
        <v>33</v>
      </c>
      <c r="D2416" s="0" t="n">
        <v>144</v>
      </c>
      <c r="E2416" s="2" t="n">
        <v>40775.4868055556</v>
      </c>
      <c r="F2416" s="0" t="n">
        <v>1.19</v>
      </c>
      <c r="G2416" s="0" t="n">
        <v>17203</v>
      </c>
      <c r="H2416" s="3" t="s">
        <v>14</v>
      </c>
      <c r="I2416" s="4" t="n">
        <f aca="false">D2416*F2416</f>
        <v>171.36</v>
      </c>
      <c r="J2416" s="3" t="n">
        <f aca="false">IF(AND(LEFT(A2416,1)&lt;&gt;"C",D2416&gt;0,F2416&gt;0),1,0)</f>
        <v>1</v>
      </c>
      <c r="K2416" s="3" t="n">
        <f aca="false">IF(AND(H2416="United Kingdom",G2416&lt;&gt;"",COUNTIFS($G$2:G2416,G2416,$H$2:H2416,"United Kingdom")=1),1,0)</f>
        <v>0</v>
      </c>
    </row>
    <row r="2417" customFormat="false" ht="15" hidden="false" customHeight="false" outlineLevel="0" collapsed="false">
      <c r="A2417" s="0" t="s">
        <v>527</v>
      </c>
      <c r="B2417" s="0" t="s">
        <v>58</v>
      </c>
      <c r="C2417" s="0" t="s">
        <v>59</v>
      </c>
      <c r="D2417" s="0" t="n">
        <v>4</v>
      </c>
      <c r="E2417" s="2" t="n">
        <v>40775.4958333333</v>
      </c>
      <c r="F2417" s="0" t="n">
        <v>2.16</v>
      </c>
      <c r="G2417" s="0" t="n">
        <v>13512</v>
      </c>
      <c r="H2417" s="3" t="s">
        <v>14</v>
      </c>
      <c r="I2417" s="4" t="n">
        <f aca="false">D2417*F2417</f>
        <v>8.64</v>
      </c>
      <c r="J2417" s="3" t="n">
        <f aca="false">IF(AND(LEFT(A2417,1)&lt;&gt;"C",D2417&gt;0,F2417&gt;0),1,0)</f>
        <v>1</v>
      </c>
      <c r="K2417" s="3" t="n">
        <f aca="false">IF(AND(H2417="United Kingdom",G2417&lt;&gt;"",COUNTIFS($G$2:G2417,G2417,$H$2:H2417,"United Kingdom")=1),1,0)</f>
        <v>1</v>
      </c>
    </row>
    <row r="2418" customFormat="false" ht="15" hidden="false" customHeight="false" outlineLevel="0" collapsed="false">
      <c r="A2418" s="0" t="s">
        <v>527</v>
      </c>
      <c r="B2418" s="0" t="s">
        <v>34</v>
      </c>
      <c r="C2418" s="0" t="s">
        <v>35</v>
      </c>
      <c r="D2418" s="0" t="n">
        <v>3</v>
      </c>
      <c r="E2418" s="2" t="n">
        <v>40775.4958333333</v>
      </c>
      <c r="F2418" s="0" t="n">
        <v>2.38</v>
      </c>
      <c r="G2418" s="0" t="n">
        <v>13512</v>
      </c>
      <c r="H2418" s="3" t="s">
        <v>14</v>
      </c>
      <c r="I2418" s="4" t="n">
        <f aca="false">D2418*F2418</f>
        <v>7.14</v>
      </c>
      <c r="J2418" s="3" t="n">
        <f aca="false">IF(AND(LEFT(A2418,1)&lt;&gt;"C",D2418&gt;0,F2418&gt;0),1,0)</f>
        <v>1</v>
      </c>
      <c r="K2418" s="3" t="n">
        <f aca="false">IF(AND(H2418="United Kingdom",G2418&lt;&gt;"",COUNTIFS($G$2:G2418,G2418,$H$2:H2418,"United Kingdom")=1),1,0)</f>
        <v>0</v>
      </c>
    </row>
    <row r="2419" customFormat="false" ht="15" hidden="false" customHeight="false" outlineLevel="0" collapsed="false">
      <c r="A2419" s="0" t="s">
        <v>527</v>
      </c>
      <c r="B2419" s="0" t="s">
        <v>29</v>
      </c>
      <c r="C2419" s="0" t="s">
        <v>30</v>
      </c>
      <c r="D2419" s="0" t="n">
        <v>12</v>
      </c>
      <c r="E2419" s="2" t="n">
        <v>40775.4958333333</v>
      </c>
      <c r="F2419" s="0" t="n">
        <v>5.79</v>
      </c>
      <c r="G2419" s="0" t="n">
        <v>13512</v>
      </c>
      <c r="H2419" s="3" t="s">
        <v>14</v>
      </c>
      <c r="I2419" s="4" t="n">
        <f aca="false">D2419*F2419</f>
        <v>69.48</v>
      </c>
      <c r="J2419" s="3" t="n">
        <f aca="false">IF(AND(LEFT(A2419,1)&lt;&gt;"C",D2419&gt;0,F2419&gt;0),1,0)</f>
        <v>1</v>
      </c>
      <c r="K2419" s="3" t="n">
        <f aca="false">IF(AND(H2419="United Kingdom",G2419&lt;&gt;"",COUNTIFS($G$2:G2419,G2419,$H$2:H2419,"United Kingdom")=1),1,0)</f>
        <v>0</v>
      </c>
    </row>
    <row r="2420" customFormat="false" ht="15" hidden="false" customHeight="false" outlineLevel="0" collapsed="false">
      <c r="A2420" s="0" t="s">
        <v>528</v>
      </c>
      <c r="B2420" s="0" t="s">
        <v>12</v>
      </c>
      <c r="C2420" s="0" t="s">
        <v>13</v>
      </c>
      <c r="D2420" s="0" t="n">
        <v>2</v>
      </c>
      <c r="E2420" s="2" t="n">
        <v>40775.6</v>
      </c>
      <c r="F2420" s="0" t="n">
        <v>3.33</v>
      </c>
      <c r="G2420" s="0" t="n">
        <v>12549</v>
      </c>
      <c r="H2420" s="3" t="s">
        <v>14</v>
      </c>
      <c r="I2420" s="4" t="n">
        <f aca="false">D2420*F2420</f>
        <v>6.66</v>
      </c>
      <c r="J2420" s="3" t="n">
        <f aca="false">IF(AND(LEFT(A2420,1)&lt;&gt;"C",D2420&gt;0,F2420&gt;0),1,0)</f>
        <v>1</v>
      </c>
      <c r="K2420" s="3" t="n">
        <f aca="false">IF(AND(H2420="United Kingdom",G2420&lt;&gt;"",COUNTIFS($G$2:G2420,G2420,$H$2:H2420,"United Kingdom")=1),1,0)</f>
        <v>0</v>
      </c>
    </row>
    <row r="2421" customFormat="false" ht="15" hidden="false" customHeight="false" outlineLevel="0" collapsed="false">
      <c r="A2421" s="0" t="s">
        <v>528</v>
      </c>
      <c r="B2421" s="0" t="s">
        <v>90</v>
      </c>
      <c r="C2421" s="0" t="s">
        <v>91</v>
      </c>
      <c r="D2421" s="0" t="n">
        <v>1</v>
      </c>
      <c r="E2421" s="2" t="n">
        <v>40775.6</v>
      </c>
      <c r="F2421" s="0" t="n">
        <v>3.04</v>
      </c>
      <c r="G2421" s="0" t="n">
        <v>12549</v>
      </c>
      <c r="H2421" s="3" t="s">
        <v>14</v>
      </c>
      <c r="I2421" s="4" t="n">
        <f aca="false">D2421*F2421</f>
        <v>3.04</v>
      </c>
      <c r="J2421" s="3" t="n">
        <f aca="false">IF(AND(LEFT(A2421,1)&lt;&gt;"C",D2421&gt;0,F2421&gt;0),1,0)</f>
        <v>1</v>
      </c>
      <c r="K2421" s="3" t="n">
        <f aca="false">IF(AND(H2421="United Kingdom",G2421&lt;&gt;"",COUNTIFS($G$2:G2421,G2421,$H$2:H2421,"United Kingdom")=1),1,0)</f>
        <v>0</v>
      </c>
    </row>
    <row r="2422" customFormat="false" ht="15" hidden="false" customHeight="false" outlineLevel="0" collapsed="false">
      <c r="A2422" s="0" t="s">
        <v>528</v>
      </c>
      <c r="B2422" s="0" t="s">
        <v>41</v>
      </c>
      <c r="C2422" s="0" t="s">
        <v>42</v>
      </c>
      <c r="D2422" s="0" t="n">
        <v>3</v>
      </c>
      <c r="E2422" s="2" t="n">
        <v>40775.6</v>
      </c>
      <c r="F2422" s="0" t="n">
        <v>3.28</v>
      </c>
      <c r="G2422" s="0" t="n">
        <v>12549</v>
      </c>
      <c r="H2422" s="3" t="s">
        <v>14</v>
      </c>
      <c r="I2422" s="4" t="n">
        <f aca="false">D2422*F2422</f>
        <v>9.84</v>
      </c>
      <c r="J2422" s="3" t="n">
        <f aca="false">IF(AND(LEFT(A2422,1)&lt;&gt;"C",D2422&gt;0,F2422&gt;0),1,0)</f>
        <v>1</v>
      </c>
      <c r="K2422" s="3" t="n">
        <f aca="false">IF(AND(H2422="United Kingdom",G2422&lt;&gt;"",COUNTIFS($G$2:G2422,G2422,$H$2:H2422,"United Kingdom")=1),1,0)</f>
        <v>0</v>
      </c>
    </row>
    <row r="2423" customFormat="false" ht="15" hidden="false" customHeight="false" outlineLevel="0" collapsed="false">
      <c r="A2423" s="0" t="s">
        <v>528</v>
      </c>
      <c r="B2423" s="0" t="s">
        <v>15</v>
      </c>
      <c r="C2423" s="0" t="s">
        <v>16</v>
      </c>
      <c r="D2423" s="0" t="n">
        <v>4</v>
      </c>
      <c r="E2423" s="2" t="n">
        <v>40775.6</v>
      </c>
      <c r="F2423" s="0" t="n">
        <v>3.18</v>
      </c>
      <c r="G2423" s="0" t="n">
        <v>12549</v>
      </c>
      <c r="H2423" s="3" t="s">
        <v>14</v>
      </c>
      <c r="I2423" s="4" t="n">
        <f aca="false">D2423*F2423</f>
        <v>12.72</v>
      </c>
      <c r="J2423" s="3" t="n">
        <f aca="false">IF(AND(LEFT(A2423,1)&lt;&gt;"C",D2423&gt;0,F2423&gt;0),1,0)</f>
        <v>1</v>
      </c>
      <c r="K2423" s="3" t="n">
        <f aca="false">IF(AND(H2423="United Kingdom",G2423&lt;&gt;"",COUNTIFS($G$2:G2423,G2423,$H$2:H2423,"United Kingdom")=1),1,0)</f>
        <v>0</v>
      </c>
    </row>
    <row r="2424" customFormat="false" ht="15" hidden="false" customHeight="false" outlineLevel="0" collapsed="false">
      <c r="A2424" s="0" t="s">
        <v>529</v>
      </c>
      <c r="B2424" s="0" t="s">
        <v>25</v>
      </c>
      <c r="C2424" s="0" t="s">
        <v>26</v>
      </c>
      <c r="D2424" s="0" t="n">
        <v>96</v>
      </c>
      <c r="E2424" s="2" t="n">
        <v>40776.4736111111</v>
      </c>
      <c r="F2424" s="0" t="n">
        <v>2.21</v>
      </c>
      <c r="G2424" s="0" t="n">
        <v>14490</v>
      </c>
      <c r="H2424" s="3" t="s">
        <v>14</v>
      </c>
      <c r="I2424" s="4" t="n">
        <f aca="false">D2424*F2424</f>
        <v>212.16</v>
      </c>
      <c r="J2424" s="3" t="n">
        <f aca="false">IF(AND(LEFT(A2424,1)&lt;&gt;"C",D2424&gt;0,F2424&gt;0),1,0)</f>
        <v>1</v>
      </c>
      <c r="K2424" s="3" t="n">
        <f aca="false">IF(AND(H2424="United Kingdom",G2424&lt;&gt;"",COUNTIFS($G$2:G2424,G2424,$H$2:H2424,"United Kingdom")=1),1,0)</f>
        <v>0</v>
      </c>
    </row>
    <row r="2425" customFormat="false" ht="15" hidden="false" customHeight="false" outlineLevel="0" collapsed="false">
      <c r="A2425" s="0" t="s">
        <v>530</v>
      </c>
      <c r="B2425" s="0" t="s">
        <v>52</v>
      </c>
      <c r="C2425" s="0" t="s">
        <v>53</v>
      </c>
      <c r="D2425" s="0" t="n">
        <v>1</v>
      </c>
      <c r="E2425" s="2" t="n">
        <v>40777.3597222222</v>
      </c>
      <c r="F2425" s="0" t="n">
        <v>4.16</v>
      </c>
      <c r="G2425" s="0" t="n">
        <v>12747</v>
      </c>
      <c r="H2425" s="3" t="s">
        <v>120</v>
      </c>
      <c r="I2425" s="4" t="n">
        <f aca="false">D2425*F2425</f>
        <v>4.16</v>
      </c>
      <c r="J2425" s="3" t="n">
        <f aca="false">IF(AND(LEFT(A2425,1)&lt;&gt;"C",D2425&gt;0,F2425&gt;0),1,0)</f>
        <v>1</v>
      </c>
      <c r="K2425" s="3" t="n">
        <f aca="false">IF(AND(H2425="United Kingdom",G2425&lt;&gt;"",COUNTIFS($G$2:G2425,G2425,$H$2:H2425,"United Kingdom")=1),1,0)</f>
        <v>0</v>
      </c>
    </row>
    <row r="2426" customFormat="false" ht="15" hidden="false" customHeight="false" outlineLevel="0" collapsed="false">
      <c r="A2426" s="0" t="s">
        <v>530</v>
      </c>
      <c r="B2426" s="0" t="s">
        <v>27</v>
      </c>
      <c r="C2426" s="0" t="s">
        <v>28</v>
      </c>
      <c r="D2426" s="0" t="n">
        <v>10</v>
      </c>
      <c r="E2426" s="2" t="n">
        <v>40777.3597222222</v>
      </c>
      <c r="F2426" s="0" t="n">
        <v>4.55</v>
      </c>
      <c r="G2426" s="0" t="n">
        <v>12747</v>
      </c>
      <c r="H2426" s="3" t="s">
        <v>120</v>
      </c>
      <c r="I2426" s="4" t="n">
        <f aca="false">D2426*F2426</f>
        <v>45.5</v>
      </c>
      <c r="J2426" s="3" t="n">
        <f aca="false">IF(AND(LEFT(A2426,1)&lt;&gt;"C",D2426&gt;0,F2426&gt;0),1,0)</f>
        <v>1</v>
      </c>
      <c r="K2426" s="3" t="n">
        <f aca="false">IF(AND(H2426="United Kingdom",G2426&lt;&gt;"",COUNTIFS($G$2:G2426,G2426,$H$2:H2426,"United Kingdom")=1),1,0)</f>
        <v>0</v>
      </c>
    </row>
    <row r="2427" customFormat="false" ht="15" hidden="false" customHeight="false" outlineLevel="0" collapsed="false">
      <c r="A2427" s="0" t="s">
        <v>530</v>
      </c>
      <c r="B2427" s="0" t="s">
        <v>15</v>
      </c>
      <c r="C2427" s="0" t="s">
        <v>16</v>
      </c>
      <c r="D2427" s="0" t="n">
        <v>5</v>
      </c>
      <c r="E2427" s="2" t="n">
        <v>40777.3597222222</v>
      </c>
      <c r="F2427" s="0" t="n">
        <v>3.18</v>
      </c>
      <c r="G2427" s="0" t="n">
        <v>12747</v>
      </c>
      <c r="H2427" s="3" t="s">
        <v>120</v>
      </c>
      <c r="I2427" s="4" t="n">
        <f aca="false">D2427*F2427</f>
        <v>15.9</v>
      </c>
      <c r="J2427" s="3" t="n">
        <f aca="false">IF(AND(LEFT(A2427,1)&lt;&gt;"C",D2427&gt;0,F2427&gt;0),1,0)</f>
        <v>1</v>
      </c>
      <c r="K2427" s="3" t="n">
        <f aca="false">IF(AND(H2427="United Kingdom",G2427&lt;&gt;"",COUNTIFS($G$2:G2427,G2427,$H$2:H2427,"United Kingdom")=1),1,0)</f>
        <v>0</v>
      </c>
    </row>
    <row r="2428" customFormat="false" ht="15" hidden="false" customHeight="false" outlineLevel="0" collapsed="false">
      <c r="A2428" s="0" t="s">
        <v>531</v>
      </c>
      <c r="B2428" s="0" t="s">
        <v>43</v>
      </c>
      <c r="C2428" s="0" t="s">
        <v>44</v>
      </c>
      <c r="D2428" s="0" t="n">
        <v>3</v>
      </c>
      <c r="E2428" s="2" t="n">
        <v>40777.3666666667</v>
      </c>
      <c r="F2428" s="0" t="n">
        <v>1.35</v>
      </c>
      <c r="G2428" s="0" t="n">
        <v>17032</v>
      </c>
      <c r="H2428" s="3" t="s">
        <v>14</v>
      </c>
      <c r="I2428" s="4" t="n">
        <f aca="false">D2428*F2428</f>
        <v>4.05</v>
      </c>
      <c r="J2428" s="3" t="n">
        <f aca="false">IF(AND(LEFT(A2428,1)&lt;&gt;"C",D2428&gt;0,F2428&gt;0),1,0)</f>
        <v>1</v>
      </c>
      <c r="K2428" s="3" t="n">
        <f aca="false">IF(AND(H2428="United Kingdom",G2428&lt;&gt;"",COUNTIFS($G$2:G2428,G2428,$H$2:H2428,"United Kingdom")=1),1,0)</f>
        <v>0</v>
      </c>
    </row>
    <row r="2429" customFormat="false" ht="15" hidden="false" customHeight="false" outlineLevel="0" collapsed="false">
      <c r="A2429" s="0" t="s">
        <v>532</v>
      </c>
      <c r="B2429" s="0" t="s">
        <v>58</v>
      </c>
      <c r="C2429" s="0" t="s">
        <v>59</v>
      </c>
      <c r="D2429" s="0" t="n">
        <v>1</v>
      </c>
      <c r="E2429" s="2" t="n">
        <v>40777.5881944444</v>
      </c>
      <c r="F2429" s="0" t="n">
        <v>2.16</v>
      </c>
      <c r="G2429" s="0" t="n">
        <v>18235</v>
      </c>
      <c r="H2429" s="3" t="s">
        <v>14</v>
      </c>
      <c r="I2429" s="4" t="n">
        <f aca="false">D2429*F2429</f>
        <v>2.16</v>
      </c>
      <c r="J2429" s="3" t="n">
        <f aca="false">IF(AND(LEFT(A2429,1)&lt;&gt;"C",D2429&gt;0,F2429&gt;0),1,0)</f>
        <v>1</v>
      </c>
      <c r="K2429" s="3" t="n">
        <f aca="false">IF(AND(H2429="United Kingdom",G2429&lt;&gt;"",COUNTIFS($G$2:G2429,G2429,$H$2:H2429,"United Kingdom")=1),1,0)</f>
        <v>1</v>
      </c>
    </row>
    <row r="2430" customFormat="false" ht="15" hidden="false" customHeight="false" outlineLevel="0" collapsed="false">
      <c r="A2430" s="0" t="s">
        <v>532</v>
      </c>
      <c r="B2430" s="0" t="s">
        <v>32</v>
      </c>
      <c r="C2430" s="0" t="s">
        <v>33</v>
      </c>
      <c r="D2430" s="0" t="n">
        <v>2</v>
      </c>
      <c r="E2430" s="2" t="n">
        <v>40777.5881944444</v>
      </c>
      <c r="F2430" s="0" t="n">
        <v>1.19</v>
      </c>
      <c r="G2430" s="0" t="n">
        <v>18235</v>
      </c>
      <c r="H2430" s="3" t="s">
        <v>14</v>
      </c>
      <c r="I2430" s="4" t="n">
        <f aca="false">D2430*F2430</f>
        <v>2.38</v>
      </c>
      <c r="J2430" s="3" t="n">
        <f aca="false">IF(AND(LEFT(A2430,1)&lt;&gt;"C",D2430&gt;0,F2430&gt;0),1,0)</f>
        <v>1</v>
      </c>
      <c r="K2430" s="3" t="n">
        <f aca="false">IF(AND(H2430="United Kingdom",G2430&lt;&gt;"",COUNTIFS($G$2:G2430,G2430,$H$2:H2430,"United Kingdom")=1),1,0)</f>
        <v>0</v>
      </c>
    </row>
    <row r="2431" customFormat="false" ht="15" hidden="false" customHeight="false" outlineLevel="0" collapsed="false">
      <c r="A2431" s="0" t="s">
        <v>533</v>
      </c>
      <c r="B2431" s="0" t="s">
        <v>12</v>
      </c>
      <c r="C2431" s="0" t="s">
        <v>13</v>
      </c>
      <c r="D2431" s="0" t="n">
        <v>691</v>
      </c>
      <c r="E2431" s="2" t="n">
        <v>40778.3333333333</v>
      </c>
      <c r="F2431" s="0" t="n">
        <v>3.33</v>
      </c>
      <c r="G2431" s="0" t="n">
        <v>17650</v>
      </c>
      <c r="H2431" s="3" t="s">
        <v>57</v>
      </c>
      <c r="I2431" s="4" t="n">
        <f aca="false">D2431*F2431</f>
        <v>2301.03</v>
      </c>
      <c r="J2431" s="3" t="n">
        <f aca="false">IF(AND(LEFT(A2431,1)&lt;&gt;"C",D2431&gt;0,F2431&gt;0),1,0)</f>
        <v>1</v>
      </c>
      <c r="K2431" s="3" t="n">
        <f aca="false">IF(AND(H2431="United Kingdom",G2431&lt;&gt;"",COUNTIFS($G$2:G2431,G2431,$H$2:H2431,"United Kingdom")=1),1,0)</f>
        <v>0</v>
      </c>
    </row>
    <row r="2432" customFormat="false" ht="15" hidden="false" customHeight="false" outlineLevel="0" collapsed="false">
      <c r="A2432" s="0" t="s">
        <v>533</v>
      </c>
      <c r="B2432" s="0" t="s">
        <v>22</v>
      </c>
      <c r="C2432" s="0" t="s">
        <v>23</v>
      </c>
      <c r="D2432" s="0" t="n">
        <v>345</v>
      </c>
      <c r="E2432" s="2" t="n">
        <v>40778.3333333333</v>
      </c>
      <c r="F2432" s="0" t="n">
        <v>3.18</v>
      </c>
      <c r="G2432" s="0" t="n">
        <v>17650</v>
      </c>
      <c r="H2432" s="3" t="s">
        <v>57</v>
      </c>
      <c r="I2432" s="4" t="n">
        <f aca="false">D2432*F2432</f>
        <v>1097.1</v>
      </c>
      <c r="J2432" s="3" t="n">
        <f aca="false">IF(AND(LEFT(A2432,1)&lt;&gt;"C",D2432&gt;0,F2432&gt;0),1,0)</f>
        <v>1</v>
      </c>
      <c r="K2432" s="3" t="n">
        <f aca="false">IF(AND(H2432="United Kingdom",G2432&lt;&gt;"",COUNTIFS($G$2:G2432,G2432,$H$2:H2432,"United Kingdom")=1),1,0)</f>
        <v>0</v>
      </c>
    </row>
    <row r="2433" customFormat="false" ht="15" hidden="false" customHeight="false" outlineLevel="0" collapsed="false">
      <c r="A2433" s="0" t="s">
        <v>533</v>
      </c>
      <c r="B2433" s="0" t="s">
        <v>50</v>
      </c>
      <c r="C2433" s="0" t="s">
        <v>51</v>
      </c>
      <c r="D2433" s="0" t="n">
        <v>153</v>
      </c>
      <c r="E2433" s="2" t="n">
        <v>40778.3333333333</v>
      </c>
      <c r="F2433" s="0" t="n">
        <v>5.41</v>
      </c>
      <c r="G2433" s="0" t="n">
        <v>17650</v>
      </c>
      <c r="H2433" s="3" t="s">
        <v>57</v>
      </c>
      <c r="I2433" s="4" t="n">
        <f aca="false">D2433*F2433</f>
        <v>827.73</v>
      </c>
      <c r="J2433" s="3" t="n">
        <f aca="false">IF(AND(LEFT(A2433,1)&lt;&gt;"C",D2433&gt;0,F2433&gt;0),1,0)</f>
        <v>1</v>
      </c>
      <c r="K2433" s="3" t="n">
        <f aca="false">IF(AND(H2433="United Kingdom",G2433&lt;&gt;"",COUNTIFS($G$2:G2433,G2433,$H$2:H2433,"United Kingdom")=1),1,0)</f>
        <v>0</v>
      </c>
    </row>
    <row r="2434" customFormat="false" ht="15" hidden="false" customHeight="false" outlineLevel="0" collapsed="false">
      <c r="A2434" s="0" t="s">
        <v>533</v>
      </c>
      <c r="B2434" s="0" t="s">
        <v>39</v>
      </c>
      <c r="C2434" s="0" t="s">
        <v>40</v>
      </c>
      <c r="D2434" s="0" t="n">
        <v>19</v>
      </c>
      <c r="E2434" s="2" t="n">
        <v>40778.3333333333</v>
      </c>
      <c r="F2434" s="0" t="n">
        <v>2.58</v>
      </c>
      <c r="G2434" s="0" t="n">
        <v>17650</v>
      </c>
      <c r="H2434" s="3" t="s">
        <v>57</v>
      </c>
      <c r="I2434" s="4" t="n">
        <f aca="false">D2434*F2434</f>
        <v>49.02</v>
      </c>
      <c r="J2434" s="3" t="n">
        <f aca="false">IF(AND(LEFT(A2434,1)&lt;&gt;"C",D2434&gt;0,F2434&gt;0),1,0)</f>
        <v>1</v>
      </c>
      <c r="K2434" s="3" t="n">
        <f aca="false">IF(AND(H2434="United Kingdom",G2434&lt;&gt;"",COUNTIFS($G$2:G2434,G2434,$H$2:H2434,"United Kingdom")=1),1,0)</f>
        <v>0</v>
      </c>
    </row>
    <row r="2435" customFormat="false" ht="15" hidden="false" customHeight="false" outlineLevel="0" collapsed="false">
      <c r="A2435" s="0" t="s">
        <v>534</v>
      </c>
      <c r="B2435" s="0" t="s">
        <v>29</v>
      </c>
      <c r="C2435" s="0" t="s">
        <v>30</v>
      </c>
      <c r="D2435" s="0" t="n">
        <v>1</v>
      </c>
      <c r="E2435" s="2" t="n">
        <v>40778.3763888889</v>
      </c>
      <c r="F2435" s="0" t="n">
        <v>5.79</v>
      </c>
      <c r="G2435" s="0" t="n">
        <v>13161</v>
      </c>
      <c r="H2435" s="3" t="s">
        <v>14</v>
      </c>
      <c r="I2435" s="4" t="n">
        <f aca="false">D2435*F2435</f>
        <v>5.79</v>
      </c>
      <c r="J2435" s="3" t="n">
        <f aca="false">IF(AND(LEFT(A2435,1)&lt;&gt;"C",D2435&gt;0,F2435&gt;0),1,0)</f>
        <v>1</v>
      </c>
      <c r="K2435" s="3" t="n">
        <f aca="false">IF(AND(H2435="United Kingdom",G2435&lt;&gt;"",COUNTIFS($G$2:G2435,G2435,$H$2:H2435,"United Kingdom")=1),1,0)</f>
        <v>0</v>
      </c>
    </row>
    <row r="2436" customFormat="false" ht="15" hidden="false" customHeight="false" outlineLevel="0" collapsed="false">
      <c r="A2436" s="0" t="s">
        <v>534</v>
      </c>
      <c r="B2436" s="0" t="s">
        <v>34</v>
      </c>
      <c r="C2436" s="0" t="s">
        <v>35</v>
      </c>
      <c r="D2436" s="0" t="n">
        <v>8</v>
      </c>
      <c r="E2436" s="2" t="n">
        <v>40778.3763888889</v>
      </c>
      <c r="F2436" s="0" t="n">
        <v>2.38</v>
      </c>
      <c r="G2436" s="0" t="n">
        <v>13161</v>
      </c>
      <c r="H2436" s="3" t="s">
        <v>14</v>
      </c>
      <c r="I2436" s="4" t="n">
        <f aca="false">D2436*F2436</f>
        <v>19.04</v>
      </c>
      <c r="J2436" s="3" t="n">
        <f aca="false">IF(AND(LEFT(A2436,1)&lt;&gt;"C",D2436&gt;0,F2436&gt;0),1,0)</f>
        <v>1</v>
      </c>
      <c r="K2436" s="3" t="n">
        <f aca="false">IF(AND(H2436="United Kingdom",G2436&lt;&gt;"",COUNTIFS($G$2:G2436,G2436,$H$2:H2436,"United Kingdom")=1),1,0)</f>
        <v>0</v>
      </c>
    </row>
    <row r="2437" customFormat="false" ht="15" hidden="false" customHeight="false" outlineLevel="0" collapsed="false">
      <c r="A2437" s="0" t="s">
        <v>534</v>
      </c>
      <c r="B2437" s="0" t="s">
        <v>41</v>
      </c>
      <c r="C2437" s="0" t="s">
        <v>42</v>
      </c>
      <c r="D2437" s="0" t="n">
        <v>6</v>
      </c>
      <c r="E2437" s="2" t="n">
        <v>40778.3763888889</v>
      </c>
      <c r="F2437" s="0" t="n">
        <v>3.28</v>
      </c>
      <c r="G2437" s="0" t="n">
        <v>13161</v>
      </c>
      <c r="H2437" s="3" t="s">
        <v>14</v>
      </c>
      <c r="I2437" s="4" t="n">
        <f aca="false">D2437*F2437</f>
        <v>19.68</v>
      </c>
      <c r="J2437" s="3" t="n">
        <f aca="false">IF(AND(LEFT(A2437,1)&lt;&gt;"C",D2437&gt;0,F2437&gt;0),1,0)</f>
        <v>1</v>
      </c>
      <c r="K2437" s="3" t="n">
        <f aca="false">IF(AND(H2437="United Kingdom",G2437&lt;&gt;"",COUNTIFS($G$2:G2437,G2437,$H$2:H2437,"United Kingdom")=1),1,0)</f>
        <v>0</v>
      </c>
    </row>
    <row r="2438" customFormat="false" ht="15" hidden="false" customHeight="false" outlineLevel="0" collapsed="false">
      <c r="A2438" s="0" t="s">
        <v>534</v>
      </c>
      <c r="B2438" s="0" t="s">
        <v>58</v>
      </c>
      <c r="C2438" s="0" t="s">
        <v>59</v>
      </c>
      <c r="D2438" s="0" t="n">
        <v>1</v>
      </c>
      <c r="E2438" s="2" t="n">
        <v>40778.3763888889</v>
      </c>
      <c r="F2438" s="0" t="n">
        <v>2.16</v>
      </c>
      <c r="G2438" s="0" t="n">
        <v>13161</v>
      </c>
      <c r="H2438" s="3" t="s">
        <v>14</v>
      </c>
      <c r="I2438" s="4" t="n">
        <f aca="false">D2438*F2438</f>
        <v>2.16</v>
      </c>
      <c r="J2438" s="3" t="n">
        <f aca="false">IF(AND(LEFT(A2438,1)&lt;&gt;"C",D2438&gt;0,F2438&gt;0),1,0)</f>
        <v>1</v>
      </c>
      <c r="K2438" s="3" t="n">
        <f aca="false">IF(AND(H2438="United Kingdom",G2438&lt;&gt;"",COUNTIFS($G$2:G2438,G2438,$H$2:H2438,"United Kingdom")=1),1,0)</f>
        <v>0</v>
      </c>
    </row>
    <row r="2439" customFormat="false" ht="15" hidden="false" customHeight="false" outlineLevel="0" collapsed="false">
      <c r="A2439" s="0" t="s">
        <v>534</v>
      </c>
      <c r="B2439" s="0" t="s">
        <v>25</v>
      </c>
      <c r="C2439" s="0" t="s">
        <v>26</v>
      </c>
      <c r="D2439" s="0" t="n">
        <v>6</v>
      </c>
      <c r="E2439" s="2" t="n">
        <v>40778.3763888889</v>
      </c>
      <c r="F2439" s="0" t="n">
        <v>2.21</v>
      </c>
      <c r="G2439" s="0" t="n">
        <v>13161</v>
      </c>
      <c r="H2439" s="3" t="s">
        <v>14</v>
      </c>
      <c r="I2439" s="4" t="n">
        <f aca="false">D2439*F2439</f>
        <v>13.26</v>
      </c>
      <c r="J2439" s="3" t="n">
        <f aca="false">IF(AND(LEFT(A2439,1)&lt;&gt;"C",D2439&gt;0,F2439&gt;0),1,0)</f>
        <v>1</v>
      </c>
      <c r="K2439" s="3" t="n">
        <f aca="false">IF(AND(H2439="United Kingdom",G2439&lt;&gt;"",COUNTIFS($G$2:G2439,G2439,$H$2:H2439,"United Kingdom")=1),1,0)</f>
        <v>0</v>
      </c>
    </row>
    <row r="2440" customFormat="false" ht="15" hidden="false" customHeight="false" outlineLevel="0" collapsed="false">
      <c r="A2440" s="0" t="s">
        <v>534</v>
      </c>
      <c r="B2440" s="0" t="s">
        <v>72</v>
      </c>
      <c r="C2440" s="0" t="s">
        <v>73</v>
      </c>
      <c r="D2440" s="0" t="n">
        <v>6</v>
      </c>
      <c r="E2440" s="2" t="n">
        <v>40778.3763888889</v>
      </c>
      <c r="F2440" s="0" t="n">
        <v>2.69</v>
      </c>
      <c r="G2440" s="0" t="n">
        <v>13161</v>
      </c>
      <c r="H2440" s="3" t="s">
        <v>14</v>
      </c>
      <c r="I2440" s="4" t="n">
        <f aca="false">D2440*F2440</f>
        <v>16.14</v>
      </c>
      <c r="J2440" s="3" t="n">
        <f aca="false">IF(AND(LEFT(A2440,1)&lt;&gt;"C",D2440&gt;0,F2440&gt;0),1,0)</f>
        <v>1</v>
      </c>
      <c r="K2440" s="3" t="n">
        <f aca="false">IF(AND(H2440="United Kingdom",G2440&lt;&gt;"",COUNTIFS($G$2:G2440,G2440,$H$2:H2440,"United Kingdom")=1),1,0)</f>
        <v>0</v>
      </c>
    </row>
    <row r="2441" customFormat="false" ht="15" hidden="false" customHeight="false" outlineLevel="0" collapsed="false">
      <c r="A2441" s="0" t="s">
        <v>534</v>
      </c>
      <c r="B2441" s="0" t="s">
        <v>48</v>
      </c>
      <c r="C2441" s="0" t="s">
        <v>49</v>
      </c>
      <c r="D2441" s="0" t="n">
        <v>6</v>
      </c>
      <c r="E2441" s="2" t="n">
        <v>40778.3763888889</v>
      </c>
      <c r="F2441" s="0" t="n">
        <v>1.35</v>
      </c>
      <c r="G2441" s="0" t="n">
        <v>13161</v>
      </c>
      <c r="H2441" s="3" t="s">
        <v>14</v>
      </c>
      <c r="I2441" s="4" t="n">
        <f aca="false">D2441*F2441</f>
        <v>8.1</v>
      </c>
      <c r="J2441" s="3" t="n">
        <f aca="false">IF(AND(LEFT(A2441,1)&lt;&gt;"C",D2441&gt;0,F2441&gt;0),1,0)</f>
        <v>1</v>
      </c>
      <c r="K2441" s="3" t="n">
        <f aca="false">IF(AND(H2441="United Kingdom",G2441&lt;&gt;"",COUNTIFS($G$2:G2441,G2441,$H$2:H2441,"United Kingdom")=1),1,0)</f>
        <v>0</v>
      </c>
    </row>
    <row r="2442" customFormat="false" ht="15" hidden="false" customHeight="false" outlineLevel="0" collapsed="false">
      <c r="A2442" s="0" t="s">
        <v>535</v>
      </c>
      <c r="B2442" s="0" t="s">
        <v>54</v>
      </c>
      <c r="C2442" s="0" t="s">
        <v>55</v>
      </c>
      <c r="D2442" s="0" t="n">
        <v>2</v>
      </c>
      <c r="E2442" s="2" t="n">
        <v>40778.4465277778</v>
      </c>
      <c r="F2442" s="0" t="n">
        <v>0.99</v>
      </c>
      <c r="G2442" s="0" t="n">
        <v>13280</v>
      </c>
      <c r="H2442" s="3" t="s">
        <v>14</v>
      </c>
      <c r="I2442" s="4" t="n">
        <f aca="false">D2442*F2442</f>
        <v>1.98</v>
      </c>
      <c r="J2442" s="3" t="n">
        <f aca="false">IF(AND(LEFT(A2442,1)&lt;&gt;"C",D2442&gt;0,F2442&gt;0),1,0)</f>
        <v>1</v>
      </c>
      <c r="K2442" s="3" t="n">
        <f aca="false">IF(AND(H2442="United Kingdom",G2442&lt;&gt;"",COUNTIFS($G$2:G2442,G2442,$H$2:H2442,"United Kingdom")=1),1,0)</f>
        <v>0</v>
      </c>
    </row>
    <row r="2443" customFormat="false" ht="15" hidden="false" customHeight="false" outlineLevel="0" collapsed="false">
      <c r="A2443" s="0" t="s">
        <v>535</v>
      </c>
      <c r="B2443" s="0" t="s">
        <v>22</v>
      </c>
      <c r="C2443" s="0" t="s">
        <v>23</v>
      </c>
      <c r="D2443" s="0" t="n">
        <v>8</v>
      </c>
      <c r="E2443" s="2" t="n">
        <v>40778.4465277778</v>
      </c>
      <c r="F2443" s="0" t="n">
        <v>3.18</v>
      </c>
      <c r="G2443" s="0" t="n">
        <v>13280</v>
      </c>
      <c r="H2443" s="3" t="s">
        <v>14</v>
      </c>
      <c r="I2443" s="4" t="n">
        <f aca="false">D2443*F2443</f>
        <v>25.44</v>
      </c>
      <c r="J2443" s="3" t="n">
        <f aca="false">IF(AND(LEFT(A2443,1)&lt;&gt;"C",D2443&gt;0,F2443&gt;0),1,0)</f>
        <v>1</v>
      </c>
      <c r="K2443" s="3" t="n">
        <f aca="false">IF(AND(H2443="United Kingdom",G2443&lt;&gt;"",COUNTIFS($G$2:G2443,G2443,$H$2:H2443,"United Kingdom")=1),1,0)</f>
        <v>0</v>
      </c>
    </row>
    <row r="2444" customFormat="false" ht="15" hidden="false" customHeight="false" outlineLevel="0" collapsed="false">
      <c r="A2444" s="0" t="s">
        <v>536</v>
      </c>
      <c r="B2444" s="0" t="s">
        <v>39</v>
      </c>
      <c r="C2444" s="0" t="s">
        <v>40</v>
      </c>
      <c r="D2444" s="0" t="n">
        <v>1</v>
      </c>
      <c r="E2444" s="2" t="n">
        <v>40779.5513888889</v>
      </c>
      <c r="F2444" s="0" t="n">
        <v>2.58</v>
      </c>
      <c r="H2444" s="3" t="s">
        <v>14</v>
      </c>
      <c r="I2444" s="4" t="n">
        <f aca="false">D2444*F2444</f>
        <v>2.58</v>
      </c>
      <c r="J2444" s="3" t="n">
        <f aca="false">IF(AND(LEFT(A2444,1)&lt;&gt;"C",D2444&gt;0,F2444&gt;0),1,0)</f>
        <v>1</v>
      </c>
      <c r="K2444" s="3" t="n">
        <f aca="false">IF(AND(H2444="United Kingdom",G2444&lt;&gt;"",COUNTIFS($G$2:G2444,G2444,$H$2:H2444,"United Kingdom")=1),1,0)</f>
        <v>0</v>
      </c>
    </row>
    <row r="2445" customFormat="false" ht="15" hidden="false" customHeight="false" outlineLevel="0" collapsed="false">
      <c r="A2445" s="0" t="s">
        <v>536</v>
      </c>
      <c r="B2445" s="0" t="s">
        <v>22</v>
      </c>
      <c r="C2445" s="0" t="s">
        <v>23</v>
      </c>
      <c r="D2445" s="0" t="n">
        <v>8</v>
      </c>
      <c r="E2445" s="2" t="n">
        <v>40779.5513888889</v>
      </c>
      <c r="F2445" s="0" t="n">
        <v>3.18</v>
      </c>
      <c r="H2445" s="3" t="s">
        <v>14</v>
      </c>
      <c r="I2445" s="4" t="n">
        <f aca="false">D2445*F2445</f>
        <v>25.44</v>
      </c>
      <c r="J2445" s="3" t="n">
        <f aca="false">IF(AND(LEFT(A2445,1)&lt;&gt;"C",D2445&gt;0,F2445&gt;0),1,0)</f>
        <v>1</v>
      </c>
      <c r="K2445" s="3" t="n">
        <f aca="false">IF(AND(H2445="United Kingdom",G2445&lt;&gt;"",COUNTIFS($G$2:G2445,G2445,$H$2:H2445,"United Kingdom")=1),1,0)</f>
        <v>0</v>
      </c>
    </row>
    <row r="2446" customFormat="false" ht="15" hidden="false" customHeight="false" outlineLevel="0" collapsed="false">
      <c r="A2446" s="0" t="s">
        <v>536</v>
      </c>
      <c r="B2446" s="0" t="s">
        <v>63</v>
      </c>
      <c r="C2446" s="0" t="s">
        <v>64</v>
      </c>
      <c r="D2446" s="0" t="n">
        <v>12</v>
      </c>
      <c r="E2446" s="2" t="n">
        <v>40779.5513888889</v>
      </c>
      <c r="F2446" s="0" t="n">
        <v>2.43</v>
      </c>
      <c r="H2446" s="3" t="s">
        <v>14</v>
      </c>
      <c r="I2446" s="4" t="n">
        <f aca="false">D2446*F2446</f>
        <v>29.16</v>
      </c>
      <c r="J2446" s="3" t="n">
        <f aca="false">IF(AND(LEFT(A2446,1)&lt;&gt;"C",D2446&gt;0,F2446&gt;0),1,0)</f>
        <v>1</v>
      </c>
      <c r="K2446" s="3" t="n">
        <f aca="false">IF(AND(H2446="United Kingdom",G2446&lt;&gt;"",COUNTIFS($G$2:G2446,G2446,$H$2:H2446,"United Kingdom")=1),1,0)</f>
        <v>0</v>
      </c>
    </row>
    <row r="2447" customFormat="false" ht="15" hidden="false" customHeight="false" outlineLevel="0" collapsed="false">
      <c r="A2447" s="0" t="s">
        <v>537</v>
      </c>
      <c r="B2447" s="0" t="s">
        <v>65</v>
      </c>
      <c r="C2447" s="0" t="s">
        <v>66</v>
      </c>
      <c r="D2447" s="0" t="n">
        <v>36</v>
      </c>
      <c r="E2447" s="2" t="n">
        <v>40779.7583333333</v>
      </c>
      <c r="F2447" s="0" t="n">
        <v>4.75</v>
      </c>
      <c r="G2447" s="0" t="n">
        <v>16902</v>
      </c>
      <c r="H2447" s="3" t="s">
        <v>14</v>
      </c>
      <c r="I2447" s="4" t="n">
        <f aca="false">D2447*F2447</f>
        <v>171</v>
      </c>
      <c r="J2447" s="3" t="n">
        <f aca="false">IF(AND(LEFT(A2447,1)&lt;&gt;"C",D2447&gt;0,F2447&gt;0),1,0)</f>
        <v>1</v>
      </c>
      <c r="K2447" s="3" t="n">
        <f aca="false">IF(AND(H2447="United Kingdom",G2447&lt;&gt;"",COUNTIFS($G$2:G2447,G2447,$H$2:H2447,"United Kingdom")=1),1,0)</f>
        <v>0</v>
      </c>
    </row>
    <row r="2448" customFormat="false" ht="15" hidden="false" customHeight="false" outlineLevel="0" collapsed="false">
      <c r="A2448" s="0" t="s">
        <v>537</v>
      </c>
      <c r="B2448" s="0" t="s">
        <v>63</v>
      </c>
      <c r="C2448" s="0" t="s">
        <v>64</v>
      </c>
      <c r="D2448" s="0" t="n">
        <v>96</v>
      </c>
      <c r="E2448" s="2" t="n">
        <v>40779.7583333333</v>
      </c>
      <c r="F2448" s="0" t="n">
        <v>2.43</v>
      </c>
      <c r="G2448" s="0" t="n">
        <v>16902</v>
      </c>
      <c r="H2448" s="3" t="s">
        <v>14</v>
      </c>
      <c r="I2448" s="4" t="n">
        <f aca="false">D2448*F2448</f>
        <v>233.28</v>
      </c>
      <c r="J2448" s="3" t="n">
        <f aca="false">IF(AND(LEFT(A2448,1)&lt;&gt;"C",D2448&gt;0,F2448&gt;0),1,0)</f>
        <v>1</v>
      </c>
      <c r="K2448" s="3" t="n">
        <f aca="false">IF(AND(H2448="United Kingdom",G2448&lt;&gt;"",COUNTIFS($G$2:G2448,G2448,$H$2:H2448,"United Kingdom")=1),1,0)</f>
        <v>0</v>
      </c>
    </row>
    <row r="2449" customFormat="false" ht="15" hidden="false" customHeight="false" outlineLevel="0" collapsed="false">
      <c r="A2449" s="0" t="s">
        <v>537</v>
      </c>
      <c r="B2449" s="0" t="s">
        <v>75</v>
      </c>
      <c r="C2449" s="0" t="s">
        <v>76</v>
      </c>
      <c r="D2449" s="0" t="n">
        <v>96</v>
      </c>
      <c r="E2449" s="2" t="n">
        <v>40779.7583333333</v>
      </c>
      <c r="F2449" s="0" t="n">
        <v>1.97</v>
      </c>
      <c r="G2449" s="0" t="n">
        <v>16902</v>
      </c>
      <c r="H2449" s="3" t="s">
        <v>14</v>
      </c>
      <c r="I2449" s="4" t="n">
        <f aca="false">D2449*F2449</f>
        <v>189.12</v>
      </c>
      <c r="J2449" s="3" t="n">
        <f aca="false">IF(AND(LEFT(A2449,1)&lt;&gt;"C",D2449&gt;0,F2449&gt;0),1,0)</f>
        <v>1</v>
      </c>
      <c r="K2449" s="3" t="n">
        <f aca="false">IF(AND(H2449="United Kingdom",G2449&lt;&gt;"",COUNTIFS($G$2:G2449,G2449,$H$2:H2449,"United Kingdom")=1),1,0)</f>
        <v>0</v>
      </c>
    </row>
    <row r="2450" customFormat="false" ht="15" hidden="false" customHeight="false" outlineLevel="0" collapsed="false">
      <c r="A2450" s="0" t="s">
        <v>537</v>
      </c>
      <c r="B2450" s="0" t="s">
        <v>58</v>
      </c>
      <c r="C2450" s="0" t="s">
        <v>59</v>
      </c>
      <c r="D2450" s="0" t="n">
        <v>144</v>
      </c>
      <c r="E2450" s="2" t="n">
        <v>40779.7583333333</v>
      </c>
      <c r="F2450" s="0" t="n">
        <v>2.16</v>
      </c>
      <c r="G2450" s="0" t="n">
        <v>16902</v>
      </c>
      <c r="H2450" s="3" t="s">
        <v>14</v>
      </c>
      <c r="I2450" s="4" t="n">
        <f aca="false">D2450*F2450</f>
        <v>311.04</v>
      </c>
      <c r="J2450" s="3" t="n">
        <f aca="false">IF(AND(LEFT(A2450,1)&lt;&gt;"C",D2450&gt;0,F2450&gt;0),1,0)</f>
        <v>1</v>
      </c>
      <c r="K2450" s="3" t="n">
        <f aca="false">IF(AND(H2450="United Kingdom",G2450&lt;&gt;"",COUNTIFS($G$2:G2450,G2450,$H$2:H2450,"United Kingdom")=1),1,0)</f>
        <v>0</v>
      </c>
    </row>
    <row r="2451" customFormat="false" ht="15" hidden="false" customHeight="false" outlineLevel="0" collapsed="false">
      <c r="A2451" s="0" t="s">
        <v>537</v>
      </c>
      <c r="B2451" s="0" t="s">
        <v>72</v>
      </c>
      <c r="C2451" s="0" t="s">
        <v>73</v>
      </c>
      <c r="D2451" s="0" t="n">
        <v>12</v>
      </c>
      <c r="E2451" s="2" t="n">
        <v>40779.7583333333</v>
      </c>
      <c r="F2451" s="0" t="n">
        <v>2.69</v>
      </c>
      <c r="G2451" s="0" t="n">
        <v>16902</v>
      </c>
      <c r="H2451" s="3" t="s">
        <v>14</v>
      </c>
      <c r="I2451" s="4" t="n">
        <f aca="false">D2451*F2451</f>
        <v>32.28</v>
      </c>
      <c r="J2451" s="3" t="n">
        <f aca="false">IF(AND(LEFT(A2451,1)&lt;&gt;"C",D2451&gt;0,F2451&gt;0),1,0)</f>
        <v>1</v>
      </c>
      <c r="K2451" s="3" t="n">
        <f aca="false">IF(AND(H2451="United Kingdom",G2451&lt;&gt;"",COUNTIFS($G$2:G2451,G2451,$H$2:H2451,"United Kingdom")=1),1,0)</f>
        <v>0</v>
      </c>
    </row>
    <row r="2452" customFormat="false" ht="15" hidden="false" customHeight="false" outlineLevel="0" collapsed="false">
      <c r="A2452" s="0" t="s">
        <v>537</v>
      </c>
      <c r="B2452" s="0" t="s">
        <v>48</v>
      </c>
      <c r="C2452" s="0" t="s">
        <v>49</v>
      </c>
      <c r="D2452" s="0" t="n">
        <v>72</v>
      </c>
      <c r="E2452" s="2" t="n">
        <v>40779.7583333333</v>
      </c>
      <c r="F2452" s="0" t="n">
        <v>1.35</v>
      </c>
      <c r="G2452" s="0" t="n">
        <v>16902</v>
      </c>
      <c r="H2452" s="3" t="s">
        <v>14</v>
      </c>
      <c r="I2452" s="4" t="n">
        <f aca="false">D2452*F2452</f>
        <v>97.2</v>
      </c>
      <c r="J2452" s="3" t="n">
        <f aca="false">IF(AND(LEFT(A2452,1)&lt;&gt;"C",D2452&gt;0,F2452&gt;0),1,0)</f>
        <v>1</v>
      </c>
      <c r="K2452" s="3" t="n">
        <f aca="false">IF(AND(H2452="United Kingdom",G2452&lt;&gt;"",COUNTIFS($G$2:G2452,G2452,$H$2:H2452,"United Kingdom")=1),1,0)</f>
        <v>0</v>
      </c>
    </row>
    <row r="2453" customFormat="false" ht="15" hidden="false" customHeight="false" outlineLevel="0" collapsed="false">
      <c r="A2453" s="0" t="s">
        <v>537</v>
      </c>
      <c r="B2453" s="0" t="s">
        <v>17</v>
      </c>
      <c r="C2453" s="0" t="s">
        <v>18</v>
      </c>
      <c r="D2453" s="0" t="n">
        <v>192</v>
      </c>
      <c r="E2453" s="2" t="n">
        <v>40779.7583333333</v>
      </c>
      <c r="F2453" s="0" t="n">
        <v>1.92</v>
      </c>
      <c r="G2453" s="0" t="n">
        <v>16902</v>
      </c>
      <c r="H2453" s="3" t="s">
        <v>14</v>
      </c>
      <c r="I2453" s="4" t="n">
        <f aca="false">D2453*F2453</f>
        <v>368.64</v>
      </c>
      <c r="J2453" s="3" t="n">
        <f aca="false">IF(AND(LEFT(A2453,1)&lt;&gt;"C",D2453&gt;0,F2453&gt;0),1,0)</f>
        <v>1</v>
      </c>
      <c r="K2453" s="3" t="n">
        <f aca="false">IF(AND(H2453="United Kingdom",G2453&lt;&gt;"",COUNTIFS($G$2:G2453,G2453,$H$2:H2453,"United Kingdom")=1),1,0)</f>
        <v>0</v>
      </c>
    </row>
    <row r="2454" customFormat="false" ht="15" hidden="false" customHeight="false" outlineLevel="0" collapsed="false">
      <c r="A2454" s="0" t="s">
        <v>537</v>
      </c>
      <c r="B2454" s="0" t="s">
        <v>29</v>
      </c>
      <c r="C2454" s="0" t="s">
        <v>30</v>
      </c>
      <c r="D2454" s="0" t="n">
        <v>144</v>
      </c>
      <c r="E2454" s="2" t="n">
        <v>40779.7583333333</v>
      </c>
      <c r="F2454" s="0" t="n">
        <v>5.79</v>
      </c>
      <c r="G2454" s="0" t="n">
        <v>16902</v>
      </c>
      <c r="H2454" s="3" t="s">
        <v>14</v>
      </c>
      <c r="I2454" s="4" t="n">
        <f aca="false">D2454*F2454</f>
        <v>833.76</v>
      </c>
      <c r="J2454" s="3" t="n">
        <f aca="false">IF(AND(LEFT(A2454,1)&lt;&gt;"C",D2454&gt;0,F2454&gt;0),1,0)</f>
        <v>1</v>
      </c>
      <c r="K2454" s="3" t="n">
        <f aca="false">IF(AND(H2454="United Kingdom",G2454&lt;&gt;"",COUNTIFS($G$2:G2454,G2454,$H$2:H2454,"United Kingdom")=1),1,0)</f>
        <v>0</v>
      </c>
    </row>
    <row r="2455" customFormat="false" ht="15" hidden="false" customHeight="false" outlineLevel="0" collapsed="false">
      <c r="A2455" s="0" t="s">
        <v>537</v>
      </c>
      <c r="B2455" s="0" t="s">
        <v>54</v>
      </c>
      <c r="C2455" s="0" t="s">
        <v>55</v>
      </c>
      <c r="D2455" s="0" t="n">
        <v>24</v>
      </c>
      <c r="E2455" s="2" t="n">
        <v>40779.7583333333</v>
      </c>
      <c r="F2455" s="0" t="n">
        <v>0.99</v>
      </c>
      <c r="G2455" s="0" t="n">
        <v>16902</v>
      </c>
      <c r="H2455" s="3" t="s">
        <v>14</v>
      </c>
      <c r="I2455" s="4" t="n">
        <f aca="false">D2455*F2455</f>
        <v>23.76</v>
      </c>
      <c r="J2455" s="3" t="n">
        <f aca="false">IF(AND(LEFT(A2455,1)&lt;&gt;"C",D2455&gt;0,F2455&gt;0),1,0)</f>
        <v>1</v>
      </c>
      <c r="K2455" s="3" t="n">
        <f aca="false">IF(AND(H2455="United Kingdom",G2455&lt;&gt;"",COUNTIFS($G$2:G2455,G2455,$H$2:H2455,"United Kingdom")=1),1,0)</f>
        <v>0</v>
      </c>
    </row>
    <row r="2456" customFormat="false" ht="15" hidden="false" customHeight="false" outlineLevel="0" collapsed="false">
      <c r="A2456" s="0" t="s">
        <v>537</v>
      </c>
      <c r="B2456" s="0" t="s">
        <v>15</v>
      </c>
      <c r="C2456" s="0" t="s">
        <v>16</v>
      </c>
      <c r="D2456" s="0" t="n">
        <v>216</v>
      </c>
      <c r="E2456" s="2" t="n">
        <v>40779.7583333333</v>
      </c>
      <c r="F2456" s="0" t="n">
        <v>3.18</v>
      </c>
      <c r="G2456" s="0" t="n">
        <v>16902</v>
      </c>
      <c r="H2456" s="3" t="s">
        <v>14</v>
      </c>
      <c r="I2456" s="4" t="n">
        <f aca="false">D2456*F2456</f>
        <v>686.88</v>
      </c>
      <c r="J2456" s="3" t="n">
        <f aca="false">IF(AND(LEFT(A2456,1)&lt;&gt;"C",D2456&gt;0,F2456&gt;0),1,0)</f>
        <v>1</v>
      </c>
      <c r="K2456" s="3" t="n">
        <f aca="false">IF(AND(H2456="United Kingdom",G2456&lt;&gt;"",COUNTIFS($G$2:G2456,G2456,$H$2:H2456,"United Kingdom")=1),1,0)</f>
        <v>0</v>
      </c>
    </row>
    <row r="2457" customFormat="false" ht="15" hidden="false" customHeight="false" outlineLevel="0" collapsed="false">
      <c r="A2457" s="0" t="s">
        <v>537</v>
      </c>
      <c r="B2457" s="0" t="s">
        <v>60</v>
      </c>
      <c r="C2457" s="0" t="s">
        <v>61</v>
      </c>
      <c r="D2457" s="0" t="n">
        <v>24</v>
      </c>
      <c r="E2457" s="2" t="n">
        <v>40779.7583333333</v>
      </c>
      <c r="F2457" s="0" t="n">
        <v>0.63</v>
      </c>
      <c r="G2457" s="0" t="n">
        <v>16902</v>
      </c>
      <c r="H2457" s="3" t="s">
        <v>14</v>
      </c>
      <c r="I2457" s="4" t="n">
        <f aca="false">D2457*F2457</f>
        <v>15.12</v>
      </c>
      <c r="J2457" s="3" t="n">
        <f aca="false">IF(AND(LEFT(A2457,1)&lt;&gt;"C",D2457&gt;0,F2457&gt;0),1,0)</f>
        <v>1</v>
      </c>
      <c r="K2457" s="3" t="n">
        <f aca="false">IF(AND(H2457="United Kingdom",G2457&lt;&gt;"",COUNTIFS($G$2:G2457,G2457,$H$2:H2457,"United Kingdom")=1),1,0)</f>
        <v>0</v>
      </c>
    </row>
    <row r="2458" customFormat="false" ht="15" hidden="false" customHeight="false" outlineLevel="0" collapsed="false">
      <c r="A2458" s="0" t="s">
        <v>538</v>
      </c>
      <c r="B2458" s="0" t="s">
        <v>77</v>
      </c>
      <c r="C2458" s="0" t="s">
        <v>78</v>
      </c>
      <c r="D2458" s="0" t="n">
        <v>3</v>
      </c>
      <c r="E2458" s="2" t="n">
        <v>40780.7201388889</v>
      </c>
      <c r="F2458" s="0" t="n">
        <v>3.41</v>
      </c>
      <c r="G2458" s="0" t="n">
        <v>13246</v>
      </c>
      <c r="H2458" s="3" t="s">
        <v>14</v>
      </c>
      <c r="I2458" s="4" t="n">
        <f aca="false">D2458*F2458</f>
        <v>10.23</v>
      </c>
      <c r="J2458" s="3" t="n">
        <f aca="false">IF(AND(LEFT(A2458,1)&lt;&gt;"C",D2458&gt;0,F2458&gt;0),1,0)</f>
        <v>1</v>
      </c>
      <c r="K2458" s="3" t="n">
        <f aca="false">IF(AND(H2458="United Kingdom",G2458&lt;&gt;"",COUNTIFS($G$2:G2458,G2458,$H$2:H2458,"United Kingdom")=1),1,0)</f>
        <v>0</v>
      </c>
    </row>
    <row r="2459" customFormat="false" ht="15" hidden="false" customHeight="false" outlineLevel="0" collapsed="false">
      <c r="A2459" s="0" t="s">
        <v>538</v>
      </c>
      <c r="B2459" s="0" t="s">
        <v>58</v>
      </c>
      <c r="C2459" s="0" t="s">
        <v>59</v>
      </c>
      <c r="D2459" s="0" t="n">
        <v>2</v>
      </c>
      <c r="E2459" s="2" t="n">
        <v>40780.7201388889</v>
      </c>
      <c r="F2459" s="0" t="n">
        <v>2.16</v>
      </c>
      <c r="G2459" s="0" t="n">
        <v>13246</v>
      </c>
      <c r="H2459" s="3" t="s">
        <v>14</v>
      </c>
      <c r="I2459" s="4" t="n">
        <f aca="false">D2459*F2459</f>
        <v>4.32</v>
      </c>
      <c r="J2459" s="3" t="n">
        <f aca="false">IF(AND(LEFT(A2459,1)&lt;&gt;"C",D2459&gt;0,F2459&gt;0),1,0)</f>
        <v>1</v>
      </c>
      <c r="K2459" s="3" t="n">
        <f aca="false">IF(AND(H2459="United Kingdom",G2459&lt;&gt;"",COUNTIFS($G$2:G2459,G2459,$H$2:H2459,"United Kingdom")=1),1,0)</f>
        <v>0</v>
      </c>
    </row>
    <row r="2460" customFormat="false" ht="15" hidden="false" customHeight="false" outlineLevel="0" collapsed="false">
      <c r="A2460" s="0" t="s">
        <v>538</v>
      </c>
      <c r="B2460" s="0" t="s">
        <v>15</v>
      </c>
      <c r="C2460" s="0" t="s">
        <v>16</v>
      </c>
      <c r="D2460" s="0" t="n">
        <v>3</v>
      </c>
      <c r="E2460" s="2" t="n">
        <v>40780.7201388889</v>
      </c>
      <c r="F2460" s="0" t="n">
        <v>3.18</v>
      </c>
      <c r="G2460" s="0" t="n">
        <v>13246</v>
      </c>
      <c r="H2460" s="3" t="s">
        <v>14</v>
      </c>
      <c r="I2460" s="4" t="n">
        <f aca="false">D2460*F2460</f>
        <v>9.54</v>
      </c>
      <c r="J2460" s="3" t="n">
        <f aca="false">IF(AND(LEFT(A2460,1)&lt;&gt;"C",D2460&gt;0,F2460&gt;0),1,0)</f>
        <v>1</v>
      </c>
      <c r="K2460" s="3" t="n">
        <f aca="false">IF(AND(H2460="United Kingdom",G2460&lt;&gt;"",COUNTIFS($G$2:G2460,G2460,$H$2:H2460,"United Kingdom")=1),1,0)</f>
        <v>0</v>
      </c>
    </row>
    <row r="2461" customFormat="false" ht="15" hidden="false" customHeight="false" outlineLevel="0" collapsed="false">
      <c r="A2461" s="0" t="s">
        <v>538</v>
      </c>
      <c r="B2461" s="0" t="s">
        <v>117</v>
      </c>
      <c r="C2461" s="0" t="s">
        <v>118</v>
      </c>
      <c r="D2461" s="0" t="n">
        <v>3328</v>
      </c>
      <c r="E2461" s="2" t="n">
        <v>40780.7201388889</v>
      </c>
      <c r="F2461" s="0" t="n">
        <v>3.45</v>
      </c>
      <c r="G2461" s="0" t="n">
        <v>13246</v>
      </c>
      <c r="H2461" s="3" t="s">
        <v>97</v>
      </c>
      <c r="I2461" s="4" t="n">
        <f aca="false">D2461*F2461</f>
        <v>11481.6</v>
      </c>
      <c r="J2461" s="3" t="n">
        <f aca="false">IF(AND(LEFT(A2461,1)&lt;&gt;"C",D2461&gt;0,F2461&gt;0),1,0)</f>
        <v>1</v>
      </c>
      <c r="K2461" s="3" t="n">
        <f aca="false">IF(AND(H2461="United Kingdom",G2461&lt;&gt;"",COUNTIFS($G$2:G2461,G2461,$H$2:H2461,"United Kingdom")=1),1,0)</f>
        <v>0</v>
      </c>
    </row>
    <row r="2462" customFormat="false" ht="15" hidden="false" customHeight="false" outlineLevel="0" collapsed="false">
      <c r="A2462" s="0" t="s">
        <v>539</v>
      </c>
      <c r="B2462" s="0" t="s">
        <v>43</v>
      </c>
      <c r="C2462" s="0" t="s">
        <v>44</v>
      </c>
      <c r="D2462" s="0" t="n">
        <v>6</v>
      </c>
      <c r="E2462" s="2" t="n">
        <v>40781.3506944445</v>
      </c>
      <c r="F2462" s="0" t="n">
        <v>1.35</v>
      </c>
      <c r="G2462" s="0" t="n">
        <v>16238</v>
      </c>
      <c r="H2462" s="3" t="s">
        <v>14</v>
      </c>
      <c r="I2462" s="4" t="n">
        <f aca="false">D2462*F2462</f>
        <v>8.1</v>
      </c>
      <c r="J2462" s="3" t="n">
        <f aca="false">IF(AND(LEFT(A2462,1)&lt;&gt;"C",D2462&gt;0,F2462&gt;0),1,0)</f>
        <v>1</v>
      </c>
      <c r="K2462" s="3" t="n">
        <f aca="false">IF(AND(H2462="United Kingdom",G2462&lt;&gt;"",COUNTIFS($G$2:G2462,G2462,$H$2:H2462,"United Kingdom")=1),1,0)</f>
        <v>0</v>
      </c>
    </row>
    <row r="2463" customFormat="false" ht="15" hidden="false" customHeight="false" outlineLevel="0" collapsed="false">
      <c r="A2463" s="0" t="s">
        <v>539</v>
      </c>
      <c r="B2463" s="0" t="s">
        <v>77</v>
      </c>
      <c r="C2463" s="0" t="s">
        <v>78</v>
      </c>
      <c r="D2463" s="0" t="n">
        <v>2</v>
      </c>
      <c r="E2463" s="2" t="n">
        <v>40781.3506944445</v>
      </c>
      <c r="F2463" s="0" t="n">
        <v>3.41</v>
      </c>
      <c r="G2463" s="0" t="n">
        <v>16238</v>
      </c>
      <c r="H2463" s="3" t="s">
        <v>14</v>
      </c>
      <c r="I2463" s="4" t="n">
        <f aca="false">D2463*F2463</f>
        <v>6.82</v>
      </c>
      <c r="J2463" s="3" t="n">
        <f aca="false">IF(AND(LEFT(A2463,1)&lt;&gt;"C",D2463&gt;0,F2463&gt;0),1,0)</f>
        <v>1</v>
      </c>
      <c r="K2463" s="3" t="n">
        <f aca="false">IF(AND(H2463="United Kingdom",G2463&lt;&gt;"",COUNTIFS($G$2:G2463,G2463,$H$2:H2463,"United Kingdom")=1),1,0)</f>
        <v>0</v>
      </c>
    </row>
    <row r="2464" customFormat="false" ht="15" hidden="false" customHeight="false" outlineLevel="0" collapsed="false">
      <c r="A2464" s="0" t="s">
        <v>539</v>
      </c>
      <c r="B2464" s="0" t="s">
        <v>90</v>
      </c>
      <c r="C2464" s="0" t="s">
        <v>91</v>
      </c>
      <c r="D2464" s="0" t="n">
        <v>6</v>
      </c>
      <c r="E2464" s="2" t="n">
        <v>40781.3506944445</v>
      </c>
      <c r="F2464" s="0" t="n">
        <v>3.04</v>
      </c>
      <c r="G2464" s="0" t="n">
        <v>16238</v>
      </c>
      <c r="H2464" s="3" t="s">
        <v>14</v>
      </c>
      <c r="I2464" s="4" t="n">
        <f aca="false">D2464*F2464</f>
        <v>18.24</v>
      </c>
      <c r="J2464" s="3" t="n">
        <f aca="false">IF(AND(LEFT(A2464,1)&lt;&gt;"C",D2464&gt;0,F2464&gt;0),1,0)</f>
        <v>1</v>
      </c>
      <c r="K2464" s="3" t="n">
        <f aca="false">IF(AND(H2464="United Kingdom",G2464&lt;&gt;"",COUNTIFS($G$2:G2464,G2464,$H$2:H2464,"United Kingdom")=1),1,0)</f>
        <v>0</v>
      </c>
    </row>
    <row r="2465" customFormat="false" ht="15" hidden="false" customHeight="false" outlineLevel="0" collapsed="false">
      <c r="A2465" s="0" t="s">
        <v>539</v>
      </c>
      <c r="B2465" s="0" t="s">
        <v>113</v>
      </c>
      <c r="C2465" s="0" t="s">
        <v>114</v>
      </c>
      <c r="D2465" s="0" t="n">
        <v>8</v>
      </c>
      <c r="E2465" s="2" t="n">
        <v>40781.3506944445</v>
      </c>
      <c r="F2465" s="0" t="n">
        <v>3.57</v>
      </c>
      <c r="G2465" s="0" t="n">
        <v>16238</v>
      </c>
      <c r="H2465" s="3" t="s">
        <v>14</v>
      </c>
      <c r="I2465" s="4" t="n">
        <f aca="false">D2465*F2465</f>
        <v>28.56</v>
      </c>
      <c r="J2465" s="3" t="n">
        <f aca="false">IF(AND(LEFT(A2465,1)&lt;&gt;"C",D2465&gt;0,F2465&gt;0),1,0)</f>
        <v>1</v>
      </c>
      <c r="K2465" s="3" t="n">
        <f aca="false">IF(AND(H2465="United Kingdom",G2465&lt;&gt;"",COUNTIFS($G$2:G2465,G2465,$H$2:H2465,"United Kingdom")=1),1,0)</f>
        <v>0</v>
      </c>
    </row>
    <row r="2466" customFormat="false" ht="15" hidden="false" customHeight="false" outlineLevel="0" collapsed="false">
      <c r="A2466" s="0" t="s">
        <v>539</v>
      </c>
      <c r="B2466" s="0" t="s">
        <v>54</v>
      </c>
      <c r="C2466" s="0" t="s">
        <v>55</v>
      </c>
      <c r="D2466" s="0" t="n">
        <v>2</v>
      </c>
      <c r="E2466" s="2" t="n">
        <v>40781.3506944445</v>
      </c>
      <c r="F2466" s="0" t="n">
        <v>0.99</v>
      </c>
      <c r="G2466" s="0" t="n">
        <v>16238</v>
      </c>
      <c r="H2466" s="3" t="s">
        <v>14</v>
      </c>
      <c r="I2466" s="4" t="n">
        <f aca="false">D2466*F2466</f>
        <v>1.98</v>
      </c>
      <c r="J2466" s="3" t="n">
        <f aca="false">IF(AND(LEFT(A2466,1)&lt;&gt;"C",D2466&gt;0,F2466&gt;0),1,0)</f>
        <v>1</v>
      </c>
      <c r="K2466" s="3" t="n">
        <f aca="false">IF(AND(H2466="United Kingdom",G2466&lt;&gt;"",COUNTIFS($G$2:G2466,G2466,$H$2:H2466,"United Kingdom")=1),1,0)</f>
        <v>0</v>
      </c>
    </row>
    <row r="2467" customFormat="false" ht="15" hidden="false" customHeight="false" outlineLevel="0" collapsed="false">
      <c r="A2467" s="0" t="s">
        <v>539</v>
      </c>
      <c r="B2467" s="0" t="s">
        <v>60</v>
      </c>
      <c r="C2467" s="0" t="s">
        <v>61</v>
      </c>
      <c r="D2467" s="0" t="n">
        <v>8</v>
      </c>
      <c r="E2467" s="2" t="n">
        <v>40781.3506944445</v>
      </c>
      <c r="F2467" s="0" t="n">
        <v>0.63</v>
      </c>
      <c r="G2467" s="0" t="n">
        <v>16238</v>
      </c>
      <c r="H2467" s="3" t="s">
        <v>14</v>
      </c>
      <c r="I2467" s="4" t="n">
        <f aca="false">D2467*F2467</f>
        <v>5.04</v>
      </c>
      <c r="J2467" s="3" t="n">
        <f aca="false">IF(AND(LEFT(A2467,1)&lt;&gt;"C",D2467&gt;0,F2467&gt;0),1,0)</f>
        <v>1</v>
      </c>
      <c r="K2467" s="3" t="n">
        <f aca="false">IF(AND(H2467="United Kingdom",G2467&lt;&gt;"",COUNTIFS($G$2:G2467,G2467,$H$2:H2467,"United Kingdom")=1),1,0)</f>
        <v>0</v>
      </c>
    </row>
    <row r="2468" customFormat="false" ht="15" hidden="false" customHeight="false" outlineLevel="0" collapsed="false">
      <c r="A2468" s="0" t="s">
        <v>539</v>
      </c>
      <c r="B2468" s="0" t="s">
        <v>17</v>
      </c>
      <c r="C2468" s="0" t="s">
        <v>18</v>
      </c>
      <c r="D2468" s="0" t="n">
        <v>3</v>
      </c>
      <c r="E2468" s="2" t="n">
        <v>40781.3506944445</v>
      </c>
      <c r="F2468" s="0" t="n">
        <v>1.92</v>
      </c>
      <c r="G2468" s="0" t="n">
        <v>16238</v>
      </c>
      <c r="H2468" s="3" t="s">
        <v>14</v>
      </c>
      <c r="I2468" s="4" t="n">
        <f aca="false">D2468*F2468</f>
        <v>5.76</v>
      </c>
      <c r="J2468" s="3" t="n">
        <f aca="false">IF(AND(LEFT(A2468,1)&lt;&gt;"C",D2468&gt;0,F2468&gt;0),1,0)</f>
        <v>1</v>
      </c>
      <c r="K2468" s="3" t="n">
        <f aca="false">IF(AND(H2468="United Kingdom",G2468&lt;&gt;"",COUNTIFS($G$2:G2468,G2468,$H$2:H2468,"United Kingdom")=1),1,0)</f>
        <v>0</v>
      </c>
    </row>
    <row r="2469" customFormat="false" ht="15" hidden="false" customHeight="false" outlineLevel="0" collapsed="false">
      <c r="A2469" s="0" t="s">
        <v>539</v>
      </c>
      <c r="B2469" s="0" t="s">
        <v>32</v>
      </c>
      <c r="C2469" s="0" t="s">
        <v>33</v>
      </c>
      <c r="D2469" s="0" t="n">
        <v>2</v>
      </c>
      <c r="E2469" s="2" t="n">
        <v>40781.3506944445</v>
      </c>
      <c r="F2469" s="0" t="n">
        <v>1.19</v>
      </c>
      <c r="G2469" s="0" t="n">
        <v>16238</v>
      </c>
      <c r="H2469" s="3" t="s">
        <v>14</v>
      </c>
      <c r="I2469" s="4" t="n">
        <f aca="false">D2469*F2469</f>
        <v>2.38</v>
      </c>
      <c r="J2469" s="3" t="n">
        <f aca="false">IF(AND(LEFT(A2469,1)&lt;&gt;"C",D2469&gt;0,F2469&gt;0),1,0)</f>
        <v>1</v>
      </c>
      <c r="K2469" s="3" t="n">
        <f aca="false">IF(AND(H2469="United Kingdom",G2469&lt;&gt;"",COUNTIFS($G$2:G2469,G2469,$H$2:H2469,"United Kingdom")=1),1,0)</f>
        <v>0</v>
      </c>
    </row>
    <row r="2470" customFormat="false" ht="15" hidden="false" customHeight="false" outlineLevel="0" collapsed="false">
      <c r="A2470" s="0" t="s">
        <v>539</v>
      </c>
      <c r="B2470" s="0" t="s">
        <v>80</v>
      </c>
      <c r="C2470" s="0" t="s">
        <v>81</v>
      </c>
      <c r="D2470" s="0" t="n">
        <v>24</v>
      </c>
      <c r="E2470" s="2" t="n">
        <v>40781.3506944445</v>
      </c>
      <c r="F2470" s="0" t="n">
        <v>1.53</v>
      </c>
      <c r="G2470" s="0" t="n">
        <v>16238</v>
      </c>
      <c r="H2470" s="3" t="s">
        <v>14</v>
      </c>
      <c r="I2470" s="4" t="n">
        <f aca="false">D2470*F2470</f>
        <v>36.72</v>
      </c>
      <c r="J2470" s="3" t="n">
        <f aca="false">IF(AND(LEFT(A2470,1)&lt;&gt;"C",D2470&gt;0,F2470&gt;0),1,0)</f>
        <v>1</v>
      </c>
      <c r="K2470" s="3" t="n">
        <f aca="false">IF(AND(H2470="United Kingdom",G2470&lt;&gt;"",COUNTIFS($G$2:G2470,G2470,$H$2:H2470,"United Kingdom")=1),1,0)</f>
        <v>0</v>
      </c>
    </row>
    <row r="2471" customFormat="false" ht="15" hidden="false" customHeight="false" outlineLevel="0" collapsed="false">
      <c r="A2471" s="0" t="s">
        <v>539</v>
      </c>
      <c r="B2471" s="0" t="s">
        <v>68</v>
      </c>
      <c r="C2471" s="0" t="s">
        <v>69</v>
      </c>
      <c r="D2471" s="0" t="n">
        <v>2</v>
      </c>
      <c r="E2471" s="2" t="n">
        <v>40781.3506944445</v>
      </c>
      <c r="F2471" s="0" t="n">
        <v>1.26</v>
      </c>
      <c r="G2471" s="0" t="n">
        <v>16238</v>
      </c>
      <c r="H2471" s="3" t="s">
        <v>14</v>
      </c>
      <c r="I2471" s="4" t="n">
        <f aca="false">D2471*F2471</f>
        <v>2.52</v>
      </c>
      <c r="J2471" s="3" t="n">
        <f aca="false">IF(AND(LEFT(A2471,1)&lt;&gt;"C",D2471&gt;0,F2471&gt;0),1,0)</f>
        <v>1</v>
      </c>
      <c r="K2471" s="3" t="n">
        <f aca="false">IF(AND(H2471="United Kingdom",G2471&lt;&gt;"",COUNTIFS($G$2:G2471,G2471,$H$2:H2471,"United Kingdom")=1),1,0)</f>
        <v>0</v>
      </c>
    </row>
    <row r="2472" customFormat="false" ht="15" hidden="false" customHeight="false" outlineLevel="0" collapsed="false">
      <c r="A2472" s="0" t="s">
        <v>539</v>
      </c>
      <c r="B2472" s="0" t="s">
        <v>50</v>
      </c>
      <c r="C2472" s="0" t="s">
        <v>51</v>
      </c>
      <c r="D2472" s="0" t="n">
        <v>2</v>
      </c>
      <c r="E2472" s="2" t="n">
        <v>40781.3506944445</v>
      </c>
      <c r="F2472" s="0" t="n">
        <v>5.41</v>
      </c>
      <c r="G2472" s="0" t="n">
        <v>16238</v>
      </c>
      <c r="H2472" s="3" t="s">
        <v>14</v>
      </c>
      <c r="I2472" s="4" t="n">
        <f aca="false">D2472*F2472</f>
        <v>10.82</v>
      </c>
      <c r="J2472" s="3" t="n">
        <f aca="false">IF(AND(LEFT(A2472,1)&lt;&gt;"C",D2472&gt;0,F2472&gt;0),1,0)</f>
        <v>1</v>
      </c>
      <c r="K2472" s="3" t="n">
        <f aca="false">IF(AND(H2472="United Kingdom",G2472&lt;&gt;"",COUNTIFS($G$2:G2472,G2472,$H$2:H2472,"United Kingdom")=1),1,0)</f>
        <v>0</v>
      </c>
    </row>
    <row r="2473" customFormat="false" ht="15" hidden="false" customHeight="false" outlineLevel="0" collapsed="false">
      <c r="A2473" s="0" t="s">
        <v>539</v>
      </c>
      <c r="B2473" s="0" t="s">
        <v>12</v>
      </c>
      <c r="C2473" s="0" t="s">
        <v>13</v>
      </c>
      <c r="D2473" s="0" t="n">
        <v>1</v>
      </c>
      <c r="E2473" s="2" t="n">
        <v>40781.3506944445</v>
      </c>
      <c r="F2473" s="0" t="n">
        <v>3.33</v>
      </c>
      <c r="G2473" s="0" t="n">
        <v>16238</v>
      </c>
      <c r="H2473" s="3" t="s">
        <v>14</v>
      </c>
      <c r="I2473" s="4" t="n">
        <f aca="false">D2473*F2473</f>
        <v>3.33</v>
      </c>
      <c r="J2473" s="3" t="n">
        <f aca="false">IF(AND(LEFT(A2473,1)&lt;&gt;"C",D2473&gt;0,F2473&gt;0),1,0)</f>
        <v>1</v>
      </c>
      <c r="K2473" s="3" t="n">
        <f aca="false">IF(AND(H2473="United Kingdom",G2473&lt;&gt;"",COUNTIFS($G$2:G2473,G2473,$H$2:H2473,"United Kingdom")=1),1,0)</f>
        <v>0</v>
      </c>
    </row>
    <row r="2474" customFormat="false" ht="15" hidden="false" customHeight="false" outlineLevel="0" collapsed="false">
      <c r="A2474" s="0" t="s">
        <v>539</v>
      </c>
      <c r="B2474" s="0" t="s">
        <v>27</v>
      </c>
      <c r="C2474" s="0" t="s">
        <v>28</v>
      </c>
      <c r="D2474" s="0" t="n">
        <v>2</v>
      </c>
      <c r="E2474" s="2" t="n">
        <v>40781.3506944445</v>
      </c>
      <c r="F2474" s="0" t="n">
        <v>4.55</v>
      </c>
      <c r="G2474" s="0" t="n">
        <v>16238</v>
      </c>
      <c r="H2474" s="3" t="s">
        <v>14</v>
      </c>
      <c r="I2474" s="4" t="n">
        <f aca="false">D2474*F2474</f>
        <v>9.1</v>
      </c>
      <c r="J2474" s="3" t="n">
        <f aca="false">IF(AND(LEFT(A2474,1)&lt;&gt;"C",D2474&gt;0,F2474&gt;0),1,0)</f>
        <v>1</v>
      </c>
      <c r="K2474" s="3" t="n">
        <f aca="false">IF(AND(H2474="United Kingdom",G2474&lt;&gt;"",COUNTIFS($G$2:G2474,G2474,$H$2:H2474,"United Kingdom")=1),1,0)</f>
        <v>0</v>
      </c>
    </row>
    <row r="2475" customFormat="false" ht="15" hidden="false" customHeight="false" outlineLevel="0" collapsed="false">
      <c r="A2475" s="0" t="s">
        <v>539</v>
      </c>
      <c r="B2475" s="0" t="s">
        <v>45</v>
      </c>
      <c r="C2475" s="0" t="s">
        <v>46</v>
      </c>
      <c r="D2475" s="0" t="n">
        <v>4</v>
      </c>
      <c r="E2475" s="2" t="n">
        <v>40781.3506944445</v>
      </c>
      <c r="F2475" s="0" t="n">
        <v>4.55</v>
      </c>
      <c r="G2475" s="0" t="n">
        <v>16238</v>
      </c>
      <c r="H2475" s="3" t="s">
        <v>14</v>
      </c>
      <c r="I2475" s="4" t="n">
        <f aca="false">D2475*F2475</f>
        <v>18.2</v>
      </c>
      <c r="J2475" s="3" t="n">
        <f aca="false">IF(AND(LEFT(A2475,1)&lt;&gt;"C",D2475&gt;0,F2475&gt;0),1,0)</f>
        <v>1</v>
      </c>
      <c r="K2475" s="3" t="n">
        <f aca="false">IF(AND(H2475="United Kingdom",G2475&lt;&gt;"",COUNTIFS($G$2:G2475,G2475,$H$2:H2475,"United Kingdom")=1),1,0)</f>
        <v>0</v>
      </c>
    </row>
    <row r="2476" customFormat="false" ht="15" hidden="false" customHeight="false" outlineLevel="0" collapsed="false">
      <c r="A2476" s="0" t="s">
        <v>539</v>
      </c>
      <c r="B2476" s="0" t="s">
        <v>52</v>
      </c>
      <c r="C2476" s="0" t="s">
        <v>53</v>
      </c>
      <c r="D2476" s="0" t="n">
        <v>12</v>
      </c>
      <c r="E2476" s="2" t="n">
        <v>40781.3506944445</v>
      </c>
      <c r="F2476" s="0" t="n">
        <v>4.16</v>
      </c>
      <c r="G2476" s="0" t="n">
        <v>16238</v>
      </c>
      <c r="H2476" s="3" t="s">
        <v>14</v>
      </c>
      <c r="I2476" s="4" t="n">
        <f aca="false">D2476*F2476</f>
        <v>49.92</v>
      </c>
      <c r="J2476" s="3" t="n">
        <f aca="false">IF(AND(LEFT(A2476,1)&lt;&gt;"C",D2476&gt;0,F2476&gt;0),1,0)</f>
        <v>1</v>
      </c>
      <c r="K2476" s="3" t="n">
        <f aca="false">IF(AND(H2476="United Kingdom",G2476&lt;&gt;"",COUNTIFS($G$2:G2476,G2476,$H$2:H2476,"United Kingdom")=1),1,0)</f>
        <v>0</v>
      </c>
    </row>
    <row r="2477" customFormat="false" ht="15" hidden="false" customHeight="false" outlineLevel="0" collapsed="false">
      <c r="A2477" s="0" t="s">
        <v>539</v>
      </c>
      <c r="B2477" s="0" t="s">
        <v>29</v>
      </c>
      <c r="C2477" s="0" t="s">
        <v>30</v>
      </c>
      <c r="D2477" s="0" t="n">
        <v>6</v>
      </c>
      <c r="E2477" s="2" t="n">
        <v>40781.3506944445</v>
      </c>
      <c r="F2477" s="0" t="n">
        <v>5.79</v>
      </c>
      <c r="G2477" s="0" t="n">
        <v>16238</v>
      </c>
      <c r="H2477" s="3" t="s">
        <v>14</v>
      </c>
      <c r="I2477" s="4" t="n">
        <f aca="false">D2477*F2477</f>
        <v>34.74</v>
      </c>
      <c r="J2477" s="3" t="n">
        <f aca="false">IF(AND(LEFT(A2477,1)&lt;&gt;"C",D2477&gt;0,F2477&gt;0),1,0)</f>
        <v>1</v>
      </c>
      <c r="K2477" s="3" t="n">
        <f aca="false">IF(AND(H2477="United Kingdom",G2477&lt;&gt;"",COUNTIFS($G$2:G2477,G2477,$H$2:H2477,"United Kingdom")=1),1,0)</f>
        <v>0</v>
      </c>
    </row>
    <row r="2478" customFormat="false" ht="15" hidden="false" customHeight="false" outlineLevel="0" collapsed="false">
      <c r="A2478" s="0" t="s">
        <v>540</v>
      </c>
      <c r="B2478" s="0" t="s">
        <v>50</v>
      </c>
      <c r="C2478" s="0" t="s">
        <v>51</v>
      </c>
      <c r="D2478" s="0" t="n">
        <v>12</v>
      </c>
      <c r="E2478" s="2" t="n">
        <v>40781.3826388889</v>
      </c>
      <c r="F2478" s="0" t="n">
        <v>5.41</v>
      </c>
      <c r="G2478" s="0" t="n">
        <v>16884</v>
      </c>
      <c r="H2478" s="3" t="s">
        <v>14</v>
      </c>
      <c r="I2478" s="4" t="n">
        <f aca="false">D2478*F2478</f>
        <v>64.92</v>
      </c>
      <c r="J2478" s="3" t="n">
        <f aca="false">IF(AND(LEFT(A2478,1)&lt;&gt;"C",D2478&gt;0,F2478&gt;0),1,0)</f>
        <v>1</v>
      </c>
      <c r="K2478" s="3" t="n">
        <f aca="false">IF(AND(H2478="United Kingdom",G2478&lt;&gt;"",COUNTIFS($G$2:G2478,G2478,$H$2:H2478,"United Kingdom")=1),1,0)</f>
        <v>0</v>
      </c>
    </row>
    <row r="2479" customFormat="false" ht="15" hidden="false" customHeight="false" outlineLevel="0" collapsed="false">
      <c r="A2479" s="0" t="s">
        <v>540</v>
      </c>
      <c r="B2479" s="0" t="s">
        <v>17</v>
      </c>
      <c r="C2479" s="0" t="s">
        <v>18</v>
      </c>
      <c r="D2479" s="0" t="n">
        <v>16</v>
      </c>
      <c r="E2479" s="2" t="n">
        <v>40781.3826388889</v>
      </c>
      <c r="F2479" s="0" t="n">
        <v>1.92</v>
      </c>
      <c r="G2479" s="0" t="n">
        <v>16884</v>
      </c>
      <c r="H2479" s="3" t="s">
        <v>14</v>
      </c>
      <c r="I2479" s="4" t="n">
        <f aca="false">D2479*F2479</f>
        <v>30.72</v>
      </c>
      <c r="J2479" s="3" t="n">
        <f aca="false">IF(AND(LEFT(A2479,1)&lt;&gt;"C",D2479&gt;0,F2479&gt;0),1,0)</f>
        <v>1</v>
      </c>
      <c r="K2479" s="3" t="n">
        <f aca="false">IF(AND(H2479="United Kingdom",G2479&lt;&gt;"",COUNTIFS($G$2:G2479,G2479,$H$2:H2479,"United Kingdom")=1),1,0)</f>
        <v>0</v>
      </c>
    </row>
    <row r="2480" customFormat="false" ht="15" hidden="false" customHeight="false" outlineLevel="0" collapsed="false">
      <c r="A2480" s="0" t="s">
        <v>540</v>
      </c>
      <c r="B2480" s="0" t="s">
        <v>58</v>
      </c>
      <c r="C2480" s="0" t="s">
        <v>59</v>
      </c>
      <c r="D2480" s="0" t="n">
        <v>3</v>
      </c>
      <c r="E2480" s="2" t="n">
        <v>40781.3826388889</v>
      </c>
      <c r="F2480" s="0" t="n">
        <v>2.16</v>
      </c>
      <c r="G2480" s="0" t="n">
        <v>16884</v>
      </c>
      <c r="H2480" s="3" t="s">
        <v>14</v>
      </c>
      <c r="I2480" s="4" t="n">
        <f aca="false">D2480*F2480</f>
        <v>6.48</v>
      </c>
      <c r="J2480" s="3" t="n">
        <f aca="false">IF(AND(LEFT(A2480,1)&lt;&gt;"C",D2480&gt;0,F2480&gt;0),1,0)</f>
        <v>1</v>
      </c>
      <c r="K2480" s="3" t="n">
        <f aca="false">IF(AND(H2480="United Kingdom",G2480&lt;&gt;"",COUNTIFS($G$2:G2480,G2480,$H$2:H2480,"United Kingdom")=1),1,0)</f>
        <v>0</v>
      </c>
    </row>
    <row r="2481" customFormat="false" ht="15" hidden="false" customHeight="false" outlineLevel="0" collapsed="false">
      <c r="A2481" s="0" t="s">
        <v>540</v>
      </c>
      <c r="B2481" s="0" t="s">
        <v>41</v>
      </c>
      <c r="C2481" s="0" t="s">
        <v>42</v>
      </c>
      <c r="D2481" s="0" t="n">
        <v>4</v>
      </c>
      <c r="E2481" s="2" t="n">
        <v>40781.3826388889</v>
      </c>
      <c r="F2481" s="0" t="n">
        <v>3.28</v>
      </c>
      <c r="G2481" s="0" t="n">
        <v>16884</v>
      </c>
      <c r="H2481" s="3" t="s">
        <v>14</v>
      </c>
      <c r="I2481" s="4" t="n">
        <f aca="false">D2481*F2481</f>
        <v>13.12</v>
      </c>
      <c r="J2481" s="3" t="n">
        <f aca="false">IF(AND(LEFT(A2481,1)&lt;&gt;"C",D2481&gt;0,F2481&gt;0),1,0)</f>
        <v>1</v>
      </c>
      <c r="K2481" s="3" t="n">
        <f aca="false">IF(AND(H2481="United Kingdom",G2481&lt;&gt;"",COUNTIFS($G$2:G2481,G2481,$H$2:H2481,"United Kingdom")=1),1,0)</f>
        <v>0</v>
      </c>
    </row>
    <row r="2482" customFormat="false" ht="15" hidden="false" customHeight="false" outlineLevel="0" collapsed="false">
      <c r="A2482" s="0" t="s">
        <v>540</v>
      </c>
      <c r="B2482" s="0" t="s">
        <v>68</v>
      </c>
      <c r="C2482" s="0" t="s">
        <v>69</v>
      </c>
      <c r="D2482" s="0" t="n">
        <v>24</v>
      </c>
      <c r="E2482" s="2" t="n">
        <v>40781.3826388889</v>
      </c>
      <c r="F2482" s="0" t="n">
        <v>1.26</v>
      </c>
      <c r="G2482" s="0" t="n">
        <v>16884</v>
      </c>
      <c r="H2482" s="3" t="s">
        <v>14</v>
      </c>
      <c r="I2482" s="4" t="n">
        <f aca="false">D2482*F2482</f>
        <v>30.24</v>
      </c>
      <c r="J2482" s="3" t="n">
        <f aca="false">IF(AND(LEFT(A2482,1)&lt;&gt;"C",D2482&gt;0,F2482&gt;0),1,0)</f>
        <v>1</v>
      </c>
      <c r="K2482" s="3" t="n">
        <f aca="false">IF(AND(H2482="United Kingdom",G2482&lt;&gt;"",COUNTIFS($G$2:G2482,G2482,$H$2:H2482,"United Kingdom")=1),1,0)</f>
        <v>0</v>
      </c>
    </row>
    <row r="2483" customFormat="false" ht="15" hidden="false" customHeight="false" outlineLevel="0" collapsed="false">
      <c r="A2483" s="0" t="s">
        <v>540</v>
      </c>
      <c r="B2483" s="0" t="s">
        <v>32</v>
      </c>
      <c r="C2483" s="0" t="s">
        <v>33</v>
      </c>
      <c r="D2483" s="0" t="n">
        <v>2</v>
      </c>
      <c r="E2483" s="2" t="n">
        <v>40781.3826388889</v>
      </c>
      <c r="F2483" s="0" t="n">
        <v>1.19</v>
      </c>
      <c r="G2483" s="0" t="n">
        <v>16884</v>
      </c>
      <c r="H2483" s="3" t="s">
        <v>14</v>
      </c>
      <c r="I2483" s="4" t="n">
        <f aca="false">D2483*F2483</f>
        <v>2.38</v>
      </c>
      <c r="J2483" s="3" t="n">
        <f aca="false">IF(AND(LEFT(A2483,1)&lt;&gt;"C",D2483&gt;0,F2483&gt;0),1,0)</f>
        <v>1</v>
      </c>
      <c r="K2483" s="3" t="n">
        <f aca="false">IF(AND(H2483="United Kingdom",G2483&lt;&gt;"",COUNTIFS($G$2:G2483,G2483,$H$2:H2483,"United Kingdom")=1),1,0)</f>
        <v>0</v>
      </c>
    </row>
    <row r="2484" customFormat="false" ht="15" hidden="false" customHeight="false" outlineLevel="0" collapsed="false">
      <c r="A2484" s="0" t="s">
        <v>540</v>
      </c>
      <c r="B2484" s="0" t="s">
        <v>52</v>
      </c>
      <c r="C2484" s="0" t="s">
        <v>53</v>
      </c>
      <c r="D2484" s="0" t="n">
        <v>8</v>
      </c>
      <c r="E2484" s="2" t="n">
        <v>40781.3826388889</v>
      </c>
      <c r="F2484" s="0" t="n">
        <v>4.16</v>
      </c>
      <c r="G2484" s="0" t="n">
        <v>16884</v>
      </c>
      <c r="H2484" s="3" t="s">
        <v>14</v>
      </c>
      <c r="I2484" s="4" t="n">
        <f aca="false">D2484*F2484</f>
        <v>33.28</v>
      </c>
      <c r="J2484" s="3" t="n">
        <f aca="false">IF(AND(LEFT(A2484,1)&lt;&gt;"C",D2484&gt;0,F2484&gt;0),1,0)</f>
        <v>1</v>
      </c>
      <c r="K2484" s="3" t="n">
        <f aca="false">IF(AND(H2484="United Kingdom",G2484&lt;&gt;"",COUNTIFS($G$2:G2484,G2484,$H$2:H2484,"United Kingdom")=1),1,0)</f>
        <v>0</v>
      </c>
    </row>
    <row r="2485" customFormat="false" ht="15" hidden="false" customHeight="false" outlineLevel="0" collapsed="false">
      <c r="A2485" s="0" t="s">
        <v>540</v>
      </c>
      <c r="B2485" s="0" t="s">
        <v>39</v>
      </c>
      <c r="C2485" s="0" t="s">
        <v>40</v>
      </c>
      <c r="D2485" s="0" t="n">
        <v>4</v>
      </c>
      <c r="E2485" s="2" t="n">
        <v>40781.3826388889</v>
      </c>
      <c r="F2485" s="0" t="n">
        <v>2.58</v>
      </c>
      <c r="G2485" s="0" t="n">
        <v>16884</v>
      </c>
      <c r="H2485" s="3" t="s">
        <v>14</v>
      </c>
      <c r="I2485" s="4" t="n">
        <f aca="false">D2485*F2485</f>
        <v>10.32</v>
      </c>
      <c r="J2485" s="3" t="n">
        <f aca="false">IF(AND(LEFT(A2485,1)&lt;&gt;"C",D2485&gt;0,F2485&gt;0),1,0)</f>
        <v>1</v>
      </c>
      <c r="K2485" s="3" t="n">
        <f aca="false">IF(AND(H2485="United Kingdom",G2485&lt;&gt;"",COUNTIFS($G$2:G2485,G2485,$H$2:H2485,"United Kingdom")=1),1,0)</f>
        <v>0</v>
      </c>
    </row>
    <row r="2486" customFormat="false" ht="15" hidden="false" customHeight="false" outlineLevel="0" collapsed="false">
      <c r="A2486" s="0" t="s">
        <v>540</v>
      </c>
      <c r="B2486" s="0" t="s">
        <v>60</v>
      </c>
      <c r="C2486" s="0" t="s">
        <v>61</v>
      </c>
      <c r="D2486" s="0" t="n">
        <v>2</v>
      </c>
      <c r="E2486" s="2" t="n">
        <v>40781.3826388889</v>
      </c>
      <c r="F2486" s="0" t="n">
        <v>0.63</v>
      </c>
      <c r="G2486" s="0" t="n">
        <v>16884</v>
      </c>
      <c r="H2486" s="3" t="s">
        <v>14</v>
      </c>
      <c r="I2486" s="4" t="n">
        <f aca="false">D2486*F2486</f>
        <v>1.26</v>
      </c>
      <c r="J2486" s="3" t="n">
        <f aca="false">IF(AND(LEFT(A2486,1)&lt;&gt;"C",D2486&gt;0,F2486&gt;0),1,0)</f>
        <v>1</v>
      </c>
      <c r="K2486" s="3" t="n">
        <f aca="false">IF(AND(H2486="United Kingdom",G2486&lt;&gt;"",COUNTIFS($G$2:G2486,G2486,$H$2:H2486,"United Kingdom")=1),1,0)</f>
        <v>0</v>
      </c>
    </row>
    <row r="2487" customFormat="false" ht="15" hidden="false" customHeight="false" outlineLevel="0" collapsed="false">
      <c r="A2487" s="0" t="s">
        <v>540</v>
      </c>
      <c r="B2487" s="0" t="s">
        <v>12</v>
      </c>
      <c r="C2487" s="0" t="s">
        <v>13</v>
      </c>
      <c r="D2487" s="0" t="n">
        <v>24</v>
      </c>
      <c r="E2487" s="2" t="n">
        <v>40781.3826388889</v>
      </c>
      <c r="F2487" s="0" t="n">
        <v>3.33</v>
      </c>
      <c r="G2487" s="0" t="n">
        <v>16884</v>
      </c>
      <c r="H2487" s="3" t="s">
        <v>14</v>
      </c>
      <c r="I2487" s="4" t="n">
        <f aca="false">D2487*F2487</f>
        <v>79.92</v>
      </c>
      <c r="J2487" s="3" t="n">
        <f aca="false">IF(AND(LEFT(A2487,1)&lt;&gt;"C",D2487&gt;0,F2487&gt;0),1,0)</f>
        <v>1</v>
      </c>
      <c r="K2487" s="3" t="n">
        <f aca="false">IF(AND(H2487="United Kingdom",G2487&lt;&gt;"",COUNTIFS($G$2:G2487,G2487,$H$2:H2487,"United Kingdom")=1),1,0)</f>
        <v>0</v>
      </c>
    </row>
    <row r="2488" customFormat="false" ht="15" hidden="false" customHeight="false" outlineLevel="0" collapsed="false">
      <c r="A2488" s="0" t="s">
        <v>540</v>
      </c>
      <c r="B2488" s="0" t="s">
        <v>75</v>
      </c>
      <c r="C2488" s="0" t="s">
        <v>76</v>
      </c>
      <c r="D2488" s="0" t="n">
        <v>3</v>
      </c>
      <c r="E2488" s="2" t="n">
        <v>40781.3826388889</v>
      </c>
      <c r="F2488" s="0" t="n">
        <v>1.97</v>
      </c>
      <c r="G2488" s="0" t="n">
        <v>16884</v>
      </c>
      <c r="H2488" s="3" t="s">
        <v>14</v>
      </c>
      <c r="I2488" s="4" t="n">
        <f aca="false">D2488*F2488</f>
        <v>5.91</v>
      </c>
      <c r="J2488" s="3" t="n">
        <f aca="false">IF(AND(LEFT(A2488,1)&lt;&gt;"C",D2488&gt;0,F2488&gt;0),1,0)</f>
        <v>1</v>
      </c>
      <c r="K2488" s="3" t="n">
        <f aca="false">IF(AND(H2488="United Kingdom",G2488&lt;&gt;"",COUNTIFS($G$2:G2488,G2488,$H$2:H2488,"United Kingdom")=1),1,0)</f>
        <v>0</v>
      </c>
    </row>
    <row r="2489" customFormat="false" ht="15" hidden="false" customHeight="false" outlineLevel="0" collapsed="false">
      <c r="A2489" s="0" t="s">
        <v>540</v>
      </c>
      <c r="B2489" s="0" t="s">
        <v>113</v>
      </c>
      <c r="C2489" s="0" t="s">
        <v>114</v>
      </c>
      <c r="D2489" s="0" t="n">
        <v>12</v>
      </c>
      <c r="E2489" s="2" t="n">
        <v>40781.3826388889</v>
      </c>
      <c r="F2489" s="0" t="n">
        <v>3.57</v>
      </c>
      <c r="G2489" s="0" t="n">
        <v>16884</v>
      </c>
      <c r="H2489" s="3" t="s">
        <v>14</v>
      </c>
      <c r="I2489" s="4" t="n">
        <f aca="false">D2489*F2489</f>
        <v>42.84</v>
      </c>
      <c r="J2489" s="3" t="n">
        <f aca="false">IF(AND(LEFT(A2489,1)&lt;&gt;"C",D2489&gt;0,F2489&gt;0),1,0)</f>
        <v>1</v>
      </c>
      <c r="K2489" s="3" t="n">
        <f aca="false">IF(AND(H2489="United Kingdom",G2489&lt;&gt;"",COUNTIFS($G$2:G2489,G2489,$H$2:H2489,"United Kingdom")=1),1,0)</f>
        <v>0</v>
      </c>
    </row>
    <row r="2490" customFormat="false" ht="15" hidden="false" customHeight="false" outlineLevel="0" collapsed="false">
      <c r="A2490" s="0" t="s">
        <v>540</v>
      </c>
      <c r="B2490" s="0" t="s">
        <v>80</v>
      </c>
      <c r="C2490" s="0" t="s">
        <v>81</v>
      </c>
      <c r="D2490" s="0" t="n">
        <v>3</v>
      </c>
      <c r="E2490" s="2" t="n">
        <v>40781.3826388889</v>
      </c>
      <c r="F2490" s="0" t="n">
        <v>1.53</v>
      </c>
      <c r="G2490" s="0" t="n">
        <v>16884</v>
      </c>
      <c r="H2490" s="3" t="s">
        <v>14</v>
      </c>
      <c r="I2490" s="4" t="n">
        <f aca="false">D2490*F2490</f>
        <v>4.59</v>
      </c>
      <c r="J2490" s="3" t="n">
        <f aca="false">IF(AND(LEFT(A2490,1)&lt;&gt;"C",D2490&gt;0,F2490&gt;0),1,0)</f>
        <v>1</v>
      </c>
      <c r="K2490" s="3" t="n">
        <f aca="false">IF(AND(H2490="United Kingdom",G2490&lt;&gt;"",COUNTIFS($G$2:G2490,G2490,$H$2:H2490,"United Kingdom")=1),1,0)</f>
        <v>0</v>
      </c>
    </row>
    <row r="2491" customFormat="false" ht="15" hidden="false" customHeight="false" outlineLevel="0" collapsed="false">
      <c r="A2491" s="0" t="s">
        <v>541</v>
      </c>
      <c r="B2491" s="0" t="s">
        <v>39</v>
      </c>
      <c r="C2491" s="0" t="s">
        <v>40</v>
      </c>
      <c r="D2491" s="0" t="n">
        <v>4</v>
      </c>
      <c r="E2491" s="2" t="n">
        <v>40782.5020833333</v>
      </c>
      <c r="F2491" s="0" t="n">
        <v>2.58</v>
      </c>
      <c r="G2491" s="0" t="n">
        <v>14742</v>
      </c>
      <c r="H2491" s="3" t="s">
        <v>14</v>
      </c>
      <c r="I2491" s="4" t="n">
        <f aca="false">D2491*F2491</f>
        <v>10.32</v>
      </c>
      <c r="J2491" s="3" t="n">
        <f aca="false">IF(AND(LEFT(A2491,1)&lt;&gt;"C",D2491&gt;0,F2491&gt;0),1,0)</f>
        <v>1</v>
      </c>
      <c r="K2491" s="3" t="n">
        <f aca="false">IF(AND(H2491="United Kingdom",G2491&lt;&gt;"",COUNTIFS($G$2:G2491,G2491,$H$2:H2491,"United Kingdom")=1),1,0)</f>
        <v>1</v>
      </c>
    </row>
    <row r="2492" customFormat="false" ht="15" hidden="false" customHeight="false" outlineLevel="0" collapsed="false">
      <c r="A2492" s="0" t="s">
        <v>541</v>
      </c>
      <c r="B2492" s="0" t="s">
        <v>113</v>
      </c>
      <c r="C2492" s="0" t="s">
        <v>114</v>
      </c>
      <c r="D2492" s="0" t="n">
        <v>16</v>
      </c>
      <c r="E2492" s="2" t="n">
        <v>40782.5020833333</v>
      </c>
      <c r="F2492" s="0" t="n">
        <v>3.57</v>
      </c>
      <c r="G2492" s="0" t="n">
        <v>14742</v>
      </c>
      <c r="H2492" s="3" t="s">
        <v>14</v>
      </c>
      <c r="I2492" s="4" t="n">
        <f aca="false">D2492*F2492</f>
        <v>57.12</v>
      </c>
      <c r="J2492" s="3" t="n">
        <f aca="false">IF(AND(LEFT(A2492,1)&lt;&gt;"C",D2492&gt;0,F2492&gt;0),1,0)</f>
        <v>1</v>
      </c>
      <c r="K2492" s="3" t="n">
        <f aca="false">IF(AND(H2492="United Kingdom",G2492&lt;&gt;"",COUNTIFS($G$2:G2492,G2492,$H$2:H2492,"United Kingdom")=1),1,0)</f>
        <v>0</v>
      </c>
    </row>
    <row r="2493" customFormat="false" ht="15" hidden="false" customHeight="false" outlineLevel="0" collapsed="false">
      <c r="A2493" s="0" t="s">
        <v>542</v>
      </c>
      <c r="B2493" s="0" t="s">
        <v>22</v>
      </c>
      <c r="C2493" s="0" t="s">
        <v>23</v>
      </c>
      <c r="D2493" s="0" t="n">
        <v>1</v>
      </c>
      <c r="E2493" s="2" t="n">
        <v>40782.5041666667</v>
      </c>
      <c r="F2493" s="0" t="n">
        <v>3.18</v>
      </c>
      <c r="G2493" s="0" t="n">
        <v>18102</v>
      </c>
      <c r="H2493" s="3" t="s">
        <v>14</v>
      </c>
      <c r="I2493" s="4" t="n">
        <f aca="false">D2493*F2493</f>
        <v>3.18</v>
      </c>
      <c r="J2493" s="3" t="n">
        <f aca="false">IF(AND(LEFT(A2493,1)&lt;&gt;"C",D2493&gt;0,F2493&gt;0),1,0)</f>
        <v>1</v>
      </c>
      <c r="K2493" s="3" t="n">
        <f aca="false">IF(AND(H2493="United Kingdom",G2493&lt;&gt;"",COUNTIFS($G$2:G2493,G2493,$H$2:H2493,"United Kingdom")=1),1,0)</f>
        <v>0</v>
      </c>
    </row>
    <row r="2494" customFormat="false" ht="15" hidden="false" customHeight="false" outlineLevel="0" collapsed="false">
      <c r="A2494" s="0" t="s">
        <v>542</v>
      </c>
      <c r="B2494" s="0" t="s">
        <v>17</v>
      </c>
      <c r="C2494" s="0" t="s">
        <v>18</v>
      </c>
      <c r="D2494" s="0" t="n">
        <v>24</v>
      </c>
      <c r="E2494" s="2" t="n">
        <v>40782.5041666667</v>
      </c>
      <c r="F2494" s="0" t="n">
        <v>1.92</v>
      </c>
      <c r="G2494" s="0" t="n">
        <v>18102</v>
      </c>
      <c r="H2494" s="3" t="s">
        <v>14</v>
      </c>
      <c r="I2494" s="4" t="n">
        <f aca="false">D2494*F2494</f>
        <v>46.08</v>
      </c>
      <c r="J2494" s="3" t="n">
        <f aca="false">IF(AND(LEFT(A2494,1)&lt;&gt;"C",D2494&gt;0,F2494&gt;0),1,0)</f>
        <v>1</v>
      </c>
      <c r="K2494" s="3" t="n">
        <f aca="false">IF(AND(H2494="United Kingdom",G2494&lt;&gt;"",COUNTIFS($G$2:G2494,G2494,$H$2:H2494,"United Kingdom")=1),1,0)</f>
        <v>0</v>
      </c>
    </row>
    <row r="2495" customFormat="false" ht="15" hidden="false" customHeight="false" outlineLevel="0" collapsed="false">
      <c r="A2495" s="0" t="s">
        <v>542</v>
      </c>
      <c r="B2495" s="0" t="s">
        <v>113</v>
      </c>
      <c r="C2495" s="0" t="s">
        <v>114</v>
      </c>
      <c r="D2495" s="0" t="n">
        <v>6</v>
      </c>
      <c r="E2495" s="2" t="n">
        <v>40782.5041666667</v>
      </c>
      <c r="F2495" s="0" t="n">
        <v>3.57</v>
      </c>
      <c r="G2495" s="0" t="n">
        <v>18102</v>
      </c>
      <c r="H2495" s="3" t="s">
        <v>14</v>
      </c>
      <c r="I2495" s="4" t="n">
        <f aca="false">D2495*F2495</f>
        <v>21.42</v>
      </c>
      <c r="J2495" s="3" t="n">
        <f aca="false">IF(AND(LEFT(A2495,1)&lt;&gt;"C",D2495&gt;0,F2495&gt;0),1,0)</f>
        <v>1</v>
      </c>
      <c r="K2495" s="3" t="n">
        <f aca="false">IF(AND(H2495="United Kingdom",G2495&lt;&gt;"",COUNTIFS($G$2:G2495,G2495,$H$2:H2495,"United Kingdom")=1),1,0)</f>
        <v>0</v>
      </c>
    </row>
    <row r="2496" customFormat="false" ht="15" hidden="false" customHeight="false" outlineLevel="0" collapsed="false">
      <c r="A2496" s="0" t="s">
        <v>542</v>
      </c>
      <c r="B2496" s="0" t="s">
        <v>77</v>
      </c>
      <c r="C2496" s="0" t="s">
        <v>78</v>
      </c>
      <c r="D2496" s="0" t="n">
        <v>1</v>
      </c>
      <c r="E2496" s="2" t="n">
        <v>40782.5041666667</v>
      </c>
      <c r="F2496" s="0" t="n">
        <v>3.41</v>
      </c>
      <c r="G2496" s="0" t="n">
        <v>18102</v>
      </c>
      <c r="H2496" s="3" t="s">
        <v>14</v>
      </c>
      <c r="I2496" s="4" t="n">
        <f aca="false">D2496*F2496</f>
        <v>3.41</v>
      </c>
      <c r="J2496" s="3" t="n">
        <f aca="false">IF(AND(LEFT(A2496,1)&lt;&gt;"C",D2496&gt;0,F2496&gt;0),1,0)</f>
        <v>1</v>
      </c>
      <c r="K2496" s="3" t="n">
        <f aca="false">IF(AND(H2496="United Kingdom",G2496&lt;&gt;"",COUNTIFS($G$2:G2496,G2496,$H$2:H2496,"United Kingdom")=1),1,0)</f>
        <v>0</v>
      </c>
    </row>
    <row r="2497" customFormat="false" ht="15" hidden="false" customHeight="false" outlineLevel="0" collapsed="false">
      <c r="A2497" s="0" t="s">
        <v>543</v>
      </c>
      <c r="B2497" s="0" t="s">
        <v>72</v>
      </c>
      <c r="C2497" s="0" t="s">
        <v>73</v>
      </c>
      <c r="D2497" s="0" t="n">
        <v>96</v>
      </c>
      <c r="E2497" s="2" t="n">
        <v>40782.6590277778</v>
      </c>
      <c r="F2497" s="0" t="n">
        <v>2.69</v>
      </c>
      <c r="G2497" s="0" t="n">
        <v>15943</v>
      </c>
      <c r="H2497" s="3" t="s">
        <v>14</v>
      </c>
      <c r="I2497" s="4" t="n">
        <f aca="false">D2497*F2497</f>
        <v>258.24</v>
      </c>
      <c r="J2497" s="3" t="n">
        <f aca="false">IF(AND(LEFT(A2497,1)&lt;&gt;"C",D2497&gt;0,F2497&gt;0),1,0)</f>
        <v>1</v>
      </c>
      <c r="K2497" s="3" t="n">
        <f aca="false">IF(AND(H2497="United Kingdom",G2497&lt;&gt;"",COUNTIFS($G$2:G2497,G2497,$H$2:H2497,"United Kingdom")=1),1,0)</f>
        <v>0</v>
      </c>
    </row>
    <row r="2498" customFormat="false" ht="15" hidden="false" customHeight="false" outlineLevel="0" collapsed="false">
      <c r="A2498" s="0" t="s">
        <v>543</v>
      </c>
      <c r="B2498" s="0" t="s">
        <v>25</v>
      </c>
      <c r="C2498" s="0" t="s">
        <v>26</v>
      </c>
      <c r="D2498" s="0" t="n">
        <v>216</v>
      </c>
      <c r="E2498" s="2" t="n">
        <v>40782.6590277778</v>
      </c>
      <c r="F2498" s="0" t="n">
        <v>2.21</v>
      </c>
      <c r="G2498" s="0" t="n">
        <v>15943</v>
      </c>
      <c r="H2498" s="3" t="s">
        <v>14</v>
      </c>
      <c r="I2498" s="4" t="n">
        <f aca="false">D2498*F2498</f>
        <v>477.36</v>
      </c>
      <c r="J2498" s="3" t="n">
        <f aca="false">IF(AND(LEFT(A2498,1)&lt;&gt;"C",D2498&gt;0,F2498&gt;0),1,0)</f>
        <v>1</v>
      </c>
      <c r="K2498" s="3" t="n">
        <f aca="false">IF(AND(H2498="United Kingdom",G2498&lt;&gt;"",COUNTIFS($G$2:G2498,G2498,$H$2:H2498,"United Kingdom")=1),1,0)</f>
        <v>0</v>
      </c>
    </row>
    <row r="2499" customFormat="false" ht="15" hidden="false" customHeight="false" outlineLevel="0" collapsed="false">
      <c r="A2499" s="0" t="s">
        <v>543</v>
      </c>
      <c r="B2499" s="0" t="s">
        <v>34</v>
      </c>
      <c r="C2499" s="0" t="s">
        <v>35</v>
      </c>
      <c r="D2499" s="0" t="n">
        <v>12</v>
      </c>
      <c r="E2499" s="2" t="n">
        <v>40782.6590277778</v>
      </c>
      <c r="F2499" s="0" t="n">
        <v>2.38</v>
      </c>
      <c r="G2499" s="0" t="n">
        <v>15943</v>
      </c>
      <c r="H2499" s="3" t="s">
        <v>14</v>
      </c>
      <c r="I2499" s="4" t="n">
        <f aca="false">D2499*F2499</f>
        <v>28.56</v>
      </c>
      <c r="J2499" s="3" t="n">
        <f aca="false">IF(AND(LEFT(A2499,1)&lt;&gt;"C",D2499&gt;0,F2499&gt;0),1,0)</f>
        <v>1</v>
      </c>
      <c r="K2499" s="3" t="n">
        <f aca="false">IF(AND(H2499="United Kingdom",G2499&lt;&gt;"",COUNTIFS($G$2:G2499,G2499,$H$2:H2499,"United Kingdom")=1),1,0)</f>
        <v>0</v>
      </c>
    </row>
    <row r="2500" customFormat="false" ht="15" hidden="false" customHeight="false" outlineLevel="0" collapsed="false">
      <c r="A2500" s="0" t="s">
        <v>543</v>
      </c>
      <c r="B2500" s="0" t="s">
        <v>17</v>
      </c>
      <c r="C2500" s="0" t="s">
        <v>18</v>
      </c>
      <c r="D2500" s="0" t="n">
        <v>192</v>
      </c>
      <c r="E2500" s="2" t="n">
        <v>40782.6590277778</v>
      </c>
      <c r="F2500" s="0" t="n">
        <v>1.92</v>
      </c>
      <c r="G2500" s="0" t="n">
        <v>15943</v>
      </c>
      <c r="H2500" s="3" t="s">
        <v>14</v>
      </c>
      <c r="I2500" s="4" t="n">
        <f aca="false">D2500*F2500</f>
        <v>368.64</v>
      </c>
      <c r="J2500" s="3" t="n">
        <f aca="false">IF(AND(LEFT(A2500,1)&lt;&gt;"C",D2500&gt;0,F2500&gt;0),1,0)</f>
        <v>1</v>
      </c>
      <c r="K2500" s="3" t="n">
        <f aca="false">IF(AND(H2500="United Kingdom",G2500&lt;&gt;"",COUNTIFS($G$2:G2500,G2500,$H$2:H2500,"United Kingdom")=1),1,0)</f>
        <v>0</v>
      </c>
    </row>
    <row r="2501" customFormat="false" ht="15" hidden="false" customHeight="false" outlineLevel="0" collapsed="false">
      <c r="A2501" s="0" t="s">
        <v>543</v>
      </c>
      <c r="B2501" s="0" t="s">
        <v>52</v>
      </c>
      <c r="C2501" s="0" t="s">
        <v>53</v>
      </c>
      <c r="D2501" s="0" t="n">
        <v>96</v>
      </c>
      <c r="E2501" s="2" t="n">
        <v>40782.6590277778</v>
      </c>
      <c r="F2501" s="0" t="n">
        <v>4.16</v>
      </c>
      <c r="G2501" s="0" t="n">
        <v>15943</v>
      </c>
      <c r="H2501" s="3" t="s">
        <v>14</v>
      </c>
      <c r="I2501" s="4" t="n">
        <f aca="false">D2501*F2501</f>
        <v>399.36</v>
      </c>
      <c r="J2501" s="3" t="n">
        <f aca="false">IF(AND(LEFT(A2501,1)&lt;&gt;"C",D2501&gt;0,F2501&gt;0),1,0)</f>
        <v>1</v>
      </c>
      <c r="K2501" s="3" t="n">
        <f aca="false">IF(AND(H2501="United Kingdom",G2501&lt;&gt;"",COUNTIFS($G$2:G2501,G2501,$H$2:H2501,"United Kingdom")=1),1,0)</f>
        <v>0</v>
      </c>
    </row>
    <row r="2502" customFormat="false" ht="15" hidden="false" customHeight="false" outlineLevel="0" collapsed="false">
      <c r="A2502" s="0" t="s">
        <v>544</v>
      </c>
      <c r="B2502" s="0" t="s">
        <v>60</v>
      </c>
      <c r="C2502" s="0" t="s">
        <v>61</v>
      </c>
      <c r="D2502" s="0" t="n">
        <v>6</v>
      </c>
      <c r="E2502" s="2" t="n">
        <v>40782.70625</v>
      </c>
      <c r="F2502" s="0" t="n">
        <v>0.63</v>
      </c>
      <c r="G2502" s="0" t="n">
        <v>17632</v>
      </c>
      <c r="H2502" s="3" t="s">
        <v>57</v>
      </c>
      <c r="I2502" s="4" t="n">
        <f aca="false">D2502*F2502</f>
        <v>3.78</v>
      </c>
      <c r="J2502" s="3" t="n">
        <f aca="false">IF(AND(LEFT(A2502,1)&lt;&gt;"C",D2502&gt;0,F2502&gt;0),1,0)</f>
        <v>1</v>
      </c>
      <c r="K2502" s="3" t="n">
        <f aca="false">IF(AND(H2502="United Kingdom",G2502&lt;&gt;"",COUNTIFS($G$2:G2502,G2502,$H$2:H2502,"United Kingdom")=1),1,0)</f>
        <v>0</v>
      </c>
    </row>
    <row r="2503" customFormat="false" ht="15" hidden="false" customHeight="false" outlineLevel="0" collapsed="false">
      <c r="A2503" s="0" t="s">
        <v>544</v>
      </c>
      <c r="B2503" s="0" t="s">
        <v>63</v>
      </c>
      <c r="C2503" s="0" t="s">
        <v>64</v>
      </c>
      <c r="D2503" s="0" t="n">
        <v>3</v>
      </c>
      <c r="E2503" s="2" t="n">
        <v>40782.70625</v>
      </c>
      <c r="F2503" s="0" t="n">
        <v>2.43</v>
      </c>
      <c r="G2503" s="0" t="n">
        <v>17632</v>
      </c>
      <c r="H2503" s="3" t="s">
        <v>57</v>
      </c>
      <c r="I2503" s="4" t="n">
        <f aca="false">D2503*F2503</f>
        <v>7.29</v>
      </c>
      <c r="J2503" s="3" t="n">
        <f aca="false">IF(AND(LEFT(A2503,1)&lt;&gt;"C",D2503&gt;0,F2503&gt;0),1,0)</f>
        <v>1</v>
      </c>
      <c r="K2503" s="3" t="n">
        <f aca="false">IF(AND(H2503="United Kingdom",G2503&lt;&gt;"",COUNTIFS($G$2:G2503,G2503,$H$2:H2503,"United Kingdom")=1),1,0)</f>
        <v>0</v>
      </c>
    </row>
    <row r="2504" customFormat="false" ht="15" hidden="false" customHeight="false" outlineLevel="0" collapsed="false">
      <c r="A2504" s="0" t="s">
        <v>544</v>
      </c>
      <c r="B2504" s="0" t="s">
        <v>68</v>
      </c>
      <c r="C2504" s="0" t="s">
        <v>69</v>
      </c>
      <c r="D2504" s="0" t="n">
        <v>3</v>
      </c>
      <c r="E2504" s="2" t="n">
        <v>40782.70625</v>
      </c>
      <c r="F2504" s="0" t="n">
        <v>1.26</v>
      </c>
      <c r="G2504" s="0" t="n">
        <v>17632</v>
      </c>
      <c r="H2504" s="3" t="s">
        <v>57</v>
      </c>
      <c r="I2504" s="4" t="n">
        <f aca="false">D2504*F2504</f>
        <v>3.78</v>
      </c>
      <c r="J2504" s="3" t="n">
        <f aca="false">IF(AND(LEFT(A2504,1)&lt;&gt;"C",D2504&gt;0,F2504&gt;0),1,0)</f>
        <v>1</v>
      </c>
      <c r="K2504" s="3" t="n">
        <f aca="false">IF(AND(H2504="United Kingdom",G2504&lt;&gt;"",COUNTIFS($G$2:G2504,G2504,$H$2:H2504,"United Kingdom")=1),1,0)</f>
        <v>0</v>
      </c>
    </row>
    <row r="2505" customFormat="false" ht="15" hidden="false" customHeight="false" outlineLevel="0" collapsed="false">
      <c r="A2505" s="0" t="s">
        <v>544</v>
      </c>
      <c r="B2505" s="0" t="s">
        <v>41</v>
      </c>
      <c r="C2505" s="0" t="s">
        <v>42</v>
      </c>
      <c r="D2505" s="0" t="n">
        <v>38</v>
      </c>
      <c r="E2505" s="2" t="n">
        <v>40782.70625</v>
      </c>
      <c r="F2505" s="0" t="n">
        <v>3.28</v>
      </c>
      <c r="G2505" s="0" t="n">
        <v>17632</v>
      </c>
      <c r="H2505" s="3" t="s">
        <v>57</v>
      </c>
      <c r="I2505" s="4" t="n">
        <f aca="false">D2505*F2505</f>
        <v>124.64</v>
      </c>
      <c r="J2505" s="3" t="n">
        <f aca="false">IF(AND(LEFT(A2505,1)&lt;&gt;"C",D2505&gt;0,F2505&gt;0),1,0)</f>
        <v>1</v>
      </c>
      <c r="K2505" s="3" t="n">
        <f aca="false">IF(AND(H2505="United Kingdom",G2505&lt;&gt;"",COUNTIFS($G$2:G2505,G2505,$H$2:H2505,"United Kingdom")=1),1,0)</f>
        <v>0</v>
      </c>
    </row>
    <row r="2506" customFormat="false" ht="15" hidden="false" customHeight="false" outlineLevel="0" collapsed="false">
      <c r="A2506" s="0" t="s">
        <v>544</v>
      </c>
      <c r="B2506" s="0" t="s">
        <v>48</v>
      </c>
      <c r="C2506" s="0" t="s">
        <v>49</v>
      </c>
      <c r="D2506" s="0" t="n">
        <v>12</v>
      </c>
      <c r="E2506" s="2" t="n">
        <v>40782.70625</v>
      </c>
      <c r="F2506" s="0" t="n">
        <v>1.35</v>
      </c>
      <c r="G2506" s="0" t="n">
        <v>17632</v>
      </c>
      <c r="H2506" s="3" t="s">
        <v>57</v>
      </c>
      <c r="I2506" s="4" t="n">
        <f aca="false">D2506*F2506</f>
        <v>16.2</v>
      </c>
      <c r="J2506" s="3" t="n">
        <f aca="false">IF(AND(LEFT(A2506,1)&lt;&gt;"C",D2506&gt;0,F2506&gt;0),1,0)</f>
        <v>1</v>
      </c>
      <c r="K2506" s="3" t="n">
        <f aca="false">IF(AND(H2506="United Kingdom",G2506&lt;&gt;"",COUNTIFS($G$2:G2506,G2506,$H$2:H2506,"United Kingdom")=1),1,0)</f>
        <v>0</v>
      </c>
    </row>
    <row r="2507" customFormat="false" ht="15" hidden="false" customHeight="false" outlineLevel="0" collapsed="false">
      <c r="A2507" s="0" t="s">
        <v>544</v>
      </c>
      <c r="B2507" s="0" t="s">
        <v>58</v>
      </c>
      <c r="C2507" s="0" t="s">
        <v>59</v>
      </c>
      <c r="D2507" s="0" t="n">
        <v>12</v>
      </c>
      <c r="E2507" s="2" t="n">
        <v>40782.70625</v>
      </c>
      <c r="F2507" s="0" t="n">
        <v>2.16</v>
      </c>
      <c r="G2507" s="0" t="n">
        <v>17632</v>
      </c>
      <c r="H2507" s="3" t="s">
        <v>57</v>
      </c>
      <c r="I2507" s="4" t="n">
        <f aca="false">D2507*F2507</f>
        <v>25.92</v>
      </c>
      <c r="J2507" s="3" t="n">
        <f aca="false">IF(AND(LEFT(A2507,1)&lt;&gt;"C",D2507&gt;0,F2507&gt;0),1,0)</f>
        <v>1</v>
      </c>
      <c r="K2507" s="3" t="n">
        <f aca="false">IF(AND(H2507="United Kingdom",G2507&lt;&gt;"",COUNTIFS($G$2:G2507,G2507,$H$2:H2507,"United Kingdom")=1),1,0)</f>
        <v>0</v>
      </c>
    </row>
    <row r="2508" customFormat="false" ht="15" hidden="false" customHeight="false" outlineLevel="0" collapsed="false">
      <c r="A2508" s="0" t="s">
        <v>545</v>
      </c>
      <c r="B2508" s="0" t="s">
        <v>68</v>
      </c>
      <c r="C2508" s="0" t="s">
        <v>69</v>
      </c>
      <c r="D2508" s="0" t="n">
        <v>2</v>
      </c>
      <c r="E2508" s="2" t="n">
        <v>40782.7444444444</v>
      </c>
      <c r="F2508" s="0" t="n">
        <v>1.26</v>
      </c>
      <c r="G2508" s="0" t="n">
        <v>13329</v>
      </c>
      <c r="H2508" s="3" t="s">
        <v>14</v>
      </c>
      <c r="I2508" s="4" t="n">
        <f aca="false">D2508*F2508</f>
        <v>2.52</v>
      </c>
      <c r="J2508" s="3" t="n">
        <f aca="false">IF(AND(LEFT(A2508,1)&lt;&gt;"C",D2508&gt;0,F2508&gt;0),1,0)</f>
        <v>1</v>
      </c>
      <c r="K2508" s="3" t="n">
        <f aca="false">IF(AND(H2508="United Kingdom",G2508&lt;&gt;"",COUNTIFS($G$2:G2508,G2508,$H$2:H2508,"United Kingdom")=1),1,0)</f>
        <v>0</v>
      </c>
    </row>
    <row r="2509" customFormat="false" ht="15" hidden="false" customHeight="false" outlineLevel="0" collapsed="false">
      <c r="A2509" s="0" t="s">
        <v>545</v>
      </c>
      <c r="B2509" s="0" t="s">
        <v>41</v>
      </c>
      <c r="C2509" s="0" t="s">
        <v>42</v>
      </c>
      <c r="D2509" s="0" t="n">
        <v>4</v>
      </c>
      <c r="E2509" s="2" t="n">
        <v>40782.7444444444</v>
      </c>
      <c r="F2509" s="0" t="n">
        <v>3.28</v>
      </c>
      <c r="G2509" s="0" t="n">
        <v>13329</v>
      </c>
      <c r="H2509" s="3" t="s">
        <v>14</v>
      </c>
      <c r="I2509" s="4" t="n">
        <f aca="false">D2509*F2509</f>
        <v>13.12</v>
      </c>
      <c r="J2509" s="3" t="n">
        <f aca="false">IF(AND(LEFT(A2509,1)&lt;&gt;"C",D2509&gt;0,F2509&gt;0),1,0)</f>
        <v>1</v>
      </c>
      <c r="K2509" s="3" t="n">
        <f aca="false">IF(AND(H2509="United Kingdom",G2509&lt;&gt;"",COUNTIFS($G$2:G2509,G2509,$H$2:H2509,"United Kingdom")=1),1,0)</f>
        <v>0</v>
      </c>
    </row>
    <row r="2510" customFormat="false" ht="15" hidden="false" customHeight="false" outlineLevel="0" collapsed="false">
      <c r="A2510" s="0" t="s">
        <v>545</v>
      </c>
      <c r="B2510" s="0" t="s">
        <v>63</v>
      </c>
      <c r="C2510" s="0" t="s">
        <v>64</v>
      </c>
      <c r="D2510" s="0" t="n">
        <v>4</v>
      </c>
      <c r="E2510" s="2" t="n">
        <v>40782.7444444444</v>
      </c>
      <c r="F2510" s="0" t="n">
        <v>2.43</v>
      </c>
      <c r="G2510" s="0" t="n">
        <v>13329</v>
      </c>
      <c r="H2510" s="3" t="s">
        <v>14</v>
      </c>
      <c r="I2510" s="4" t="n">
        <f aca="false">D2510*F2510</f>
        <v>9.72</v>
      </c>
      <c r="J2510" s="3" t="n">
        <f aca="false">IF(AND(LEFT(A2510,1)&lt;&gt;"C",D2510&gt;0,F2510&gt;0),1,0)</f>
        <v>1</v>
      </c>
      <c r="K2510" s="3" t="n">
        <f aca="false">IF(AND(H2510="United Kingdom",G2510&lt;&gt;"",COUNTIFS($G$2:G2510,G2510,$H$2:H2510,"United Kingdom")=1),1,0)</f>
        <v>0</v>
      </c>
    </row>
    <row r="2511" customFormat="false" ht="15" hidden="false" customHeight="false" outlineLevel="0" collapsed="false">
      <c r="A2511" s="0" t="s">
        <v>545</v>
      </c>
      <c r="B2511" s="0" t="s">
        <v>90</v>
      </c>
      <c r="C2511" s="0" t="s">
        <v>91</v>
      </c>
      <c r="D2511" s="0" t="n">
        <v>8</v>
      </c>
      <c r="E2511" s="2" t="n">
        <v>40782.7444444444</v>
      </c>
      <c r="F2511" s="0" t="n">
        <v>3.04</v>
      </c>
      <c r="G2511" s="0" t="n">
        <v>13329</v>
      </c>
      <c r="H2511" s="3" t="s">
        <v>14</v>
      </c>
      <c r="I2511" s="4" t="n">
        <f aca="false">D2511*F2511</f>
        <v>24.32</v>
      </c>
      <c r="J2511" s="3" t="n">
        <f aca="false">IF(AND(LEFT(A2511,1)&lt;&gt;"C",D2511&gt;0,F2511&gt;0),1,0)</f>
        <v>1</v>
      </c>
      <c r="K2511" s="3" t="n">
        <f aca="false">IF(AND(H2511="United Kingdom",G2511&lt;&gt;"",COUNTIFS($G$2:G2511,G2511,$H$2:H2511,"United Kingdom")=1),1,0)</f>
        <v>0</v>
      </c>
    </row>
    <row r="2512" customFormat="false" ht="15" hidden="false" customHeight="false" outlineLevel="0" collapsed="false">
      <c r="A2512" s="0" t="s">
        <v>545</v>
      </c>
      <c r="B2512" s="0" t="s">
        <v>113</v>
      </c>
      <c r="C2512" s="0" t="s">
        <v>114</v>
      </c>
      <c r="D2512" s="0" t="n">
        <v>24</v>
      </c>
      <c r="E2512" s="2" t="n">
        <v>40782.7444444444</v>
      </c>
      <c r="F2512" s="0" t="n">
        <v>3.57</v>
      </c>
      <c r="G2512" s="0" t="n">
        <v>13329</v>
      </c>
      <c r="H2512" s="3" t="s">
        <v>14</v>
      </c>
      <c r="I2512" s="4" t="n">
        <f aca="false">D2512*F2512</f>
        <v>85.68</v>
      </c>
      <c r="J2512" s="3" t="n">
        <f aca="false">IF(AND(LEFT(A2512,1)&lt;&gt;"C",D2512&gt;0,F2512&gt;0),1,0)</f>
        <v>1</v>
      </c>
      <c r="K2512" s="3" t="n">
        <f aca="false">IF(AND(H2512="United Kingdom",G2512&lt;&gt;"",COUNTIFS($G$2:G2512,G2512,$H$2:H2512,"United Kingdom")=1),1,0)</f>
        <v>0</v>
      </c>
    </row>
    <row r="2513" customFormat="false" ht="15" hidden="false" customHeight="false" outlineLevel="0" collapsed="false">
      <c r="A2513" s="0" t="s">
        <v>545</v>
      </c>
      <c r="B2513" s="0" t="s">
        <v>15</v>
      </c>
      <c r="C2513" s="0" t="s">
        <v>16</v>
      </c>
      <c r="D2513" s="0" t="n">
        <v>1</v>
      </c>
      <c r="E2513" s="2" t="n">
        <v>40782.7444444444</v>
      </c>
      <c r="F2513" s="0" t="n">
        <v>3.18</v>
      </c>
      <c r="G2513" s="0" t="n">
        <v>13329</v>
      </c>
      <c r="H2513" s="3" t="s">
        <v>14</v>
      </c>
      <c r="I2513" s="4" t="n">
        <f aca="false">D2513*F2513</f>
        <v>3.18</v>
      </c>
      <c r="J2513" s="3" t="n">
        <f aca="false">IF(AND(LEFT(A2513,1)&lt;&gt;"C",D2513&gt;0,F2513&gt;0),1,0)</f>
        <v>1</v>
      </c>
      <c r="K2513" s="3" t="n">
        <f aca="false">IF(AND(H2513="United Kingdom",G2513&lt;&gt;"",COUNTIFS($G$2:G2513,G2513,$H$2:H2513,"United Kingdom")=1),1,0)</f>
        <v>0</v>
      </c>
    </row>
    <row r="2514" customFormat="false" ht="15" hidden="false" customHeight="false" outlineLevel="0" collapsed="false">
      <c r="A2514" s="0" t="s">
        <v>545</v>
      </c>
      <c r="B2514" s="0" t="s">
        <v>72</v>
      </c>
      <c r="C2514" s="0" t="s">
        <v>73</v>
      </c>
      <c r="D2514" s="0" t="n">
        <v>4</v>
      </c>
      <c r="E2514" s="2" t="n">
        <v>40782.7444444444</v>
      </c>
      <c r="F2514" s="0" t="n">
        <v>2.69</v>
      </c>
      <c r="G2514" s="0" t="n">
        <v>13329</v>
      </c>
      <c r="H2514" s="3" t="s">
        <v>14</v>
      </c>
      <c r="I2514" s="4" t="n">
        <f aca="false">D2514*F2514</f>
        <v>10.76</v>
      </c>
      <c r="J2514" s="3" t="n">
        <f aca="false">IF(AND(LEFT(A2514,1)&lt;&gt;"C",D2514&gt;0,F2514&gt;0),1,0)</f>
        <v>1</v>
      </c>
      <c r="K2514" s="3" t="n">
        <f aca="false">IF(AND(H2514="United Kingdom",G2514&lt;&gt;"",COUNTIFS($G$2:G2514,G2514,$H$2:H2514,"United Kingdom")=1),1,0)</f>
        <v>0</v>
      </c>
    </row>
    <row r="2515" customFormat="false" ht="15" hidden="false" customHeight="false" outlineLevel="0" collapsed="false">
      <c r="A2515" s="0" t="s">
        <v>545</v>
      </c>
      <c r="B2515" s="0" t="s">
        <v>12</v>
      </c>
      <c r="C2515" s="0" t="s">
        <v>13</v>
      </c>
      <c r="D2515" s="0" t="n">
        <v>4</v>
      </c>
      <c r="E2515" s="2" t="n">
        <v>40782.7444444444</v>
      </c>
      <c r="F2515" s="0" t="n">
        <v>3.33</v>
      </c>
      <c r="G2515" s="0" t="n">
        <v>13329</v>
      </c>
      <c r="H2515" s="3" t="s">
        <v>14</v>
      </c>
      <c r="I2515" s="4" t="n">
        <f aca="false">D2515*F2515</f>
        <v>13.32</v>
      </c>
      <c r="J2515" s="3" t="n">
        <f aca="false">IF(AND(LEFT(A2515,1)&lt;&gt;"C",D2515&gt;0,F2515&gt;0),1,0)</f>
        <v>1</v>
      </c>
      <c r="K2515" s="3" t="n">
        <f aca="false">IF(AND(H2515="United Kingdom",G2515&lt;&gt;"",COUNTIFS($G$2:G2515,G2515,$H$2:H2515,"United Kingdom")=1),1,0)</f>
        <v>0</v>
      </c>
    </row>
    <row r="2516" customFormat="false" ht="15" hidden="false" customHeight="false" outlineLevel="0" collapsed="false">
      <c r="A2516" s="0" t="s">
        <v>545</v>
      </c>
      <c r="B2516" s="0" t="s">
        <v>34</v>
      </c>
      <c r="C2516" s="0" t="s">
        <v>35</v>
      </c>
      <c r="D2516" s="0" t="n">
        <v>2</v>
      </c>
      <c r="E2516" s="2" t="n">
        <v>40782.7444444444</v>
      </c>
      <c r="F2516" s="0" t="n">
        <v>2.38</v>
      </c>
      <c r="G2516" s="0" t="n">
        <v>13329</v>
      </c>
      <c r="H2516" s="3" t="s">
        <v>14</v>
      </c>
      <c r="I2516" s="4" t="n">
        <f aca="false">D2516*F2516</f>
        <v>4.76</v>
      </c>
      <c r="J2516" s="3" t="n">
        <f aca="false">IF(AND(LEFT(A2516,1)&lt;&gt;"C",D2516&gt;0,F2516&gt;0),1,0)</f>
        <v>1</v>
      </c>
      <c r="K2516" s="3" t="n">
        <f aca="false">IF(AND(H2516="United Kingdom",G2516&lt;&gt;"",COUNTIFS($G$2:G2516,G2516,$H$2:H2516,"United Kingdom")=1),1,0)</f>
        <v>0</v>
      </c>
    </row>
    <row r="2517" customFormat="false" ht="15" hidden="false" customHeight="false" outlineLevel="0" collapsed="false">
      <c r="A2517" s="0" t="s">
        <v>545</v>
      </c>
      <c r="B2517" s="0" t="s">
        <v>48</v>
      </c>
      <c r="C2517" s="0" t="s">
        <v>49</v>
      </c>
      <c r="D2517" s="0" t="n">
        <v>16</v>
      </c>
      <c r="E2517" s="2" t="n">
        <v>40782.7444444444</v>
      </c>
      <c r="F2517" s="0" t="n">
        <v>1.35</v>
      </c>
      <c r="G2517" s="0" t="n">
        <v>13329</v>
      </c>
      <c r="H2517" s="3" t="s">
        <v>14</v>
      </c>
      <c r="I2517" s="4" t="n">
        <f aca="false">D2517*F2517</f>
        <v>21.6</v>
      </c>
      <c r="J2517" s="3" t="n">
        <f aca="false">IF(AND(LEFT(A2517,1)&lt;&gt;"C",D2517&gt;0,F2517&gt;0),1,0)</f>
        <v>1</v>
      </c>
      <c r="K2517" s="3" t="n">
        <f aca="false">IF(AND(H2517="United Kingdom",G2517&lt;&gt;"",COUNTIFS($G$2:G2517,G2517,$H$2:H2517,"United Kingdom")=1),1,0)</f>
        <v>0</v>
      </c>
    </row>
    <row r="2518" customFormat="false" ht="15" hidden="false" customHeight="false" outlineLevel="0" collapsed="false">
      <c r="A2518" s="0" t="s">
        <v>545</v>
      </c>
      <c r="B2518" s="0" t="s">
        <v>43</v>
      </c>
      <c r="C2518" s="0" t="s">
        <v>44</v>
      </c>
      <c r="D2518" s="0" t="n">
        <v>1</v>
      </c>
      <c r="E2518" s="2" t="n">
        <v>40782.7444444444</v>
      </c>
      <c r="F2518" s="0" t="n">
        <v>1.35</v>
      </c>
      <c r="G2518" s="0" t="n">
        <v>13329</v>
      </c>
      <c r="H2518" s="3" t="s">
        <v>14</v>
      </c>
      <c r="I2518" s="4" t="n">
        <f aca="false">D2518*F2518</f>
        <v>1.35</v>
      </c>
      <c r="J2518" s="3" t="n">
        <f aca="false">IF(AND(LEFT(A2518,1)&lt;&gt;"C",D2518&gt;0,F2518&gt;0),1,0)</f>
        <v>1</v>
      </c>
      <c r="K2518" s="3" t="n">
        <f aca="false">IF(AND(H2518="United Kingdom",G2518&lt;&gt;"",COUNTIFS($G$2:G2518,G2518,$H$2:H2518,"United Kingdom")=1),1,0)</f>
        <v>0</v>
      </c>
    </row>
    <row r="2519" customFormat="false" ht="15" hidden="false" customHeight="false" outlineLevel="0" collapsed="false">
      <c r="A2519" s="0" t="s">
        <v>545</v>
      </c>
      <c r="B2519" s="0" t="s">
        <v>22</v>
      </c>
      <c r="C2519" s="0" t="s">
        <v>23</v>
      </c>
      <c r="D2519" s="0" t="n">
        <v>3</v>
      </c>
      <c r="E2519" s="2" t="n">
        <v>40782.7444444444</v>
      </c>
      <c r="F2519" s="0" t="n">
        <v>3.18</v>
      </c>
      <c r="G2519" s="0" t="n">
        <v>13329</v>
      </c>
      <c r="H2519" s="3" t="s">
        <v>14</v>
      </c>
      <c r="I2519" s="4" t="n">
        <f aca="false">D2519*F2519</f>
        <v>9.54</v>
      </c>
      <c r="J2519" s="3" t="n">
        <f aca="false">IF(AND(LEFT(A2519,1)&lt;&gt;"C",D2519&gt;0,F2519&gt;0),1,0)</f>
        <v>1</v>
      </c>
      <c r="K2519" s="3" t="n">
        <f aca="false">IF(AND(H2519="United Kingdom",G2519&lt;&gt;"",COUNTIFS($G$2:G2519,G2519,$H$2:H2519,"United Kingdom")=1),1,0)</f>
        <v>0</v>
      </c>
    </row>
    <row r="2520" customFormat="false" ht="15" hidden="false" customHeight="false" outlineLevel="0" collapsed="false">
      <c r="A2520" s="0" t="s">
        <v>545</v>
      </c>
      <c r="B2520" s="0" t="s">
        <v>17</v>
      </c>
      <c r="C2520" s="0" t="s">
        <v>18</v>
      </c>
      <c r="D2520" s="0" t="n">
        <v>1</v>
      </c>
      <c r="E2520" s="2" t="n">
        <v>40782.7444444444</v>
      </c>
      <c r="F2520" s="0" t="n">
        <v>1.92</v>
      </c>
      <c r="G2520" s="0" t="n">
        <v>13329</v>
      </c>
      <c r="H2520" s="3" t="s">
        <v>14</v>
      </c>
      <c r="I2520" s="4" t="n">
        <f aca="false">D2520*F2520</f>
        <v>1.92</v>
      </c>
      <c r="J2520" s="3" t="n">
        <f aca="false">IF(AND(LEFT(A2520,1)&lt;&gt;"C",D2520&gt;0,F2520&gt;0),1,0)</f>
        <v>1</v>
      </c>
      <c r="K2520" s="3" t="n">
        <f aca="false">IF(AND(H2520="United Kingdom",G2520&lt;&gt;"",COUNTIFS($G$2:G2520,G2520,$H$2:H2520,"United Kingdom")=1),1,0)</f>
        <v>0</v>
      </c>
    </row>
    <row r="2521" customFormat="false" ht="15" hidden="false" customHeight="false" outlineLevel="0" collapsed="false">
      <c r="A2521" s="0" t="s">
        <v>545</v>
      </c>
      <c r="B2521" s="0" t="s">
        <v>29</v>
      </c>
      <c r="C2521" s="0" t="s">
        <v>30</v>
      </c>
      <c r="D2521" s="0" t="n">
        <v>8</v>
      </c>
      <c r="E2521" s="2" t="n">
        <v>40782.7444444444</v>
      </c>
      <c r="F2521" s="0" t="n">
        <v>5.79</v>
      </c>
      <c r="G2521" s="0" t="n">
        <v>13329</v>
      </c>
      <c r="H2521" s="3" t="s">
        <v>14</v>
      </c>
      <c r="I2521" s="4" t="n">
        <f aca="false">D2521*F2521</f>
        <v>46.32</v>
      </c>
      <c r="J2521" s="3" t="n">
        <f aca="false">IF(AND(LEFT(A2521,1)&lt;&gt;"C",D2521&gt;0,F2521&gt;0),1,0)</f>
        <v>1</v>
      </c>
      <c r="K2521" s="3" t="n">
        <f aca="false">IF(AND(H2521="United Kingdom",G2521&lt;&gt;"",COUNTIFS($G$2:G2521,G2521,$H$2:H2521,"United Kingdom")=1),1,0)</f>
        <v>0</v>
      </c>
    </row>
    <row r="2522" customFormat="false" ht="15" hidden="false" customHeight="false" outlineLevel="0" collapsed="false">
      <c r="A2522" s="0" t="s">
        <v>545</v>
      </c>
      <c r="B2522" s="0" t="s">
        <v>75</v>
      </c>
      <c r="C2522" s="0" t="s">
        <v>76</v>
      </c>
      <c r="D2522" s="0" t="n">
        <v>6</v>
      </c>
      <c r="E2522" s="2" t="n">
        <v>40782.7444444444</v>
      </c>
      <c r="F2522" s="0" t="n">
        <v>1.97</v>
      </c>
      <c r="G2522" s="0" t="n">
        <v>13329</v>
      </c>
      <c r="H2522" s="3" t="s">
        <v>14</v>
      </c>
      <c r="I2522" s="4" t="n">
        <f aca="false">D2522*F2522</f>
        <v>11.82</v>
      </c>
      <c r="J2522" s="3" t="n">
        <f aca="false">IF(AND(LEFT(A2522,1)&lt;&gt;"C",D2522&gt;0,F2522&gt;0),1,0)</f>
        <v>1</v>
      </c>
      <c r="K2522" s="3" t="n">
        <f aca="false">IF(AND(H2522="United Kingdom",G2522&lt;&gt;"",COUNTIFS($G$2:G2522,G2522,$H$2:H2522,"United Kingdom")=1),1,0)</f>
        <v>0</v>
      </c>
    </row>
    <row r="2523" customFormat="false" ht="15" hidden="false" customHeight="false" outlineLevel="0" collapsed="false">
      <c r="A2523" s="0" t="s">
        <v>546</v>
      </c>
      <c r="B2523" s="0" t="s">
        <v>48</v>
      </c>
      <c r="C2523" s="0" t="s">
        <v>49</v>
      </c>
      <c r="D2523" s="0" t="n">
        <v>2</v>
      </c>
      <c r="E2523" s="2" t="n">
        <v>40783.3458333333</v>
      </c>
      <c r="F2523" s="0" t="n">
        <v>1.35</v>
      </c>
      <c r="G2523" s="0" t="n">
        <v>16395</v>
      </c>
      <c r="H2523" s="3" t="s">
        <v>14</v>
      </c>
      <c r="I2523" s="4" t="n">
        <f aca="false">D2523*F2523</f>
        <v>2.7</v>
      </c>
      <c r="J2523" s="3" t="n">
        <f aca="false">IF(AND(LEFT(A2523,1)&lt;&gt;"C",D2523&gt;0,F2523&gt;0),1,0)</f>
        <v>1</v>
      </c>
      <c r="K2523" s="3" t="n">
        <f aca="false">IF(AND(H2523="United Kingdom",G2523&lt;&gt;"",COUNTIFS($G$2:G2523,G2523,$H$2:H2523,"United Kingdom")=1),1,0)</f>
        <v>0</v>
      </c>
    </row>
    <row r="2524" customFormat="false" ht="15" hidden="false" customHeight="false" outlineLevel="0" collapsed="false">
      <c r="A2524" s="0" t="s">
        <v>546</v>
      </c>
      <c r="B2524" s="0" t="s">
        <v>34</v>
      </c>
      <c r="C2524" s="0" t="s">
        <v>35</v>
      </c>
      <c r="D2524" s="0" t="n">
        <v>12</v>
      </c>
      <c r="E2524" s="2" t="n">
        <v>40783.3458333333</v>
      </c>
      <c r="F2524" s="0" t="n">
        <v>2.38</v>
      </c>
      <c r="G2524" s="0" t="n">
        <v>16395</v>
      </c>
      <c r="H2524" s="3" t="s">
        <v>14</v>
      </c>
      <c r="I2524" s="4" t="n">
        <f aca="false">D2524*F2524</f>
        <v>28.56</v>
      </c>
      <c r="J2524" s="3" t="n">
        <f aca="false">IF(AND(LEFT(A2524,1)&lt;&gt;"C",D2524&gt;0,F2524&gt;0),1,0)</f>
        <v>1</v>
      </c>
      <c r="K2524" s="3" t="n">
        <f aca="false">IF(AND(H2524="United Kingdom",G2524&lt;&gt;"",COUNTIFS($G$2:G2524,G2524,$H$2:H2524,"United Kingdom")=1),1,0)</f>
        <v>0</v>
      </c>
    </row>
    <row r="2525" customFormat="false" ht="15" hidden="false" customHeight="false" outlineLevel="0" collapsed="false">
      <c r="A2525" s="0" t="s">
        <v>546</v>
      </c>
      <c r="B2525" s="0" t="s">
        <v>80</v>
      </c>
      <c r="C2525" s="0" t="s">
        <v>81</v>
      </c>
      <c r="D2525" s="0" t="n">
        <v>1</v>
      </c>
      <c r="E2525" s="2" t="n">
        <v>40783.3458333333</v>
      </c>
      <c r="F2525" s="0" t="n">
        <v>1.53</v>
      </c>
      <c r="G2525" s="0" t="n">
        <v>16395</v>
      </c>
      <c r="H2525" s="3" t="s">
        <v>14</v>
      </c>
      <c r="I2525" s="4" t="n">
        <f aca="false">D2525*F2525</f>
        <v>1.53</v>
      </c>
      <c r="J2525" s="3" t="n">
        <f aca="false">IF(AND(LEFT(A2525,1)&lt;&gt;"C",D2525&gt;0,F2525&gt;0),1,0)</f>
        <v>1</v>
      </c>
      <c r="K2525" s="3" t="n">
        <f aca="false">IF(AND(H2525="United Kingdom",G2525&lt;&gt;"",COUNTIFS($G$2:G2525,G2525,$H$2:H2525,"United Kingdom")=1),1,0)</f>
        <v>0</v>
      </c>
    </row>
    <row r="2526" customFormat="false" ht="15" hidden="false" customHeight="false" outlineLevel="0" collapsed="false">
      <c r="A2526" s="0" t="s">
        <v>546</v>
      </c>
      <c r="B2526" s="0" t="s">
        <v>27</v>
      </c>
      <c r="C2526" s="0" t="s">
        <v>28</v>
      </c>
      <c r="D2526" s="0" t="n">
        <v>2</v>
      </c>
      <c r="E2526" s="2" t="n">
        <v>40783.3458333333</v>
      </c>
      <c r="F2526" s="0" t="n">
        <v>4.55</v>
      </c>
      <c r="G2526" s="0" t="n">
        <v>16395</v>
      </c>
      <c r="H2526" s="3" t="s">
        <v>14</v>
      </c>
      <c r="I2526" s="4" t="n">
        <f aca="false">D2526*F2526</f>
        <v>9.1</v>
      </c>
      <c r="J2526" s="3" t="n">
        <f aca="false">IF(AND(LEFT(A2526,1)&lt;&gt;"C",D2526&gt;0,F2526&gt;0),1,0)</f>
        <v>1</v>
      </c>
      <c r="K2526" s="3" t="n">
        <f aca="false">IF(AND(H2526="United Kingdom",G2526&lt;&gt;"",COUNTIFS($G$2:G2526,G2526,$H$2:H2526,"United Kingdom")=1),1,0)</f>
        <v>0</v>
      </c>
    </row>
    <row r="2527" customFormat="false" ht="15" hidden="false" customHeight="false" outlineLevel="0" collapsed="false">
      <c r="A2527" s="0" t="s">
        <v>546</v>
      </c>
      <c r="B2527" s="0" t="s">
        <v>32</v>
      </c>
      <c r="C2527" s="0" t="s">
        <v>33</v>
      </c>
      <c r="D2527" s="0" t="n">
        <v>4</v>
      </c>
      <c r="E2527" s="2" t="n">
        <v>40783.3458333333</v>
      </c>
      <c r="F2527" s="0" t="n">
        <v>1.19</v>
      </c>
      <c r="G2527" s="0" t="n">
        <v>16395</v>
      </c>
      <c r="H2527" s="3" t="s">
        <v>14</v>
      </c>
      <c r="I2527" s="4" t="n">
        <f aca="false">D2527*F2527</f>
        <v>4.76</v>
      </c>
      <c r="J2527" s="3" t="n">
        <f aca="false">IF(AND(LEFT(A2527,1)&lt;&gt;"C",D2527&gt;0,F2527&gt;0),1,0)</f>
        <v>1</v>
      </c>
      <c r="K2527" s="3" t="n">
        <f aca="false">IF(AND(H2527="United Kingdom",G2527&lt;&gt;"",COUNTIFS($G$2:G2527,G2527,$H$2:H2527,"United Kingdom")=1),1,0)</f>
        <v>0</v>
      </c>
    </row>
    <row r="2528" customFormat="false" ht="15" hidden="false" customHeight="false" outlineLevel="0" collapsed="false">
      <c r="A2528" s="0" t="s">
        <v>546</v>
      </c>
      <c r="B2528" s="0" t="s">
        <v>17</v>
      </c>
      <c r="C2528" s="0" t="s">
        <v>18</v>
      </c>
      <c r="D2528" s="0" t="n">
        <v>4</v>
      </c>
      <c r="E2528" s="2" t="n">
        <v>40783.3458333333</v>
      </c>
      <c r="F2528" s="0" t="n">
        <v>1.92</v>
      </c>
      <c r="G2528" s="0" t="n">
        <v>16395</v>
      </c>
      <c r="H2528" s="3" t="s">
        <v>14</v>
      </c>
      <c r="I2528" s="4" t="n">
        <f aca="false">D2528*F2528</f>
        <v>7.68</v>
      </c>
      <c r="J2528" s="3" t="n">
        <f aca="false">IF(AND(LEFT(A2528,1)&lt;&gt;"C",D2528&gt;0,F2528&gt;0),1,0)</f>
        <v>1</v>
      </c>
      <c r="K2528" s="3" t="n">
        <f aca="false">IF(AND(H2528="United Kingdom",G2528&lt;&gt;"",COUNTIFS($G$2:G2528,G2528,$H$2:H2528,"United Kingdom")=1),1,0)</f>
        <v>0</v>
      </c>
    </row>
    <row r="2529" customFormat="false" ht="15" hidden="false" customHeight="false" outlineLevel="0" collapsed="false">
      <c r="A2529" s="0" t="s">
        <v>546</v>
      </c>
      <c r="B2529" s="0" t="s">
        <v>43</v>
      </c>
      <c r="C2529" s="0" t="s">
        <v>44</v>
      </c>
      <c r="D2529" s="0" t="n">
        <v>6</v>
      </c>
      <c r="E2529" s="2" t="n">
        <v>40783.3458333333</v>
      </c>
      <c r="F2529" s="0" t="n">
        <v>1.35</v>
      </c>
      <c r="G2529" s="0" t="n">
        <v>16395</v>
      </c>
      <c r="H2529" s="3" t="s">
        <v>14</v>
      </c>
      <c r="I2529" s="4" t="n">
        <f aca="false">D2529*F2529</f>
        <v>8.1</v>
      </c>
      <c r="J2529" s="3" t="n">
        <f aca="false">IF(AND(LEFT(A2529,1)&lt;&gt;"C",D2529&gt;0,F2529&gt;0),1,0)</f>
        <v>1</v>
      </c>
      <c r="K2529" s="3" t="n">
        <f aca="false">IF(AND(H2529="United Kingdom",G2529&lt;&gt;"",COUNTIFS($G$2:G2529,G2529,$H$2:H2529,"United Kingdom")=1),1,0)</f>
        <v>0</v>
      </c>
    </row>
    <row r="2530" customFormat="false" ht="15" hidden="false" customHeight="false" outlineLevel="0" collapsed="false">
      <c r="A2530" s="0" t="s">
        <v>546</v>
      </c>
      <c r="B2530" s="0" t="s">
        <v>63</v>
      </c>
      <c r="C2530" s="0" t="s">
        <v>64</v>
      </c>
      <c r="D2530" s="0" t="n">
        <v>2</v>
      </c>
      <c r="E2530" s="2" t="n">
        <v>40783.3458333333</v>
      </c>
      <c r="F2530" s="0" t="n">
        <v>2.43</v>
      </c>
      <c r="G2530" s="0" t="n">
        <v>16395</v>
      </c>
      <c r="H2530" s="3" t="s">
        <v>14</v>
      </c>
      <c r="I2530" s="4" t="n">
        <f aca="false">D2530*F2530</f>
        <v>4.86</v>
      </c>
      <c r="J2530" s="3" t="n">
        <f aca="false">IF(AND(LEFT(A2530,1)&lt;&gt;"C",D2530&gt;0,F2530&gt;0),1,0)</f>
        <v>1</v>
      </c>
      <c r="K2530" s="3" t="n">
        <f aca="false">IF(AND(H2530="United Kingdom",G2530&lt;&gt;"",COUNTIFS($G$2:G2530,G2530,$H$2:H2530,"United Kingdom")=1),1,0)</f>
        <v>0</v>
      </c>
    </row>
    <row r="2531" customFormat="false" ht="15" hidden="false" customHeight="false" outlineLevel="0" collapsed="false">
      <c r="A2531" s="0" t="s">
        <v>547</v>
      </c>
      <c r="B2531" s="0" t="s">
        <v>77</v>
      </c>
      <c r="C2531" s="0" t="s">
        <v>78</v>
      </c>
      <c r="D2531" s="0" t="n">
        <v>-4</v>
      </c>
      <c r="E2531" s="2" t="n">
        <v>40783.3506944445</v>
      </c>
      <c r="F2531" s="0" t="n">
        <v>3.41</v>
      </c>
      <c r="G2531" s="0" t="n">
        <v>16238</v>
      </c>
      <c r="H2531" s="3" t="s">
        <v>14</v>
      </c>
      <c r="I2531" s="4" t="n">
        <f aca="false">D2531*F2531</f>
        <v>-13.64</v>
      </c>
      <c r="J2531" s="3" t="n">
        <f aca="false">IF(AND(LEFT(A2531,1)&lt;&gt;"C",D2531&gt;0,F2531&gt;0),1,0)</f>
        <v>0</v>
      </c>
      <c r="K2531" s="3" t="n">
        <f aca="false">IF(AND(H2531="United Kingdom",G2531&lt;&gt;"",COUNTIFS($G$2:G2531,G2531,$H$2:H2531,"United Kingdom")=1),1,0)</f>
        <v>0</v>
      </c>
    </row>
    <row r="2532" customFormat="false" ht="15" hidden="false" customHeight="false" outlineLevel="0" collapsed="false">
      <c r="A2532" s="0" t="s">
        <v>548</v>
      </c>
      <c r="B2532" s="0" t="s">
        <v>58</v>
      </c>
      <c r="C2532" s="0" t="s">
        <v>59</v>
      </c>
      <c r="D2532" s="0" t="n">
        <v>3</v>
      </c>
      <c r="E2532" s="2" t="n">
        <v>40783.40625</v>
      </c>
      <c r="F2532" s="0" t="n">
        <v>2.16</v>
      </c>
      <c r="H2532" s="3" t="s">
        <v>14</v>
      </c>
      <c r="I2532" s="4" t="n">
        <f aca="false">D2532*F2532</f>
        <v>6.48</v>
      </c>
      <c r="J2532" s="3" t="n">
        <f aca="false">IF(AND(LEFT(A2532,1)&lt;&gt;"C",D2532&gt;0,F2532&gt;0),1,0)</f>
        <v>1</v>
      </c>
      <c r="K2532" s="3" t="n">
        <f aca="false">IF(AND(H2532="United Kingdom",G2532&lt;&gt;"",COUNTIFS($G$2:G2532,G2532,$H$2:H2532,"United Kingdom")=1),1,0)</f>
        <v>0</v>
      </c>
    </row>
    <row r="2533" customFormat="false" ht="15" hidden="false" customHeight="false" outlineLevel="0" collapsed="false">
      <c r="A2533" s="0" t="s">
        <v>548</v>
      </c>
      <c r="B2533" s="0" t="s">
        <v>34</v>
      </c>
      <c r="C2533" s="0" t="s">
        <v>35</v>
      </c>
      <c r="D2533" s="0" t="n">
        <v>3</v>
      </c>
      <c r="E2533" s="2" t="n">
        <v>40783.40625</v>
      </c>
      <c r="F2533" s="0" t="n">
        <v>2.38</v>
      </c>
      <c r="H2533" s="3" t="s">
        <v>14</v>
      </c>
      <c r="I2533" s="4" t="n">
        <f aca="false">D2533*F2533</f>
        <v>7.14</v>
      </c>
      <c r="J2533" s="3" t="n">
        <f aca="false">IF(AND(LEFT(A2533,1)&lt;&gt;"C",D2533&gt;0,F2533&gt;0),1,0)</f>
        <v>1</v>
      </c>
      <c r="K2533" s="3" t="n">
        <f aca="false">IF(AND(H2533="United Kingdom",G2533&lt;&gt;"",COUNTIFS($G$2:G2533,G2533,$H$2:H2533,"United Kingdom")=1),1,0)</f>
        <v>0</v>
      </c>
    </row>
    <row r="2534" customFormat="false" ht="15" hidden="false" customHeight="false" outlineLevel="0" collapsed="false">
      <c r="A2534" s="0" t="s">
        <v>548</v>
      </c>
      <c r="B2534" s="0" t="s">
        <v>75</v>
      </c>
      <c r="C2534" s="0" t="s">
        <v>76</v>
      </c>
      <c r="D2534" s="0" t="n">
        <v>12</v>
      </c>
      <c r="E2534" s="2" t="n">
        <v>40783.40625</v>
      </c>
      <c r="F2534" s="0" t="n">
        <v>1.97</v>
      </c>
      <c r="H2534" s="3" t="s">
        <v>14</v>
      </c>
      <c r="I2534" s="4" t="n">
        <f aca="false">D2534*F2534</f>
        <v>23.64</v>
      </c>
      <c r="J2534" s="3" t="n">
        <f aca="false">IF(AND(LEFT(A2534,1)&lt;&gt;"C",D2534&gt;0,F2534&gt;0),1,0)</f>
        <v>1</v>
      </c>
      <c r="K2534" s="3" t="n">
        <f aca="false">IF(AND(H2534="United Kingdom",G2534&lt;&gt;"",COUNTIFS($G$2:G2534,G2534,$H$2:H2534,"United Kingdom")=1),1,0)</f>
        <v>0</v>
      </c>
    </row>
    <row r="2535" customFormat="false" ht="15" hidden="false" customHeight="false" outlineLevel="0" collapsed="false">
      <c r="A2535" s="0" t="s">
        <v>548</v>
      </c>
      <c r="B2535" s="0" t="s">
        <v>25</v>
      </c>
      <c r="C2535" s="0" t="s">
        <v>26</v>
      </c>
      <c r="D2535" s="0" t="n">
        <v>2</v>
      </c>
      <c r="E2535" s="2" t="n">
        <v>40783.40625</v>
      </c>
      <c r="F2535" s="0" t="n">
        <v>2.21</v>
      </c>
      <c r="H2535" s="3" t="s">
        <v>14</v>
      </c>
      <c r="I2535" s="4" t="n">
        <f aca="false">D2535*F2535</f>
        <v>4.42</v>
      </c>
      <c r="J2535" s="3" t="n">
        <f aca="false">IF(AND(LEFT(A2535,1)&lt;&gt;"C",D2535&gt;0,F2535&gt;0),1,0)</f>
        <v>1</v>
      </c>
      <c r="K2535" s="3" t="n">
        <f aca="false">IF(AND(H2535="United Kingdom",G2535&lt;&gt;"",COUNTIFS($G$2:G2535,G2535,$H$2:H2535,"United Kingdom")=1),1,0)</f>
        <v>0</v>
      </c>
    </row>
    <row r="2536" customFormat="false" ht="15" hidden="false" customHeight="false" outlineLevel="0" collapsed="false">
      <c r="A2536" s="0" t="s">
        <v>548</v>
      </c>
      <c r="B2536" s="0" t="s">
        <v>15</v>
      </c>
      <c r="C2536" s="0" t="s">
        <v>16</v>
      </c>
      <c r="D2536" s="0" t="n">
        <v>4</v>
      </c>
      <c r="E2536" s="2" t="n">
        <v>40783.40625</v>
      </c>
      <c r="F2536" s="0" t="n">
        <v>3.18</v>
      </c>
      <c r="H2536" s="3" t="s">
        <v>14</v>
      </c>
      <c r="I2536" s="4" t="n">
        <f aca="false">D2536*F2536</f>
        <v>12.72</v>
      </c>
      <c r="J2536" s="3" t="n">
        <f aca="false">IF(AND(LEFT(A2536,1)&lt;&gt;"C",D2536&gt;0,F2536&gt;0),1,0)</f>
        <v>1</v>
      </c>
      <c r="K2536" s="3" t="n">
        <f aca="false">IF(AND(H2536="United Kingdom",G2536&lt;&gt;"",COUNTIFS($G$2:G2536,G2536,$H$2:H2536,"United Kingdom")=1),1,0)</f>
        <v>0</v>
      </c>
    </row>
    <row r="2537" customFormat="false" ht="15" hidden="false" customHeight="false" outlineLevel="0" collapsed="false">
      <c r="A2537" s="0" t="s">
        <v>548</v>
      </c>
      <c r="B2537" s="0" t="s">
        <v>113</v>
      </c>
      <c r="C2537" s="0" t="s">
        <v>114</v>
      </c>
      <c r="D2537" s="0" t="n">
        <v>3</v>
      </c>
      <c r="E2537" s="2" t="n">
        <v>40783.40625</v>
      </c>
      <c r="F2537" s="0" t="n">
        <v>3.57</v>
      </c>
      <c r="H2537" s="3" t="s">
        <v>14</v>
      </c>
      <c r="I2537" s="4" t="n">
        <f aca="false">D2537*F2537</f>
        <v>10.71</v>
      </c>
      <c r="J2537" s="3" t="n">
        <f aca="false">IF(AND(LEFT(A2537,1)&lt;&gt;"C",D2537&gt;0,F2537&gt;0),1,0)</f>
        <v>1</v>
      </c>
      <c r="K2537" s="3" t="n">
        <f aca="false">IF(AND(H2537="United Kingdom",G2537&lt;&gt;"",COUNTIFS($G$2:G2537,G2537,$H$2:H2537,"United Kingdom")=1),1,0)</f>
        <v>0</v>
      </c>
    </row>
    <row r="2538" customFormat="false" ht="15" hidden="false" customHeight="false" outlineLevel="0" collapsed="false">
      <c r="A2538" s="0" t="s">
        <v>548</v>
      </c>
      <c r="B2538" s="0" t="s">
        <v>27</v>
      </c>
      <c r="C2538" s="0" t="s">
        <v>28</v>
      </c>
      <c r="D2538" s="0" t="n">
        <v>6</v>
      </c>
      <c r="E2538" s="2" t="n">
        <v>40783.40625</v>
      </c>
      <c r="F2538" s="0" t="n">
        <v>4.55</v>
      </c>
      <c r="H2538" s="3" t="s">
        <v>14</v>
      </c>
      <c r="I2538" s="4" t="n">
        <f aca="false">D2538*F2538</f>
        <v>27.3</v>
      </c>
      <c r="J2538" s="3" t="n">
        <f aca="false">IF(AND(LEFT(A2538,1)&lt;&gt;"C",D2538&gt;0,F2538&gt;0),1,0)</f>
        <v>1</v>
      </c>
      <c r="K2538" s="3" t="n">
        <f aca="false">IF(AND(H2538="United Kingdom",G2538&lt;&gt;"",COUNTIFS($G$2:G2538,G2538,$H$2:H2538,"United Kingdom")=1),1,0)</f>
        <v>0</v>
      </c>
    </row>
    <row r="2539" customFormat="false" ht="15" hidden="false" customHeight="false" outlineLevel="0" collapsed="false">
      <c r="A2539" s="0" t="s">
        <v>548</v>
      </c>
      <c r="B2539" s="0" t="s">
        <v>72</v>
      </c>
      <c r="C2539" s="0" t="s">
        <v>73</v>
      </c>
      <c r="D2539" s="0" t="n">
        <v>2</v>
      </c>
      <c r="E2539" s="2" t="n">
        <v>40783.40625</v>
      </c>
      <c r="F2539" s="0" t="n">
        <v>2.69</v>
      </c>
      <c r="H2539" s="3" t="s">
        <v>14</v>
      </c>
      <c r="I2539" s="4" t="n">
        <f aca="false">D2539*F2539</f>
        <v>5.38</v>
      </c>
      <c r="J2539" s="3" t="n">
        <f aca="false">IF(AND(LEFT(A2539,1)&lt;&gt;"C",D2539&gt;0,F2539&gt;0),1,0)</f>
        <v>1</v>
      </c>
      <c r="K2539" s="3" t="n">
        <f aca="false">IF(AND(H2539="United Kingdom",G2539&lt;&gt;"",COUNTIFS($G$2:G2539,G2539,$H$2:H2539,"United Kingdom")=1),1,0)</f>
        <v>0</v>
      </c>
    </row>
    <row r="2540" customFormat="false" ht="15" hidden="false" customHeight="false" outlineLevel="0" collapsed="false">
      <c r="A2540" s="0" t="s">
        <v>548</v>
      </c>
      <c r="B2540" s="0" t="s">
        <v>52</v>
      </c>
      <c r="C2540" s="0" t="s">
        <v>53</v>
      </c>
      <c r="D2540" s="0" t="n">
        <v>2</v>
      </c>
      <c r="E2540" s="2" t="n">
        <v>40783.40625</v>
      </c>
      <c r="F2540" s="0" t="n">
        <v>4.16</v>
      </c>
      <c r="H2540" s="3" t="s">
        <v>14</v>
      </c>
      <c r="I2540" s="4" t="n">
        <f aca="false">D2540*F2540</f>
        <v>8.32</v>
      </c>
      <c r="J2540" s="3" t="n">
        <f aca="false">IF(AND(LEFT(A2540,1)&lt;&gt;"C",D2540&gt;0,F2540&gt;0),1,0)</f>
        <v>1</v>
      </c>
      <c r="K2540" s="3" t="n">
        <f aca="false">IF(AND(H2540="United Kingdom",G2540&lt;&gt;"",COUNTIFS($G$2:G2540,G2540,$H$2:H2540,"United Kingdom")=1),1,0)</f>
        <v>0</v>
      </c>
    </row>
    <row r="2541" customFormat="false" ht="15" hidden="false" customHeight="false" outlineLevel="0" collapsed="false">
      <c r="A2541" s="0" t="s">
        <v>548</v>
      </c>
      <c r="B2541" s="0" t="s">
        <v>68</v>
      </c>
      <c r="C2541" s="0" t="s">
        <v>69</v>
      </c>
      <c r="D2541" s="0" t="n">
        <v>1</v>
      </c>
      <c r="E2541" s="2" t="n">
        <v>40783.40625</v>
      </c>
      <c r="F2541" s="0" t="n">
        <v>1.26</v>
      </c>
      <c r="H2541" s="3" t="s">
        <v>14</v>
      </c>
      <c r="I2541" s="4" t="n">
        <f aca="false">D2541*F2541</f>
        <v>1.26</v>
      </c>
      <c r="J2541" s="3" t="n">
        <f aca="false">IF(AND(LEFT(A2541,1)&lt;&gt;"C",D2541&gt;0,F2541&gt;0),1,0)</f>
        <v>1</v>
      </c>
      <c r="K2541" s="3" t="n">
        <f aca="false">IF(AND(H2541="United Kingdom",G2541&lt;&gt;"",COUNTIFS($G$2:G2541,G2541,$H$2:H2541,"United Kingdom")=1),1,0)</f>
        <v>0</v>
      </c>
    </row>
    <row r="2542" customFormat="false" ht="15" hidden="false" customHeight="false" outlineLevel="0" collapsed="false">
      <c r="A2542" s="0" t="s">
        <v>548</v>
      </c>
      <c r="B2542" s="0" t="s">
        <v>65</v>
      </c>
      <c r="C2542" s="0" t="s">
        <v>66</v>
      </c>
      <c r="D2542" s="0" t="n">
        <v>12</v>
      </c>
      <c r="E2542" s="2" t="n">
        <v>40783.40625</v>
      </c>
      <c r="F2542" s="0" t="n">
        <v>4.75</v>
      </c>
      <c r="H2542" s="3" t="s">
        <v>14</v>
      </c>
      <c r="I2542" s="4" t="n">
        <f aca="false">D2542*F2542</f>
        <v>57</v>
      </c>
      <c r="J2542" s="3" t="n">
        <f aca="false">IF(AND(LEFT(A2542,1)&lt;&gt;"C",D2542&gt;0,F2542&gt;0),1,0)</f>
        <v>1</v>
      </c>
      <c r="K2542" s="3" t="n">
        <f aca="false">IF(AND(H2542="United Kingdom",G2542&lt;&gt;"",COUNTIFS($G$2:G2542,G2542,$H$2:H2542,"United Kingdom")=1),1,0)</f>
        <v>0</v>
      </c>
    </row>
    <row r="2543" customFormat="false" ht="15" hidden="false" customHeight="false" outlineLevel="0" collapsed="false">
      <c r="A2543" s="0" t="s">
        <v>549</v>
      </c>
      <c r="B2543" s="0" t="s">
        <v>32</v>
      </c>
      <c r="C2543" s="0" t="s">
        <v>33</v>
      </c>
      <c r="D2543" s="0" t="n">
        <v>4</v>
      </c>
      <c r="E2543" s="2" t="n">
        <v>40783.4166666667</v>
      </c>
      <c r="F2543" s="0" t="n">
        <v>1.19</v>
      </c>
      <c r="G2543" s="0" t="n">
        <v>16009</v>
      </c>
      <c r="H2543" s="3" t="s">
        <v>14</v>
      </c>
      <c r="I2543" s="4" t="n">
        <f aca="false">D2543*F2543</f>
        <v>4.76</v>
      </c>
      <c r="J2543" s="3" t="n">
        <f aca="false">IF(AND(LEFT(A2543,1)&lt;&gt;"C",D2543&gt;0,F2543&gt;0),1,0)</f>
        <v>1</v>
      </c>
      <c r="K2543" s="3" t="n">
        <f aca="false">IF(AND(H2543="United Kingdom",G2543&lt;&gt;"",COUNTIFS($G$2:G2543,G2543,$H$2:H2543,"United Kingdom")=1),1,0)</f>
        <v>0</v>
      </c>
    </row>
    <row r="2544" customFormat="false" ht="15" hidden="false" customHeight="false" outlineLevel="0" collapsed="false">
      <c r="A2544" s="0" t="s">
        <v>549</v>
      </c>
      <c r="B2544" s="0" t="s">
        <v>65</v>
      </c>
      <c r="C2544" s="0" t="s">
        <v>66</v>
      </c>
      <c r="D2544" s="0" t="n">
        <v>4</v>
      </c>
      <c r="E2544" s="2" t="n">
        <v>40783.4166666667</v>
      </c>
      <c r="F2544" s="0" t="n">
        <v>4.75</v>
      </c>
      <c r="G2544" s="0" t="n">
        <v>16009</v>
      </c>
      <c r="H2544" s="3" t="s">
        <v>14</v>
      </c>
      <c r="I2544" s="4" t="n">
        <f aca="false">D2544*F2544</f>
        <v>19</v>
      </c>
      <c r="J2544" s="3" t="n">
        <f aca="false">IF(AND(LEFT(A2544,1)&lt;&gt;"C",D2544&gt;0,F2544&gt;0),1,0)</f>
        <v>1</v>
      </c>
      <c r="K2544" s="3" t="n">
        <f aca="false">IF(AND(H2544="United Kingdom",G2544&lt;&gt;"",COUNTIFS($G$2:G2544,G2544,$H$2:H2544,"United Kingdom")=1),1,0)</f>
        <v>0</v>
      </c>
    </row>
    <row r="2545" customFormat="false" ht="15" hidden="false" customHeight="false" outlineLevel="0" collapsed="false">
      <c r="A2545" s="0" t="s">
        <v>550</v>
      </c>
      <c r="B2545" s="0" t="s">
        <v>77</v>
      </c>
      <c r="C2545" s="0" t="s">
        <v>78</v>
      </c>
      <c r="D2545" s="0" t="n">
        <v>-9</v>
      </c>
      <c r="E2545" s="2" t="n">
        <v>40783.5451388889</v>
      </c>
      <c r="F2545" s="0" t="n">
        <v>3.41</v>
      </c>
      <c r="G2545" s="0" t="n">
        <v>17147</v>
      </c>
      <c r="H2545" s="3" t="s">
        <v>14</v>
      </c>
      <c r="I2545" s="4" t="n">
        <f aca="false">D2545*F2545</f>
        <v>-30.69</v>
      </c>
      <c r="J2545" s="3" t="n">
        <f aca="false">IF(AND(LEFT(A2545,1)&lt;&gt;"C",D2545&gt;0,F2545&gt;0),1,0)</f>
        <v>0</v>
      </c>
      <c r="K2545" s="3" t="n">
        <f aca="false">IF(AND(H2545="United Kingdom",G2545&lt;&gt;"",COUNTIFS($G$2:G2545,G2545,$H$2:H2545,"United Kingdom")=1),1,0)</f>
        <v>0</v>
      </c>
    </row>
    <row r="2546" customFormat="false" ht="15" hidden="false" customHeight="false" outlineLevel="0" collapsed="false">
      <c r="A2546" s="0" t="s">
        <v>551</v>
      </c>
      <c r="B2546" s="0" t="s">
        <v>32</v>
      </c>
      <c r="C2546" s="0" t="s">
        <v>33</v>
      </c>
      <c r="D2546" s="0" t="n">
        <v>6</v>
      </c>
      <c r="E2546" s="2" t="n">
        <v>40784.3652777778</v>
      </c>
      <c r="F2546" s="0" t="n">
        <v>1.19</v>
      </c>
      <c r="G2546" s="0" t="n">
        <v>14264</v>
      </c>
      <c r="H2546" s="3" t="s">
        <v>14</v>
      </c>
      <c r="I2546" s="4" t="n">
        <f aca="false">D2546*F2546</f>
        <v>7.14</v>
      </c>
      <c r="J2546" s="3" t="n">
        <f aca="false">IF(AND(LEFT(A2546,1)&lt;&gt;"C",D2546&gt;0,F2546&gt;0),1,0)</f>
        <v>1</v>
      </c>
      <c r="K2546" s="3" t="n">
        <f aca="false">IF(AND(H2546="United Kingdom",G2546&lt;&gt;"",COUNTIFS($G$2:G2546,G2546,$H$2:H2546,"United Kingdom")=1),1,0)</f>
        <v>0</v>
      </c>
    </row>
    <row r="2547" customFormat="false" ht="15" hidden="false" customHeight="false" outlineLevel="0" collapsed="false">
      <c r="A2547" s="0" t="s">
        <v>551</v>
      </c>
      <c r="B2547" s="0" t="s">
        <v>72</v>
      </c>
      <c r="C2547" s="0" t="s">
        <v>73</v>
      </c>
      <c r="D2547" s="0" t="n">
        <v>16</v>
      </c>
      <c r="E2547" s="2" t="n">
        <v>40784.3652777778</v>
      </c>
      <c r="F2547" s="0" t="n">
        <v>2.69</v>
      </c>
      <c r="G2547" s="0" t="n">
        <v>14264</v>
      </c>
      <c r="H2547" s="3" t="s">
        <v>14</v>
      </c>
      <c r="I2547" s="4" t="n">
        <f aca="false">D2547*F2547</f>
        <v>43.04</v>
      </c>
      <c r="J2547" s="3" t="n">
        <f aca="false">IF(AND(LEFT(A2547,1)&lt;&gt;"C",D2547&gt;0,F2547&gt;0),1,0)</f>
        <v>1</v>
      </c>
      <c r="K2547" s="3" t="n">
        <f aca="false">IF(AND(H2547="United Kingdom",G2547&lt;&gt;"",COUNTIFS($G$2:G2547,G2547,$H$2:H2547,"United Kingdom")=1),1,0)</f>
        <v>0</v>
      </c>
    </row>
    <row r="2548" customFormat="false" ht="15" hidden="false" customHeight="false" outlineLevel="0" collapsed="false">
      <c r="A2548" s="0" t="s">
        <v>551</v>
      </c>
      <c r="B2548" s="0" t="s">
        <v>43</v>
      </c>
      <c r="C2548" s="0" t="s">
        <v>44</v>
      </c>
      <c r="D2548" s="0" t="n">
        <v>16</v>
      </c>
      <c r="E2548" s="2" t="n">
        <v>40784.3652777778</v>
      </c>
      <c r="F2548" s="0" t="n">
        <v>1.35</v>
      </c>
      <c r="G2548" s="0" t="n">
        <v>14264</v>
      </c>
      <c r="H2548" s="3" t="s">
        <v>14</v>
      </c>
      <c r="I2548" s="4" t="n">
        <f aca="false">D2548*F2548</f>
        <v>21.6</v>
      </c>
      <c r="J2548" s="3" t="n">
        <f aca="false">IF(AND(LEFT(A2548,1)&lt;&gt;"C",D2548&gt;0,F2548&gt;0),1,0)</f>
        <v>1</v>
      </c>
      <c r="K2548" s="3" t="n">
        <f aca="false">IF(AND(H2548="United Kingdom",G2548&lt;&gt;"",COUNTIFS($G$2:G2548,G2548,$H$2:H2548,"United Kingdom")=1),1,0)</f>
        <v>0</v>
      </c>
    </row>
    <row r="2549" customFormat="false" ht="15" hidden="false" customHeight="false" outlineLevel="0" collapsed="false">
      <c r="A2549" s="0" t="s">
        <v>551</v>
      </c>
      <c r="B2549" s="0" t="s">
        <v>12</v>
      </c>
      <c r="C2549" s="0" t="s">
        <v>13</v>
      </c>
      <c r="D2549" s="0" t="n">
        <v>2</v>
      </c>
      <c r="E2549" s="2" t="n">
        <v>40784.3652777778</v>
      </c>
      <c r="F2549" s="0" t="n">
        <v>3.33</v>
      </c>
      <c r="G2549" s="0" t="n">
        <v>14264</v>
      </c>
      <c r="H2549" s="3" t="s">
        <v>14</v>
      </c>
      <c r="I2549" s="4" t="n">
        <f aca="false">D2549*F2549</f>
        <v>6.66</v>
      </c>
      <c r="J2549" s="3" t="n">
        <f aca="false">IF(AND(LEFT(A2549,1)&lt;&gt;"C",D2549&gt;0,F2549&gt;0),1,0)</f>
        <v>1</v>
      </c>
      <c r="K2549" s="3" t="n">
        <f aca="false">IF(AND(H2549="United Kingdom",G2549&lt;&gt;"",COUNTIFS($G$2:G2549,G2549,$H$2:H2549,"United Kingdom")=1),1,0)</f>
        <v>0</v>
      </c>
    </row>
    <row r="2550" customFormat="false" ht="15" hidden="false" customHeight="false" outlineLevel="0" collapsed="false">
      <c r="A2550" s="0" t="s">
        <v>552</v>
      </c>
      <c r="B2550" s="0" t="s">
        <v>63</v>
      </c>
      <c r="C2550" s="0" t="s">
        <v>64</v>
      </c>
      <c r="D2550" s="0" t="n">
        <v>153</v>
      </c>
      <c r="E2550" s="2" t="n">
        <v>40784.7631944444</v>
      </c>
      <c r="F2550" s="0" t="n">
        <v>2.43</v>
      </c>
      <c r="G2550" s="0" t="n">
        <v>16787</v>
      </c>
      <c r="H2550" s="3" t="s">
        <v>57</v>
      </c>
      <c r="I2550" s="4" t="n">
        <f aca="false">D2550*F2550</f>
        <v>371.79</v>
      </c>
      <c r="J2550" s="3" t="n">
        <f aca="false">IF(AND(LEFT(A2550,1)&lt;&gt;"C",D2550&gt;0,F2550&gt;0),1,0)</f>
        <v>1</v>
      </c>
      <c r="K2550" s="3" t="n">
        <f aca="false">IF(AND(H2550="United Kingdom",G2550&lt;&gt;"",COUNTIFS($G$2:G2550,G2550,$H$2:H2550,"United Kingdom")=1),1,0)</f>
        <v>0</v>
      </c>
    </row>
    <row r="2551" customFormat="false" ht="15" hidden="false" customHeight="false" outlineLevel="0" collapsed="false">
      <c r="A2551" s="0" t="s">
        <v>552</v>
      </c>
      <c r="B2551" s="0" t="s">
        <v>34</v>
      </c>
      <c r="C2551" s="0" t="s">
        <v>35</v>
      </c>
      <c r="D2551" s="0" t="n">
        <v>38</v>
      </c>
      <c r="E2551" s="2" t="n">
        <v>40784.7631944444</v>
      </c>
      <c r="F2551" s="0" t="n">
        <v>2.38</v>
      </c>
      <c r="G2551" s="0" t="n">
        <v>16787</v>
      </c>
      <c r="H2551" s="3" t="s">
        <v>57</v>
      </c>
      <c r="I2551" s="4" t="n">
        <f aca="false">D2551*F2551</f>
        <v>90.44</v>
      </c>
      <c r="J2551" s="3" t="n">
        <f aca="false">IF(AND(LEFT(A2551,1)&lt;&gt;"C",D2551&gt;0,F2551&gt;0),1,0)</f>
        <v>1</v>
      </c>
      <c r="K2551" s="3" t="n">
        <f aca="false">IF(AND(H2551="United Kingdom",G2551&lt;&gt;"",COUNTIFS($G$2:G2551,G2551,$H$2:H2551,"United Kingdom")=1),1,0)</f>
        <v>0</v>
      </c>
    </row>
    <row r="2552" customFormat="false" ht="15" hidden="false" customHeight="false" outlineLevel="0" collapsed="false">
      <c r="A2552" s="0" t="s">
        <v>552</v>
      </c>
      <c r="B2552" s="0" t="s">
        <v>75</v>
      </c>
      <c r="C2552" s="0" t="s">
        <v>76</v>
      </c>
      <c r="D2552" s="0" t="n">
        <v>57</v>
      </c>
      <c r="E2552" s="2" t="n">
        <v>40784.7631944444</v>
      </c>
      <c r="F2552" s="0" t="n">
        <v>1.97</v>
      </c>
      <c r="G2552" s="0" t="n">
        <v>16787</v>
      </c>
      <c r="H2552" s="3" t="s">
        <v>57</v>
      </c>
      <c r="I2552" s="4" t="n">
        <f aca="false">D2552*F2552</f>
        <v>112.29</v>
      </c>
      <c r="J2552" s="3" t="n">
        <f aca="false">IF(AND(LEFT(A2552,1)&lt;&gt;"C",D2552&gt;0,F2552&gt;0),1,0)</f>
        <v>1</v>
      </c>
      <c r="K2552" s="3" t="n">
        <f aca="false">IF(AND(H2552="United Kingdom",G2552&lt;&gt;"",COUNTIFS($G$2:G2552,G2552,$H$2:H2552,"United Kingdom")=1),1,0)</f>
        <v>0</v>
      </c>
    </row>
    <row r="2553" customFormat="false" ht="15" hidden="false" customHeight="false" outlineLevel="0" collapsed="false">
      <c r="A2553" s="0" t="s">
        <v>552</v>
      </c>
      <c r="B2553" s="0" t="s">
        <v>90</v>
      </c>
      <c r="C2553" s="0" t="s">
        <v>91</v>
      </c>
      <c r="D2553" s="0" t="n">
        <v>76</v>
      </c>
      <c r="E2553" s="2" t="n">
        <v>40784.7631944444</v>
      </c>
      <c r="F2553" s="0" t="n">
        <v>3.04</v>
      </c>
      <c r="G2553" s="0" t="n">
        <v>16787</v>
      </c>
      <c r="H2553" s="3" t="s">
        <v>57</v>
      </c>
      <c r="I2553" s="4" t="n">
        <f aca="false">D2553*F2553</f>
        <v>231.04</v>
      </c>
      <c r="J2553" s="3" t="n">
        <f aca="false">IF(AND(LEFT(A2553,1)&lt;&gt;"C",D2553&gt;0,F2553&gt;0),1,0)</f>
        <v>1</v>
      </c>
      <c r="K2553" s="3" t="n">
        <f aca="false">IF(AND(H2553="United Kingdom",G2553&lt;&gt;"",COUNTIFS($G$2:G2553,G2553,$H$2:H2553,"United Kingdom")=1),1,0)</f>
        <v>0</v>
      </c>
    </row>
    <row r="2554" customFormat="false" ht="15" hidden="false" customHeight="false" outlineLevel="0" collapsed="false">
      <c r="A2554" s="0" t="s">
        <v>553</v>
      </c>
      <c r="B2554" s="0" t="s">
        <v>25</v>
      </c>
      <c r="C2554" s="0" t="s">
        <v>26</v>
      </c>
      <c r="D2554" s="0" t="n">
        <v>96</v>
      </c>
      <c r="E2554" s="2" t="n">
        <v>40785.4673611111</v>
      </c>
      <c r="F2554" s="0" t="n">
        <v>2.21</v>
      </c>
      <c r="H2554" s="3" t="s">
        <v>14</v>
      </c>
      <c r="I2554" s="4" t="n">
        <f aca="false">D2554*F2554</f>
        <v>212.16</v>
      </c>
      <c r="J2554" s="3" t="n">
        <f aca="false">IF(AND(LEFT(A2554,1)&lt;&gt;"C",D2554&gt;0,F2554&gt;0),1,0)</f>
        <v>1</v>
      </c>
      <c r="K2554" s="3" t="n">
        <f aca="false">IF(AND(H2554="United Kingdom",G2554&lt;&gt;"",COUNTIFS($G$2:G2554,G2554,$H$2:H2554,"United Kingdom")=1),1,0)</f>
        <v>0</v>
      </c>
    </row>
    <row r="2555" customFormat="false" ht="15" hidden="false" customHeight="false" outlineLevel="0" collapsed="false">
      <c r="A2555" s="0" t="s">
        <v>553</v>
      </c>
      <c r="B2555" s="0" t="s">
        <v>29</v>
      </c>
      <c r="C2555" s="0" t="s">
        <v>30</v>
      </c>
      <c r="D2555" s="0" t="n">
        <v>288</v>
      </c>
      <c r="E2555" s="2" t="n">
        <v>40785.4673611111</v>
      </c>
      <c r="F2555" s="0" t="n">
        <v>5.79</v>
      </c>
      <c r="H2555" s="3" t="s">
        <v>14</v>
      </c>
      <c r="I2555" s="4" t="n">
        <f aca="false">D2555*F2555</f>
        <v>1667.52</v>
      </c>
      <c r="J2555" s="3" t="n">
        <f aca="false">IF(AND(LEFT(A2555,1)&lt;&gt;"C",D2555&gt;0,F2555&gt;0),1,0)</f>
        <v>1</v>
      </c>
      <c r="K2555" s="3" t="n">
        <f aca="false">IF(AND(H2555="United Kingdom",G2555&lt;&gt;"",COUNTIFS($G$2:G2555,G2555,$H$2:H2555,"United Kingdom")=1),1,0)</f>
        <v>0</v>
      </c>
    </row>
    <row r="2556" customFormat="false" ht="15" hidden="false" customHeight="false" outlineLevel="0" collapsed="false">
      <c r="A2556" s="0" t="s">
        <v>553</v>
      </c>
      <c r="B2556" s="0" t="s">
        <v>41</v>
      </c>
      <c r="C2556" s="0" t="s">
        <v>42</v>
      </c>
      <c r="D2556" s="0" t="n">
        <v>108</v>
      </c>
      <c r="E2556" s="2" t="n">
        <v>40785.4673611111</v>
      </c>
      <c r="F2556" s="0" t="n">
        <v>3.28</v>
      </c>
      <c r="H2556" s="3" t="s">
        <v>14</v>
      </c>
      <c r="I2556" s="4" t="n">
        <f aca="false">D2556*F2556</f>
        <v>354.24</v>
      </c>
      <c r="J2556" s="3" t="n">
        <f aca="false">IF(AND(LEFT(A2556,1)&lt;&gt;"C",D2556&gt;0,F2556&gt;0),1,0)</f>
        <v>1</v>
      </c>
      <c r="K2556" s="3" t="n">
        <f aca="false">IF(AND(H2556="United Kingdom",G2556&lt;&gt;"",COUNTIFS($G$2:G2556,G2556,$H$2:H2556,"United Kingdom")=1),1,0)</f>
        <v>0</v>
      </c>
    </row>
    <row r="2557" customFormat="false" ht="15" hidden="false" customHeight="false" outlineLevel="0" collapsed="false">
      <c r="A2557" s="0" t="s">
        <v>554</v>
      </c>
      <c r="B2557" s="0" t="s">
        <v>90</v>
      </c>
      <c r="C2557" s="0" t="s">
        <v>91</v>
      </c>
      <c r="D2557" s="0" t="n">
        <v>3</v>
      </c>
      <c r="E2557" s="2" t="n">
        <v>40786.7444444444</v>
      </c>
      <c r="F2557" s="0" t="n">
        <v>3.04</v>
      </c>
      <c r="G2557" s="0" t="n">
        <v>17364</v>
      </c>
      <c r="H2557" s="3" t="s">
        <v>57</v>
      </c>
      <c r="I2557" s="4" t="n">
        <f aca="false">D2557*F2557</f>
        <v>9.12</v>
      </c>
      <c r="J2557" s="3" t="n">
        <f aca="false">IF(AND(LEFT(A2557,1)&lt;&gt;"C",D2557&gt;0,F2557&gt;0),1,0)</f>
        <v>1</v>
      </c>
      <c r="K2557" s="3" t="n">
        <f aca="false">IF(AND(H2557="United Kingdom",G2557&lt;&gt;"",COUNTIFS($G$2:G2557,G2557,$H$2:H2557,"United Kingdom")=1),1,0)</f>
        <v>0</v>
      </c>
    </row>
    <row r="2558" customFormat="false" ht="15" hidden="false" customHeight="false" outlineLevel="0" collapsed="false">
      <c r="A2558" s="0" t="s">
        <v>554</v>
      </c>
      <c r="B2558" s="0" t="s">
        <v>60</v>
      </c>
      <c r="C2558" s="0" t="s">
        <v>61</v>
      </c>
      <c r="D2558" s="0" t="n">
        <v>1</v>
      </c>
      <c r="E2558" s="2" t="n">
        <v>40786.7444444444</v>
      </c>
      <c r="F2558" s="0" t="n">
        <v>0.63</v>
      </c>
      <c r="G2558" s="0" t="n">
        <v>17364</v>
      </c>
      <c r="H2558" s="3" t="s">
        <v>57</v>
      </c>
      <c r="I2558" s="4" t="n">
        <f aca="false">D2558*F2558</f>
        <v>0.63</v>
      </c>
      <c r="J2558" s="3" t="n">
        <f aca="false">IF(AND(LEFT(A2558,1)&lt;&gt;"C",D2558&gt;0,F2558&gt;0),1,0)</f>
        <v>1</v>
      </c>
      <c r="K2558" s="3" t="n">
        <f aca="false">IF(AND(H2558="United Kingdom",G2558&lt;&gt;"",COUNTIFS($G$2:G2558,G2558,$H$2:H2558,"United Kingdom")=1),1,0)</f>
        <v>0</v>
      </c>
    </row>
    <row r="2559" customFormat="false" ht="15" hidden="false" customHeight="false" outlineLevel="0" collapsed="false">
      <c r="A2559" s="0" t="s">
        <v>555</v>
      </c>
      <c r="B2559" s="0" t="s">
        <v>58</v>
      </c>
      <c r="C2559" s="0" t="s">
        <v>59</v>
      </c>
      <c r="D2559" s="0" t="n">
        <v>42</v>
      </c>
      <c r="E2559" s="2" t="n">
        <v>40787.5604166667</v>
      </c>
      <c r="F2559" s="0" t="n">
        <v>2.16</v>
      </c>
      <c r="G2559" s="0" t="n">
        <v>13710</v>
      </c>
      <c r="H2559" s="3" t="s">
        <v>177</v>
      </c>
      <c r="I2559" s="4" t="n">
        <f aca="false">D2559*F2559</f>
        <v>90.72</v>
      </c>
      <c r="J2559" s="3" t="n">
        <f aca="false">IF(AND(LEFT(A2559,1)&lt;&gt;"C",D2559&gt;0,F2559&gt;0),1,0)</f>
        <v>1</v>
      </c>
      <c r="K2559" s="3" t="n">
        <f aca="false">IF(AND(H2559="United Kingdom",G2559&lt;&gt;"",COUNTIFS($G$2:G2559,G2559,$H$2:H2559,"United Kingdom")=1),1,0)</f>
        <v>0</v>
      </c>
    </row>
    <row r="2560" customFormat="false" ht="15" hidden="false" customHeight="false" outlineLevel="0" collapsed="false">
      <c r="A2560" s="0" t="s">
        <v>555</v>
      </c>
      <c r="B2560" s="0" t="s">
        <v>90</v>
      </c>
      <c r="C2560" s="0" t="s">
        <v>91</v>
      </c>
      <c r="D2560" s="0" t="n">
        <v>21</v>
      </c>
      <c r="E2560" s="2" t="n">
        <v>40787.5604166667</v>
      </c>
      <c r="F2560" s="0" t="n">
        <v>3.04</v>
      </c>
      <c r="G2560" s="0" t="n">
        <v>13710</v>
      </c>
      <c r="H2560" s="3" t="s">
        <v>177</v>
      </c>
      <c r="I2560" s="4" t="n">
        <f aca="false">D2560*F2560</f>
        <v>63.84</v>
      </c>
      <c r="J2560" s="3" t="n">
        <f aca="false">IF(AND(LEFT(A2560,1)&lt;&gt;"C",D2560&gt;0,F2560&gt;0),1,0)</f>
        <v>1</v>
      </c>
      <c r="K2560" s="3" t="n">
        <f aca="false">IF(AND(H2560="United Kingdom",G2560&lt;&gt;"",COUNTIFS($G$2:G2560,G2560,$H$2:H2560,"United Kingdom")=1),1,0)</f>
        <v>0</v>
      </c>
    </row>
    <row r="2561" customFormat="false" ht="15" hidden="false" customHeight="false" outlineLevel="0" collapsed="false">
      <c r="A2561" s="0" t="s">
        <v>555</v>
      </c>
      <c r="B2561" s="0" t="s">
        <v>48</v>
      </c>
      <c r="C2561" s="0" t="s">
        <v>49</v>
      </c>
      <c r="D2561" s="0" t="n">
        <v>7</v>
      </c>
      <c r="E2561" s="2" t="n">
        <v>40787.5604166667</v>
      </c>
      <c r="F2561" s="0" t="n">
        <v>1.35</v>
      </c>
      <c r="G2561" s="0" t="n">
        <v>13710</v>
      </c>
      <c r="H2561" s="3" t="s">
        <v>177</v>
      </c>
      <c r="I2561" s="4" t="n">
        <f aca="false">D2561*F2561</f>
        <v>9.45</v>
      </c>
      <c r="J2561" s="3" t="n">
        <f aca="false">IF(AND(LEFT(A2561,1)&lt;&gt;"C",D2561&gt;0,F2561&gt;0),1,0)</f>
        <v>1</v>
      </c>
      <c r="K2561" s="3" t="n">
        <f aca="false">IF(AND(H2561="United Kingdom",G2561&lt;&gt;"",COUNTIFS($G$2:G2561,G2561,$H$2:H2561,"United Kingdom")=1),1,0)</f>
        <v>0</v>
      </c>
    </row>
    <row r="2562" customFormat="false" ht="15" hidden="false" customHeight="false" outlineLevel="0" collapsed="false">
      <c r="A2562" s="0" t="s">
        <v>555</v>
      </c>
      <c r="B2562" s="0" t="s">
        <v>27</v>
      </c>
      <c r="C2562" s="0" t="s">
        <v>28</v>
      </c>
      <c r="D2562" s="0" t="n">
        <v>42</v>
      </c>
      <c r="E2562" s="2" t="n">
        <v>40787.5604166667</v>
      </c>
      <c r="F2562" s="0" t="n">
        <v>4.55</v>
      </c>
      <c r="G2562" s="0" t="n">
        <v>13710</v>
      </c>
      <c r="H2562" s="3" t="s">
        <v>177</v>
      </c>
      <c r="I2562" s="4" t="n">
        <f aca="false">D2562*F2562</f>
        <v>191.1</v>
      </c>
      <c r="J2562" s="3" t="n">
        <f aca="false">IF(AND(LEFT(A2562,1)&lt;&gt;"C",D2562&gt;0,F2562&gt;0),1,0)</f>
        <v>1</v>
      </c>
      <c r="K2562" s="3" t="n">
        <f aca="false">IF(AND(H2562="United Kingdom",G2562&lt;&gt;"",COUNTIFS($G$2:G2562,G2562,$H$2:H2562,"United Kingdom")=1),1,0)</f>
        <v>0</v>
      </c>
    </row>
    <row r="2563" customFormat="false" ht="15" hidden="false" customHeight="false" outlineLevel="0" collapsed="false">
      <c r="A2563" s="0" t="s">
        <v>555</v>
      </c>
      <c r="B2563" s="0" t="s">
        <v>34</v>
      </c>
      <c r="C2563" s="0" t="s">
        <v>35</v>
      </c>
      <c r="D2563" s="0" t="n">
        <v>10</v>
      </c>
      <c r="E2563" s="2" t="n">
        <v>40787.5604166667</v>
      </c>
      <c r="F2563" s="0" t="n">
        <v>2.38</v>
      </c>
      <c r="G2563" s="0" t="n">
        <v>13710</v>
      </c>
      <c r="H2563" s="3" t="s">
        <v>177</v>
      </c>
      <c r="I2563" s="4" t="n">
        <f aca="false">D2563*F2563</f>
        <v>23.8</v>
      </c>
      <c r="J2563" s="3" t="n">
        <f aca="false">IF(AND(LEFT(A2563,1)&lt;&gt;"C",D2563&gt;0,F2563&gt;0),1,0)</f>
        <v>1</v>
      </c>
      <c r="K2563" s="3" t="n">
        <f aca="false">IF(AND(H2563="United Kingdom",G2563&lt;&gt;"",COUNTIFS($G$2:G2563,G2563,$H$2:H2563,"United Kingdom")=1),1,0)</f>
        <v>0</v>
      </c>
    </row>
    <row r="2564" customFormat="false" ht="15" hidden="false" customHeight="false" outlineLevel="0" collapsed="false">
      <c r="A2564" s="0" t="s">
        <v>555</v>
      </c>
      <c r="B2564" s="0" t="s">
        <v>22</v>
      </c>
      <c r="C2564" s="0" t="s">
        <v>23</v>
      </c>
      <c r="D2564" s="0" t="n">
        <v>21</v>
      </c>
      <c r="E2564" s="2" t="n">
        <v>40787.5604166667</v>
      </c>
      <c r="F2564" s="0" t="n">
        <v>3.18</v>
      </c>
      <c r="G2564" s="0" t="n">
        <v>13710</v>
      </c>
      <c r="H2564" s="3" t="s">
        <v>177</v>
      </c>
      <c r="I2564" s="4" t="n">
        <f aca="false">D2564*F2564</f>
        <v>66.78</v>
      </c>
      <c r="J2564" s="3" t="n">
        <f aca="false">IF(AND(LEFT(A2564,1)&lt;&gt;"C",D2564&gt;0,F2564&gt;0),1,0)</f>
        <v>1</v>
      </c>
      <c r="K2564" s="3" t="n">
        <f aca="false">IF(AND(H2564="United Kingdom",G2564&lt;&gt;"",COUNTIFS($G$2:G2564,G2564,$H$2:H2564,"United Kingdom")=1),1,0)</f>
        <v>0</v>
      </c>
    </row>
    <row r="2565" customFormat="false" ht="15" hidden="false" customHeight="false" outlineLevel="0" collapsed="false">
      <c r="A2565" s="0" t="s">
        <v>555</v>
      </c>
      <c r="B2565" s="0" t="s">
        <v>113</v>
      </c>
      <c r="C2565" s="0" t="s">
        <v>114</v>
      </c>
      <c r="D2565" s="0" t="n">
        <v>14</v>
      </c>
      <c r="E2565" s="2" t="n">
        <v>40787.5604166667</v>
      </c>
      <c r="F2565" s="0" t="n">
        <v>3.57</v>
      </c>
      <c r="G2565" s="0" t="n">
        <v>13710</v>
      </c>
      <c r="H2565" s="3" t="s">
        <v>177</v>
      </c>
      <c r="I2565" s="4" t="n">
        <f aca="false">D2565*F2565</f>
        <v>49.98</v>
      </c>
      <c r="J2565" s="3" t="n">
        <f aca="false">IF(AND(LEFT(A2565,1)&lt;&gt;"C",D2565&gt;0,F2565&gt;0),1,0)</f>
        <v>1</v>
      </c>
      <c r="K2565" s="3" t="n">
        <f aca="false">IF(AND(H2565="United Kingdom",G2565&lt;&gt;"",COUNTIFS($G$2:G2565,G2565,$H$2:H2565,"United Kingdom")=1),1,0)</f>
        <v>0</v>
      </c>
    </row>
    <row r="2566" customFormat="false" ht="15" hidden="false" customHeight="false" outlineLevel="0" collapsed="false">
      <c r="A2566" s="0" t="s">
        <v>556</v>
      </c>
      <c r="B2566" s="0" t="s">
        <v>20</v>
      </c>
      <c r="C2566" s="0" t="s">
        <v>21</v>
      </c>
      <c r="D2566" s="0" t="n">
        <v>8</v>
      </c>
      <c r="E2566" s="2" t="n">
        <v>40787.6027777778</v>
      </c>
      <c r="F2566" s="0" t="n">
        <v>4.24</v>
      </c>
      <c r="G2566" s="0" t="n">
        <v>12877</v>
      </c>
      <c r="H2566" s="3" t="s">
        <v>14</v>
      </c>
      <c r="I2566" s="4" t="n">
        <f aca="false">D2566*F2566</f>
        <v>33.92</v>
      </c>
      <c r="J2566" s="3" t="n">
        <f aca="false">IF(AND(LEFT(A2566,1)&lt;&gt;"C",D2566&gt;0,F2566&gt;0),1,0)</f>
        <v>1</v>
      </c>
      <c r="K2566" s="3" t="n">
        <f aca="false">IF(AND(H2566="United Kingdom",G2566&lt;&gt;"",COUNTIFS($G$2:G2566,G2566,$H$2:H2566,"United Kingdom")=1),1,0)</f>
        <v>1</v>
      </c>
    </row>
    <row r="2567" customFormat="false" ht="15" hidden="false" customHeight="false" outlineLevel="0" collapsed="false">
      <c r="A2567" s="0" t="s">
        <v>556</v>
      </c>
      <c r="B2567" s="0" t="s">
        <v>22</v>
      </c>
      <c r="C2567" s="0" t="s">
        <v>23</v>
      </c>
      <c r="D2567" s="0" t="n">
        <v>3</v>
      </c>
      <c r="E2567" s="2" t="n">
        <v>40787.6027777778</v>
      </c>
      <c r="F2567" s="0" t="n">
        <v>3.18</v>
      </c>
      <c r="G2567" s="0" t="n">
        <v>12877</v>
      </c>
      <c r="H2567" s="3" t="s">
        <v>14</v>
      </c>
      <c r="I2567" s="4" t="n">
        <f aca="false">D2567*F2567</f>
        <v>9.54</v>
      </c>
      <c r="J2567" s="3" t="n">
        <f aca="false">IF(AND(LEFT(A2567,1)&lt;&gt;"C",D2567&gt;0,F2567&gt;0),1,0)</f>
        <v>1</v>
      </c>
      <c r="K2567" s="3" t="n">
        <f aca="false">IF(AND(H2567="United Kingdom",G2567&lt;&gt;"",COUNTIFS($G$2:G2567,G2567,$H$2:H2567,"United Kingdom")=1),1,0)</f>
        <v>0</v>
      </c>
    </row>
    <row r="2568" customFormat="false" ht="15" hidden="false" customHeight="false" outlineLevel="0" collapsed="false">
      <c r="A2568" s="0" t="s">
        <v>556</v>
      </c>
      <c r="B2568" s="0" t="s">
        <v>27</v>
      </c>
      <c r="C2568" s="0" t="s">
        <v>28</v>
      </c>
      <c r="D2568" s="0" t="n">
        <v>24</v>
      </c>
      <c r="E2568" s="2" t="n">
        <v>40787.6027777778</v>
      </c>
      <c r="F2568" s="0" t="n">
        <v>4.55</v>
      </c>
      <c r="G2568" s="0" t="n">
        <v>12877</v>
      </c>
      <c r="H2568" s="3" t="s">
        <v>14</v>
      </c>
      <c r="I2568" s="4" t="n">
        <f aca="false">D2568*F2568</f>
        <v>109.2</v>
      </c>
      <c r="J2568" s="3" t="n">
        <f aca="false">IF(AND(LEFT(A2568,1)&lt;&gt;"C",D2568&gt;0,F2568&gt;0),1,0)</f>
        <v>1</v>
      </c>
      <c r="K2568" s="3" t="n">
        <f aca="false">IF(AND(H2568="United Kingdom",G2568&lt;&gt;"",COUNTIFS($G$2:G2568,G2568,$H$2:H2568,"United Kingdom")=1),1,0)</f>
        <v>0</v>
      </c>
    </row>
    <row r="2569" customFormat="false" ht="15" hidden="false" customHeight="false" outlineLevel="0" collapsed="false">
      <c r="A2569" s="0" t="s">
        <v>557</v>
      </c>
      <c r="B2569" s="0" t="s">
        <v>113</v>
      </c>
      <c r="C2569" s="0" t="s">
        <v>114</v>
      </c>
      <c r="D2569" s="0" t="n">
        <v>24</v>
      </c>
      <c r="E2569" s="2" t="n">
        <v>40787.6097222222</v>
      </c>
      <c r="F2569" s="0" t="n">
        <v>3.57</v>
      </c>
      <c r="G2569" s="0" t="n">
        <v>14012</v>
      </c>
      <c r="H2569" s="3" t="s">
        <v>97</v>
      </c>
      <c r="I2569" s="4" t="n">
        <f aca="false">D2569*F2569</f>
        <v>85.68</v>
      </c>
      <c r="J2569" s="3" t="n">
        <f aca="false">IF(AND(LEFT(A2569,1)&lt;&gt;"C",D2569&gt;0,F2569&gt;0),1,0)</f>
        <v>1</v>
      </c>
      <c r="K2569" s="3" t="n">
        <f aca="false">IF(AND(H2569="United Kingdom",G2569&lt;&gt;"",COUNTIFS($G$2:G2569,G2569,$H$2:H2569,"United Kingdom")=1),1,0)</f>
        <v>0</v>
      </c>
    </row>
    <row r="2570" customFormat="false" ht="15" hidden="false" customHeight="false" outlineLevel="0" collapsed="false">
      <c r="A2570" s="0" t="s">
        <v>558</v>
      </c>
      <c r="B2570" s="0" t="s">
        <v>29</v>
      </c>
      <c r="C2570" s="0" t="s">
        <v>30</v>
      </c>
      <c r="D2570" s="0" t="n">
        <v>2</v>
      </c>
      <c r="E2570" s="2" t="n">
        <v>40787.7423611111</v>
      </c>
      <c r="F2570" s="0" t="n">
        <v>5.79</v>
      </c>
      <c r="G2570" s="0" t="n">
        <v>16395</v>
      </c>
      <c r="H2570" s="3" t="s">
        <v>14</v>
      </c>
      <c r="I2570" s="4" t="n">
        <f aca="false">D2570*F2570</f>
        <v>11.58</v>
      </c>
      <c r="J2570" s="3" t="n">
        <f aca="false">IF(AND(LEFT(A2570,1)&lt;&gt;"C",D2570&gt;0,F2570&gt;0),1,0)</f>
        <v>1</v>
      </c>
      <c r="K2570" s="3" t="n">
        <f aca="false">IF(AND(H2570="United Kingdom",G2570&lt;&gt;"",COUNTIFS($G$2:G2570,G2570,$H$2:H2570,"United Kingdom")=1),1,0)</f>
        <v>0</v>
      </c>
    </row>
    <row r="2571" customFormat="false" ht="15" hidden="false" customHeight="false" outlineLevel="0" collapsed="false">
      <c r="A2571" s="0" t="s">
        <v>558</v>
      </c>
      <c r="B2571" s="0" t="s">
        <v>41</v>
      </c>
      <c r="C2571" s="0" t="s">
        <v>42</v>
      </c>
      <c r="D2571" s="0" t="n">
        <v>1</v>
      </c>
      <c r="E2571" s="2" t="n">
        <v>40787.7423611111</v>
      </c>
      <c r="F2571" s="0" t="n">
        <v>3.28</v>
      </c>
      <c r="G2571" s="0" t="n">
        <v>16395</v>
      </c>
      <c r="H2571" s="3" t="s">
        <v>14</v>
      </c>
      <c r="I2571" s="4" t="n">
        <f aca="false">D2571*F2571</f>
        <v>3.28</v>
      </c>
      <c r="J2571" s="3" t="n">
        <f aca="false">IF(AND(LEFT(A2571,1)&lt;&gt;"C",D2571&gt;0,F2571&gt;0),1,0)</f>
        <v>1</v>
      </c>
      <c r="K2571" s="3" t="n">
        <f aca="false">IF(AND(H2571="United Kingdom",G2571&lt;&gt;"",COUNTIFS($G$2:G2571,G2571,$H$2:H2571,"United Kingdom")=1),1,0)</f>
        <v>0</v>
      </c>
    </row>
    <row r="2572" customFormat="false" ht="15" hidden="false" customHeight="false" outlineLevel="0" collapsed="false">
      <c r="A2572" s="0" t="s">
        <v>558</v>
      </c>
      <c r="B2572" s="0" t="s">
        <v>34</v>
      </c>
      <c r="C2572" s="0" t="s">
        <v>35</v>
      </c>
      <c r="D2572" s="0" t="n">
        <v>6</v>
      </c>
      <c r="E2572" s="2" t="n">
        <v>40787.7423611111</v>
      </c>
      <c r="F2572" s="0" t="n">
        <v>2.38</v>
      </c>
      <c r="G2572" s="0" t="n">
        <v>16395</v>
      </c>
      <c r="H2572" s="3" t="s">
        <v>14</v>
      </c>
      <c r="I2572" s="4" t="n">
        <f aca="false">D2572*F2572</f>
        <v>14.28</v>
      </c>
      <c r="J2572" s="3" t="n">
        <f aca="false">IF(AND(LEFT(A2572,1)&lt;&gt;"C",D2572&gt;0,F2572&gt;0),1,0)</f>
        <v>1</v>
      </c>
      <c r="K2572" s="3" t="n">
        <f aca="false">IF(AND(H2572="United Kingdom",G2572&lt;&gt;"",COUNTIFS($G$2:G2572,G2572,$H$2:H2572,"United Kingdom")=1),1,0)</f>
        <v>0</v>
      </c>
    </row>
    <row r="2573" customFormat="false" ht="15" hidden="false" customHeight="false" outlineLevel="0" collapsed="false">
      <c r="A2573" s="0" t="s">
        <v>558</v>
      </c>
      <c r="B2573" s="0" t="s">
        <v>50</v>
      </c>
      <c r="C2573" s="0" t="s">
        <v>51</v>
      </c>
      <c r="D2573" s="0" t="n">
        <v>2</v>
      </c>
      <c r="E2573" s="2" t="n">
        <v>40787.7423611111</v>
      </c>
      <c r="F2573" s="0" t="n">
        <v>5.41</v>
      </c>
      <c r="G2573" s="0" t="n">
        <v>16395</v>
      </c>
      <c r="H2573" s="3" t="s">
        <v>14</v>
      </c>
      <c r="I2573" s="4" t="n">
        <f aca="false">D2573*F2573</f>
        <v>10.82</v>
      </c>
      <c r="J2573" s="3" t="n">
        <f aca="false">IF(AND(LEFT(A2573,1)&lt;&gt;"C",D2573&gt;0,F2573&gt;0),1,0)</f>
        <v>1</v>
      </c>
      <c r="K2573" s="3" t="n">
        <f aca="false">IF(AND(H2573="United Kingdom",G2573&lt;&gt;"",COUNTIFS($G$2:G2573,G2573,$H$2:H2573,"United Kingdom")=1),1,0)</f>
        <v>0</v>
      </c>
    </row>
    <row r="2574" customFormat="false" ht="15" hidden="false" customHeight="false" outlineLevel="0" collapsed="false">
      <c r="A2574" s="0" t="s">
        <v>558</v>
      </c>
      <c r="B2574" s="0" t="s">
        <v>75</v>
      </c>
      <c r="C2574" s="0" t="s">
        <v>76</v>
      </c>
      <c r="D2574" s="0" t="n">
        <v>4</v>
      </c>
      <c r="E2574" s="2" t="n">
        <v>40787.7423611111</v>
      </c>
      <c r="F2574" s="0" t="n">
        <v>1.97</v>
      </c>
      <c r="G2574" s="0" t="n">
        <v>16395</v>
      </c>
      <c r="H2574" s="3" t="s">
        <v>14</v>
      </c>
      <c r="I2574" s="4" t="n">
        <f aca="false">D2574*F2574</f>
        <v>7.88</v>
      </c>
      <c r="J2574" s="3" t="n">
        <f aca="false">IF(AND(LEFT(A2574,1)&lt;&gt;"C",D2574&gt;0,F2574&gt;0),1,0)</f>
        <v>1</v>
      </c>
      <c r="K2574" s="3" t="n">
        <f aca="false">IF(AND(H2574="United Kingdom",G2574&lt;&gt;"",COUNTIFS($G$2:G2574,G2574,$H$2:H2574,"United Kingdom")=1),1,0)</f>
        <v>0</v>
      </c>
    </row>
    <row r="2575" customFormat="false" ht="15" hidden="false" customHeight="false" outlineLevel="0" collapsed="false">
      <c r="A2575" s="0" t="s">
        <v>558</v>
      </c>
      <c r="B2575" s="0" t="s">
        <v>20</v>
      </c>
      <c r="C2575" s="0" t="s">
        <v>21</v>
      </c>
      <c r="D2575" s="0" t="n">
        <v>8</v>
      </c>
      <c r="E2575" s="2" t="n">
        <v>40787.7423611111</v>
      </c>
      <c r="F2575" s="0" t="n">
        <v>4.24</v>
      </c>
      <c r="G2575" s="0" t="n">
        <v>16395</v>
      </c>
      <c r="H2575" s="3" t="s">
        <v>14</v>
      </c>
      <c r="I2575" s="4" t="n">
        <f aca="false">D2575*F2575</f>
        <v>33.92</v>
      </c>
      <c r="J2575" s="3" t="n">
        <f aca="false">IF(AND(LEFT(A2575,1)&lt;&gt;"C",D2575&gt;0,F2575&gt;0),1,0)</f>
        <v>1</v>
      </c>
      <c r="K2575" s="3" t="n">
        <f aca="false">IF(AND(H2575="United Kingdom",G2575&lt;&gt;"",COUNTIFS($G$2:G2575,G2575,$H$2:H2575,"United Kingdom")=1),1,0)</f>
        <v>0</v>
      </c>
    </row>
    <row r="2576" customFormat="false" ht="15" hidden="false" customHeight="false" outlineLevel="0" collapsed="false">
      <c r="A2576" s="0" t="s">
        <v>559</v>
      </c>
      <c r="B2576" s="0" t="s">
        <v>54</v>
      </c>
      <c r="C2576" s="0" t="s">
        <v>55</v>
      </c>
      <c r="D2576" s="0" t="n">
        <v>6</v>
      </c>
      <c r="E2576" s="2" t="n">
        <v>40788.3548611111</v>
      </c>
      <c r="F2576" s="0" t="n">
        <v>0.99</v>
      </c>
      <c r="G2576" s="0" t="n">
        <v>13280</v>
      </c>
      <c r="H2576" s="3" t="s">
        <v>14</v>
      </c>
      <c r="I2576" s="4" t="n">
        <f aca="false">D2576*F2576</f>
        <v>5.94</v>
      </c>
      <c r="J2576" s="3" t="n">
        <f aca="false">IF(AND(LEFT(A2576,1)&lt;&gt;"C",D2576&gt;0,F2576&gt;0),1,0)</f>
        <v>1</v>
      </c>
      <c r="K2576" s="3" t="n">
        <f aca="false">IF(AND(H2576="United Kingdom",G2576&lt;&gt;"",COUNTIFS($G$2:G2576,G2576,$H$2:H2576,"United Kingdom")=1),1,0)</f>
        <v>0</v>
      </c>
    </row>
    <row r="2577" customFormat="false" ht="15" hidden="false" customHeight="false" outlineLevel="0" collapsed="false">
      <c r="A2577" s="0" t="s">
        <v>560</v>
      </c>
      <c r="B2577" s="0" t="s">
        <v>29</v>
      </c>
      <c r="C2577" s="0" t="s">
        <v>30</v>
      </c>
      <c r="D2577" s="0" t="n">
        <v>4</v>
      </c>
      <c r="E2577" s="2" t="n">
        <v>40788.3791666667</v>
      </c>
      <c r="F2577" s="0" t="n">
        <v>5.79</v>
      </c>
      <c r="G2577" s="0" t="n">
        <v>17540</v>
      </c>
      <c r="H2577" s="3" t="s">
        <v>97</v>
      </c>
      <c r="I2577" s="4" t="n">
        <f aca="false">D2577*F2577</f>
        <v>23.16</v>
      </c>
      <c r="J2577" s="3" t="n">
        <f aca="false">IF(AND(LEFT(A2577,1)&lt;&gt;"C",D2577&gt;0,F2577&gt;0),1,0)</f>
        <v>1</v>
      </c>
      <c r="K2577" s="3" t="n">
        <f aca="false">IF(AND(H2577="United Kingdom",G2577&lt;&gt;"",COUNTIFS($G$2:G2577,G2577,$H$2:H2577,"United Kingdom")=1),1,0)</f>
        <v>0</v>
      </c>
    </row>
    <row r="2578" customFormat="false" ht="15" hidden="false" customHeight="false" outlineLevel="0" collapsed="false">
      <c r="A2578" s="0" t="s">
        <v>560</v>
      </c>
      <c r="B2578" s="0" t="s">
        <v>72</v>
      </c>
      <c r="C2578" s="0" t="s">
        <v>73</v>
      </c>
      <c r="D2578" s="0" t="n">
        <v>8</v>
      </c>
      <c r="E2578" s="2" t="n">
        <v>40788.3791666667</v>
      </c>
      <c r="F2578" s="0" t="n">
        <v>2.69</v>
      </c>
      <c r="G2578" s="0" t="n">
        <v>17540</v>
      </c>
      <c r="H2578" s="3" t="s">
        <v>97</v>
      </c>
      <c r="I2578" s="4" t="n">
        <f aca="false">D2578*F2578</f>
        <v>21.52</v>
      </c>
      <c r="J2578" s="3" t="n">
        <f aca="false">IF(AND(LEFT(A2578,1)&lt;&gt;"C",D2578&gt;0,F2578&gt;0),1,0)</f>
        <v>1</v>
      </c>
      <c r="K2578" s="3" t="n">
        <f aca="false">IF(AND(H2578="United Kingdom",G2578&lt;&gt;"",COUNTIFS($G$2:G2578,G2578,$H$2:H2578,"United Kingdom")=1),1,0)</f>
        <v>0</v>
      </c>
    </row>
    <row r="2579" customFormat="false" ht="15" hidden="false" customHeight="false" outlineLevel="0" collapsed="false">
      <c r="A2579" s="0" t="s">
        <v>560</v>
      </c>
      <c r="B2579" s="0" t="s">
        <v>12</v>
      </c>
      <c r="C2579" s="0" t="s">
        <v>13</v>
      </c>
      <c r="D2579" s="0" t="n">
        <v>16</v>
      </c>
      <c r="E2579" s="2" t="n">
        <v>40788.3791666667</v>
      </c>
      <c r="F2579" s="0" t="n">
        <v>3.33</v>
      </c>
      <c r="G2579" s="0" t="n">
        <v>17540</v>
      </c>
      <c r="H2579" s="3" t="s">
        <v>97</v>
      </c>
      <c r="I2579" s="4" t="n">
        <f aca="false">D2579*F2579</f>
        <v>53.28</v>
      </c>
      <c r="J2579" s="3" t="n">
        <f aca="false">IF(AND(LEFT(A2579,1)&lt;&gt;"C",D2579&gt;0,F2579&gt;0),1,0)</f>
        <v>1</v>
      </c>
      <c r="K2579" s="3" t="n">
        <f aca="false">IF(AND(H2579="United Kingdom",G2579&lt;&gt;"",COUNTIFS($G$2:G2579,G2579,$H$2:H2579,"United Kingdom")=1),1,0)</f>
        <v>0</v>
      </c>
    </row>
    <row r="2580" customFormat="false" ht="15" hidden="false" customHeight="false" outlineLevel="0" collapsed="false">
      <c r="A2580" s="0" t="s">
        <v>561</v>
      </c>
      <c r="B2580" s="0" t="s">
        <v>43</v>
      </c>
      <c r="C2580" s="0" t="s">
        <v>44</v>
      </c>
      <c r="D2580" s="0" t="n">
        <v>32</v>
      </c>
      <c r="E2580" s="2" t="n">
        <v>40788.5305555556</v>
      </c>
      <c r="F2580" s="0" t="n">
        <v>1.35</v>
      </c>
      <c r="G2580" s="0" t="n">
        <v>14012</v>
      </c>
      <c r="H2580" s="3" t="s">
        <v>97</v>
      </c>
      <c r="I2580" s="4" t="n">
        <f aca="false">D2580*F2580</f>
        <v>43.2</v>
      </c>
      <c r="J2580" s="3" t="n">
        <f aca="false">IF(AND(LEFT(A2580,1)&lt;&gt;"C",D2580&gt;0,F2580&gt;0),1,0)</f>
        <v>1</v>
      </c>
      <c r="K2580" s="3" t="n">
        <f aca="false">IF(AND(H2580="United Kingdom",G2580&lt;&gt;"",COUNTIFS($G$2:G2580,G2580,$H$2:H2580,"United Kingdom")=1),1,0)</f>
        <v>0</v>
      </c>
    </row>
    <row r="2581" customFormat="false" ht="15" hidden="false" customHeight="false" outlineLevel="0" collapsed="false">
      <c r="A2581" s="0" t="s">
        <v>562</v>
      </c>
      <c r="B2581" s="0" t="s">
        <v>45</v>
      </c>
      <c r="C2581" s="0" t="s">
        <v>46</v>
      </c>
      <c r="D2581" s="0" t="n">
        <v>38</v>
      </c>
      <c r="E2581" s="2" t="n">
        <v>40788.5444444444</v>
      </c>
      <c r="F2581" s="0" t="n">
        <v>4.55</v>
      </c>
      <c r="G2581" s="0" t="n">
        <v>13034</v>
      </c>
      <c r="H2581" s="3" t="s">
        <v>57</v>
      </c>
      <c r="I2581" s="4" t="n">
        <f aca="false">D2581*F2581</f>
        <v>172.9</v>
      </c>
      <c r="J2581" s="3" t="n">
        <f aca="false">IF(AND(LEFT(A2581,1)&lt;&gt;"C",D2581&gt;0,F2581&gt;0),1,0)</f>
        <v>1</v>
      </c>
      <c r="K2581" s="3" t="n">
        <f aca="false">IF(AND(H2581="United Kingdom",G2581&lt;&gt;"",COUNTIFS($G$2:G2581,G2581,$H$2:H2581,"United Kingdom")=1),1,0)</f>
        <v>0</v>
      </c>
    </row>
    <row r="2582" customFormat="false" ht="15" hidden="false" customHeight="false" outlineLevel="0" collapsed="false">
      <c r="A2582" s="0" t="s">
        <v>562</v>
      </c>
      <c r="B2582" s="0" t="s">
        <v>41</v>
      </c>
      <c r="C2582" s="0" t="s">
        <v>42</v>
      </c>
      <c r="D2582" s="0" t="n">
        <v>9</v>
      </c>
      <c r="E2582" s="2" t="n">
        <v>40788.5444444444</v>
      </c>
      <c r="F2582" s="0" t="n">
        <v>3.28</v>
      </c>
      <c r="G2582" s="0" t="n">
        <v>13034</v>
      </c>
      <c r="H2582" s="3" t="s">
        <v>57</v>
      </c>
      <c r="I2582" s="4" t="n">
        <f aca="false">D2582*F2582</f>
        <v>29.52</v>
      </c>
      <c r="J2582" s="3" t="n">
        <f aca="false">IF(AND(LEFT(A2582,1)&lt;&gt;"C",D2582&gt;0,F2582&gt;0),1,0)</f>
        <v>1</v>
      </c>
      <c r="K2582" s="3" t="n">
        <f aca="false">IF(AND(H2582="United Kingdom",G2582&lt;&gt;"",COUNTIFS($G$2:G2582,G2582,$H$2:H2582,"United Kingdom")=1),1,0)</f>
        <v>0</v>
      </c>
    </row>
    <row r="2583" customFormat="false" ht="15" hidden="false" customHeight="false" outlineLevel="0" collapsed="false">
      <c r="A2583" s="0" t="s">
        <v>562</v>
      </c>
      <c r="B2583" s="0" t="s">
        <v>39</v>
      </c>
      <c r="C2583" s="0" t="s">
        <v>40</v>
      </c>
      <c r="D2583" s="0" t="n">
        <v>9</v>
      </c>
      <c r="E2583" s="2" t="n">
        <v>40788.5444444444</v>
      </c>
      <c r="F2583" s="0" t="n">
        <v>2.58</v>
      </c>
      <c r="G2583" s="0" t="n">
        <v>13034</v>
      </c>
      <c r="H2583" s="3" t="s">
        <v>57</v>
      </c>
      <c r="I2583" s="4" t="n">
        <f aca="false">D2583*F2583</f>
        <v>23.22</v>
      </c>
      <c r="J2583" s="3" t="n">
        <f aca="false">IF(AND(LEFT(A2583,1)&lt;&gt;"C",D2583&gt;0,F2583&gt;0),1,0)</f>
        <v>1</v>
      </c>
      <c r="K2583" s="3" t="n">
        <f aca="false">IF(AND(H2583="United Kingdom",G2583&lt;&gt;"",COUNTIFS($G$2:G2583,G2583,$H$2:H2583,"United Kingdom")=1),1,0)</f>
        <v>0</v>
      </c>
    </row>
    <row r="2584" customFormat="false" ht="15" hidden="false" customHeight="false" outlineLevel="0" collapsed="false">
      <c r="A2584" s="0" t="s">
        <v>562</v>
      </c>
      <c r="B2584" s="0" t="s">
        <v>77</v>
      </c>
      <c r="C2584" s="0" t="s">
        <v>78</v>
      </c>
      <c r="D2584" s="0" t="n">
        <v>12</v>
      </c>
      <c r="E2584" s="2" t="n">
        <v>40788.5444444444</v>
      </c>
      <c r="F2584" s="0" t="n">
        <v>3.41</v>
      </c>
      <c r="G2584" s="0" t="n">
        <v>13034</v>
      </c>
      <c r="H2584" s="3" t="s">
        <v>57</v>
      </c>
      <c r="I2584" s="4" t="n">
        <f aca="false">D2584*F2584</f>
        <v>40.92</v>
      </c>
      <c r="J2584" s="3" t="n">
        <f aca="false">IF(AND(LEFT(A2584,1)&lt;&gt;"C",D2584&gt;0,F2584&gt;0),1,0)</f>
        <v>1</v>
      </c>
      <c r="K2584" s="3" t="n">
        <f aca="false">IF(AND(H2584="United Kingdom",G2584&lt;&gt;"",COUNTIFS($G$2:G2584,G2584,$H$2:H2584,"United Kingdom")=1),1,0)</f>
        <v>0</v>
      </c>
    </row>
    <row r="2585" customFormat="false" ht="15" hidden="false" customHeight="false" outlineLevel="0" collapsed="false">
      <c r="A2585" s="0" t="s">
        <v>562</v>
      </c>
      <c r="B2585" s="0" t="s">
        <v>22</v>
      </c>
      <c r="C2585" s="0" t="s">
        <v>23</v>
      </c>
      <c r="D2585" s="0" t="n">
        <v>19</v>
      </c>
      <c r="E2585" s="2" t="n">
        <v>40788.5444444444</v>
      </c>
      <c r="F2585" s="0" t="n">
        <v>3.18</v>
      </c>
      <c r="G2585" s="0" t="n">
        <v>13034</v>
      </c>
      <c r="H2585" s="3" t="s">
        <v>57</v>
      </c>
      <c r="I2585" s="4" t="n">
        <f aca="false">D2585*F2585</f>
        <v>60.42</v>
      </c>
      <c r="J2585" s="3" t="n">
        <f aca="false">IF(AND(LEFT(A2585,1)&lt;&gt;"C",D2585&gt;0,F2585&gt;0),1,0)</f>
        <v>1</v>
      </c>
      <c r="K2585" s="3" t="n">
        <f aca="false">IF(AND(H2585="United Kingdom",G2585&lt;&gt;"",COUNTIFS($G$2:G2585,G2585,$H$2:H2585,"United Kingdom")=1),1,0)</f>
        <v>0</v>
      </c>
    </row>
    <row r="2586" customFormat="false" ht="15" hidden="false" customHeight="false" outlineLevel="0" collapsed="false">
      <c r="A2586" s="0" t="s">
        <v>562</v>
      </c>
      <c r="B2586" s="0" t="s">
        <v>15</v>
      </c>
      <c r="C2586" s="0" t="s">
        <v>16</v>
      </c>
      <c r="D2586" s="0" t="n">
        <v>6</v>
      </c>
      <c r="E2586" s="2" t="n">
        <v>40788.5444444444</v>
      </c>
      <c r="F2586" s="0" t="n">
        <v>3.18</v>
      </c>
      <c r="G2586" s="0" t="n">
        <v>13034</v>
      </c>
      <c r="H2586" s="3" t="s">
        <v>57</v>
      </c>
      <c r="I2586" s="4" t="n">
        <f aca="false">D2586*F2586</f>
        <v>19.08</v>
      </c>
      <c r="J2586" s="3" t="n">
        <f aca="false">IF(AND(LEFT(A2586,1)&lt;&gt;"C",D2586&gt;0,F2586&gt;0),1,0)</f>
        <v>1</v>
      </c>
      <c r="K2586" s="3" t="n">
        <f aca="false">IF(AND(H2586="United Kingdom",G2586&lt;&gt;"",COUNTIFS($G$2:G2586,G2586,$H$2:H2586,"United Kingdom")=1),1,0)</f>
        <v>0</v>
      </c>
    </row>
    <row r="2587" customFormat="false" ht="15" hidden="false" customHeight="false" outlineLevel="0" collapsed="false">
      <c r="A2587" s="0" t="s">
        <v>562</v>
      </c>
      <c r="B2587" s="0" t="s">
        <v>54</v>
      </c>
      <c r="C2587" s="0" t="s">
        <v>55</v>
      </c>
      <c r="D2587" s="0" t="n">
        <v>9</v>
      </c>
      <c r="E2587" s="2" t="n">
        <v>40788.5444444444</v>
      </c>
      <c r="F2587" s="0" t="n">
        <v>0.99</v>
      </c>
      <c r="G2587" s="0" t="n">
        <v>13034</v>
      </c>
      <c r="H2587" s="3" t="s">
        <v>57</v>
      </c>
      <c r="I2587" s="4" t="n">
        <f aca="false">D2587*F2587</f>
        <v>8.91</v>
      </c>
      <c r="J2587" s="3" t="n">
        <f aca="false">IF(AND(LEFT(A2587,1)&lt;&gt;"C",D2587&gt;0,F2587&gt;0),1,0)</f>
        <v>1</v>
      </c>
      <c r="K2587" s="3" t="n">
        <f aca="false">IF(AND(H2587="United Kingdom",G2587&lt;&gt;"",COUNTIFS($G$2:G2587,G2587,$H$2:H2587,"United Kingdom")=1),1,0)</f>
        <v>0</v>
      </c>
    </row>
    <row r="2588" customFormat="false" ht="15" hidden="false" customHeight="false" outlineLevel="0" collapsed="false">
      <c r="A2588" s="0" t="s">
        <v>563</v>
      </c>
      <c r="B2588" s="0" t="s">
        <v>65</v>
      </c>
      <c r="C2588" s="0" t="s">
        <v>66</v>
      </c>
      <c r="D2588" s="0" t="n">
        <v>4</v>
      </c>
      <c r="E2588" s="2" t="n">
        <v>40788.6055555556</v>
      </c>
      <c r="F2588" s="0" t="n">
        <v>4.75</v>
      </c>
      <c r="G2588" s="0" t="n">
        <v>16461</v>
      </c>
      <c r="H2588" s="3" t="s">
        <v>14</v>
      </c>
      <c r="I2588" s="4" t="n">
        <f aca="false">D2588*F2588</f>
        <v>19</v>
      </c>
      <c r="J2588" s="3" t="n">
        <f aca="false">IF(AND(LEFT(A2588,1)&lt;&gt;"C",D2588&gt;0,F2588&gt;0),1,0)</f>
        <v>1</v>
      </c>
      <c r="K2588" s="3" t="n">
        <f aca="false">IF(AND(H2588="United Kingdom",G2588&lt;&gt;"",COUNTIFS($G$2:G2588,G2588,$H$2:H2588,"United Kingdom")=1),1,0)</f>
        <v>0</v>
      </c>
    </row>
    <row r="2589" customFormat="false" ht="15" hidden="false" customHeight="false" outlineLevel="0" collapsed="false">
      <c r="A2589" s="0" t="s">
        <v>563</v>
      </c>
      <c r="B2589" s="0" t="s">
        <v>17</v>
      </c>
      <c r="C2589" s="0" t="s">
        <v>18</v>
      </c>
      <c r="D2589" s="0" t="n">
        <v>2</v>
      </c>
      <c r="E2589" s="2" t="n">
        <v>40788.6055555556</v>
      </c>
      <c r="F2589" s="0" t="n">
        <v>1.92</v>
      </c>
      <c r="G2589" s="0" t="n">
        <v>16461</v>
      </c>
      <c r="H2589" s="3" t="s">
        <v>14</v>
      </c>
      <c r="I2589" s="4" t="n">
        <f aca="false">D2589*F2589</f>
        <v>3.84</v>
      </c>
      <c r="J2589" s="3" t="n">
        <f aca="false">IF(AND(LEFT(A2589,1)&lt;&gt;"C",D2589&gt;0,F2589&gt;0),1,0)</f>
        <v>1</v>
      </c>
      <c r="K2589" s="3" t="n">
        <f aca="false">IF(AND(H2589="United Kingdom",G2589&lt;&gt;"",COUNTIFS($G$2:G2589,G2589,$H$2:H2589,"United Kingdom")=1),1,0)</f>
        <v>0</v>
      </c>
    </row>
    <row r="2590" customFormat="false" ht="15" hidden="false" customHeight="false" outlineLevel="0" collapsed="false">
      <c r="A2590" s="0" t="s">
        <v>563</v>
      </c>
      <c r="B2590" s="0" t="s">
        <v>68</v>
      </c>
      <c r="C2590" s="0" t="s">
        <v>69</v>
      </c>
      <c r="D2590" s="0" t="n">
        <v>4</v>
      </c>
      <c r="E2590" s="2" t="n">
        <v>40788.6055555556</v>
      </c>
      <c r="F2590" s="0" t="n">
        <v>1.26</v>
      </c>
      <c r="G2590" s="0" t="n">
        <v>16461</v>
      </c>
      <c r="H2590" s="3" t="s">
        <v>14</v>
      </c>
      <c r="I2590" s="4" t="n">
        <f aca="false">D2590*F2590</f>
        <v>5.04</v>
      </c>
      <c r="J2590" s="3" t="n">
        <f aca="false">IF(AND(LEFT(A2590,1)&lt;&gt;"C",D2590&gt;0,F2590&gt;0),1,0)</f>
        <v>1</v>
      </c>
      <c r="K2590" s="3" t="n">
        <f aca="false">IF(AND(H2590="United Kingdom",G2590&lt;&gt;"",COUNTIFS($G$2:G2590,G2590,$H$2:H2590,"United Kingdom")=1),1,0)</f>
        <v>0</v>
      </c>
    </row>
    <row r="2591" customFormat="false" ht="15" hidden="false" customHeight="false" outlineLevel="0" collapsed="false">
      <c r="A2591" s="0" t="s">
        <v>563</v>
      </c>
      <c r="B2591" s="0" t="s">
        <v>48</v>
      </c>
      <c r="C2591" s="0" t="s">
        <v>49</v>
      </c>
      <c r="D2591" s="0" t="n">
        <v>3</v>
      </c>
      <c r="E2591" s="2" t="n">
        <v>40788.6055555556</v>
      </c>
      <c r="F2591" s="0" t="n">
        <v>1.35</v>
      </c>
      <c r="G2591" s="0" t="n">
        <v>16461</v>
      </c>
      <c r="H2591" s="3" t="s">
        <v>14</v>
      </c>
      <c r="I2591" s="4" t="n">
        <f aca="false">D2591*F2591</f>
        <v>4.05</v>
      </c>
      <c r="J2591" s="3" t="n">
        <f aca="false">IF(AND(LEFT(A2591,1)&lt;&gt;"C",D2591&gt;0,F2591&gt;0),1,0)</f>
        <v>1</v>
      </c>
      <c r="K2591" s="3" t="n">
        <f aca="false">IF(AND(H2591="United Kingdom",G2591&lt;&gt;"",COUNTIFS($G$2:G2591,G2591,$H$2:H2591,"United Kingdom")=1),1,0)</f>
        <v>0</v>
      </c>
    </row>
    <row r="2592" customFormat="false" ht="15" hidden="false" customHeight="false" outlineLevel="0" collapsed="false">
      <c r="A2592" s="0" t="s">
        <v>563</v>
      </c>
      <c r="B2592" s="0" t="s">
        <v>80</v>
      </c>
      <c r="C2592" s="0" t="s">
        <v>81</v>
      </c>
      <c r="D2592" s="0" t="n">
        <v>4</v>
      </c>
      <c r="E2592" s="2" t="n">
        <v>40788.6055555556</v>
      </c>
      <c r="F2592" s="0" t="n">
        <v>1.53</v>
      </c>
      <c r="G2592" s="0" t="n">
        <v>16461</v>
      </c>
      <c r="H2592" s="3" t="s">
        <v>14</v>
      </c>
      <c r="I2592" s="4" t="n">
        <f aca="false">D2592*F2592</f>
        <v>6.12</v>
      </c>
      <c r="J2592" s="3" t="n">
        <f aca="false">IF(AND(LEFT(A2592,1)&lt;&gt;"C",D2592&gt;0,F2592&gt;0),1,0)</f>
        <v>1</v>
      </c>
      <c r="K2592" s="3" t="n">
        <f aca="false">IF(AND(H2592="United Kingdom",G2592&lt;&gt;"",COUNTIFS($G$2:G2592,G2592,$H$2:H2592,"United Kingdom")=1),1,0)</f>
        <v>0</v>
      </c>
    </row>
    <row r="2593" customFormat="false" ht="15" hidden="false" customHeight="false" outlineLevel="0" collapsed="false">
      <c r="A2593" s="0" t="s">
        <v>563</v>
      </c>
      <c r="B2593" s="0" t="s">
        <v>52</v>
      </c>
      <c r="C2593" s="0" t="s">
        <v>53</v>
      </c>
      <c r="D2593" s="0" t="n">
        <v>2</v>
      </c>
      <c r="E2593" s="2" t="n">
        <v>40788.6055555556</v>
      </c>
      <c r="F2593" s="0" t="n">
        <v>4.16</v>
      </c>
      <c r="G2593" s="0" t="n">
        <v>16461</v>
      </c>
      <c r="H2593" s="3" t="s">
        <v>14</v>
      </c>
      <c r="I2593" s="4" t="n">
        <f aca="false">D2593*F2593</f>
        <v>8.32</v>
      </c>
      <c r="J2593" s="3" t="n">
        <f aca="false">IF(AND(LEFT(A2593,1)&lt;&gt;"C",D2593&gt;0,F2593&gt;0),1,0)</f>
        <v>1</v>
      </c>
      <c r="K2593" s="3" t="n">
        <f aca="false">IF(AND(H2593="United Kingdom",G2593&lt;&gt;"",COUNTIFS($G$2:G2593,G2593,$H$2:H2593,"United Kingdom")=1),1,0)</f>
        <v>0</v>
      </c>
    </row>
    <row r="2594" customFormat="false" ht="15" hidden="false" customHeight="false" outlineLevel="0" collapsed="false">
      <c r="A2594" s="0" t="s">
        <v>563</v>
      </c>
      <c r="B2594" s="0" t="s">
        <v>72</v>
      </c>
      <c r="C2594" s="0" t="s">
        <v>73</v>
      </c>
      <c r="D2594" s="0" t="n">
        <v>4</v>
      </c>
      <c r="E2594" s="2" t="n">
        <v>40788.6055555556</v>
      </c>
      <c r="F2594" s="0" t="n">
        <v>2.69</v>
      </c>
      <c r="G2594" s="0" t="n">
        <v>16461</v>
      </c>
      <c r="H2594" s="3" t="s">
        <v>14</v>
      </c>
      <c r="I2594" s="4" t="n">
        <f aca="false">D2594*F2594</f>
        <v>10.76</v>
      </c>
      <c r="J2594" s="3" t="n">
        <f aca="false">IF(AND(LEFT(A2594,1)&lt;&gt;"C",D2594&gt;0,F2594&gt;0),1,0)</f>
        <v>1</v>
      </c>
      <c r="K2594" s="3" t="n">
        <f aca="false">IF(AND(H2594="United Kingdom",G2594&lt;&gt;"",COUNTIFS($G$2:G2594,G2594,$H$2:H2594,"United Kingdom")=1),1,0)</f>
        <v>0</v>
      </c>
    </row>
    <row r="2595" customFormat="false" ht="15" hidden="false" customHeight="false" outlineLevel="0" collapsed="false">
      <c r="A2595" s="0" t="s">
        <v>563</v>
      </c>
      <c r="B2595" s="0" t="s">
        <v>15</v>
      </c>
      <c r="C2595" s="0" t="s">
        <v>16</v>
      </c>
      <c r="D2595" s="0" t="n">
        <v>2</v>
      </c>
      <c r="E2595" s="2" t="n">
        <v>40788.6055555556</v>
      </c>
      <c r="F2595" s="0" t="n">
        <v>3.18</v>
      </c>
      <c r="G2595" s="0" t="n">
        <v>16461</v>
      </c>
      <c r="H2595" s="3" t="s">
        <v>14</v>
      </c>
      <c r="I2595" s="4" t="n">
        <f aca="false">D2595*F2595</f>
        <v>6.36</v>
      </c>
      <c r="J2595" s="3" t="n">
        <f aca="false">IF(AND(LEFT(A2595,1)&lt;&gt;"C",D2595&gt;0,F2595&gt;0),1,0)</f>
        <v>1</v>
      </c>
      <c r="K2595" s="3" t="n">
        <f aca="false">IF(AND(H2595="United Kingdom",G2595&lt;&gt;"",COUNTIFS($G$2:G2595,G2595,$H$2:H2595,"United Kingdom")=1),1,0)</f>
        <v>0</v>
      </c>
    </row>
    <row r="2596" customFormat="false" ht="15" hidden="false" customHeight="false" outlineLevel="0" collapsed="false">
      <c r="A2596" s="0" t="s">
        <v>563</v>
      </c>
      <c r="B2596" s="0" t="s">
        <v>20</v>
      </c>
      <c r="C2596" s="0" t="s">
        <v>21</v>
      </c>
      <c r="D2596" s="0" t="n">
        <v>3</v>
      </c>
      <c r="E2596" s="2" t="n">
        <v>40788.6055555556</v>
      </c>
      <c r="F2596" s="0" t="n">
        <v>4.24</v>
      </c>
      <c r="G2596" s="0" t="n">
        <v>16461</v>
      </c>
      <c r="H2596" s="3" t="s">
        <v>14</v>
      </c>
      <c r="I2596" s="4" t="n">
        <f aca="false">D2596*F2596</f>
        <v>12.72</v>
      </c>
      <c r="J2596" s="3" t="n">
        <f aca="false">IF(AND(LEFT(A2596,1)&lt;&gt;"C",D2596&gt;0,F2596&gt;0),1,0)</f>
        <v>1</v>
      </c>
      <c r="K2596" s="3" t="n">
        <f aca="false">IF(AND(H2596="United Kingdom",G2596&lt;&gt;"",COUNTIFS($G$2:G2596,G2596,$H$2:H2596,"United Kingdom")=1),1,0)</f>
        <v>0</v>
      </c>
    </row>
    <row r="2597" customFormat="false" ht="15" hidden="false" customHeight="false" outlineLevel="0" collapsed="false">
      <c r="A2597" s="0" t="s">
        <v>563</v>
      </c>
      <c r="B2597" s="0" t="s">
        <v>43</v>
      </c>
      <c r="C2597" s="0" t="s">
        <v>44</v>
      </c>
      <c r="D2597" s="0" t="n">
        <v>6</v>
      </c>
      <c r="E2597" s="2" t="n">
        <v>40788.6055555556</v>
      </c>
      <c r="F2597" s="0" t="n">
        <v>1.35</v>
      </c>
      <c r="G2597" s="0" t="n">
        <v>16461</v>
      </c>
      <c r="H2597" s="3" t="s">
        <v>14</v>
      </c>
      <c r="I2597" s="4" t="n">
        <f aca="false">D2597*F2597</f>
        <v>8.1</v>
      </c>
      <c r="J2597" s="3" t="n">
        <f aca="false">IF(AND(LEFT(A2597,1)&lt;&gt;"C",D2597&gt;0,F2597&gt;0),1,0)</f>
        <v>1</v>
      </c>
      <c r="K2597" s="3" t="n">
        <f aca="false">IF(AND(H2597="United Kingdom",G2597&lt;&gt;"",COUNTIFS($G$2:G2597,G2597,$H$2:H2597,"United Kingdom")=1),1,0)</f>
        <v>0</v>
      </c>
    </row>
    <row r="2598" customFormat="false" ht="15" hidden="false" customHeight="false" outlineLevel="0" collapsed="false">
      <c r="A2598" s="0" t="s">
        <v>563</v>
      </c>
      <c r="B2598" s="0" t="s">
        <v>39</v>
      </c>
      <c r="C2598" s="0" t="s">
        <v>40</v>
      </c>
      <c r="D2598" s="0" t="n">
        <v>4</v>
      </c>
      <c r="E2598" s="2" t="n">
        <v>40788.6055555556</v>
      </c>
      <c r="F2598" s="0" t="n">
        <v>2.58</v>
      </c>
      <c r="G2598" s="0" t="n">
        <v>16461</v>
      </c>
      <c r="H2598" s="3" t="s">
        <v>14</v>
      </c>
      <c r="I2598" s="4" t="n">
        <f aca="false">D2598*F2598</f>
        <v>10.32</v>
      </c>
      <c r="J2598" s="3" t="n">
        <f aca="false">IF(AND(LEFT(A2598,1)&lt;&gt;"C",D2598&gt;0,F2598&gt;0),1,0)</f>
        <v>1</v>
      </c>
      <c r="K2598" s="3" t="n">
        <f aca="false">IF(AND(H2598="United Kingdom",G2598&lt;&gt;"",COUNTIFS($G$2:G2598,G2598,$H$2:H2598,"United Kingdom")=1),1,0)</f>
        <v>0</v>
      </c>
    </row>
    <row r="2599" customFormat="false" ht="15" hidden="false" customHeight="false" outlineLevel="0" collapsed="false">
      <c r="A2599" s="0" t="s">
        <v>563</v>
      </c>
      <c r="B2599" s="0" t="s">
        <v>54</v>
      </c>
      <c r="C2599" s="0" t="s">
        <v>55</v>
      </c>
      <c r="D2599" s="0" t="n">
        <v>6</v>
      </c>
      <c r="E2599" s="2" t="n">
        <v>40788.6055555556</v>
      </c>
      <c r="F2599" s="0" t="n">
        <v>0.99</v>
      </c>
      <c r="G2599" s="0" t="n">
        <v>16461</v>
      </c>
      <c r="H2599" s="3" t="s">
        <v>14</v>
      </c>
      <c r="I2599" s="4" t="n">
        <f aca="false">D2599*F2599</f>
        <v>5.94</v>
      </c>
      <c r="J2599" s="3" t="n">
        <f aca="false">IF(AND(LEFT(A2599,1)&lt;&gt;"C",D2599&gt;0,F2599&gt;0),1,0)</f>
        <v>1</v>
      </c>
      <c r="K2599" s="3" t="n">
        <f aca="false">IF(AND(H2599="United Kingdom",G2599&lt;&gt;"",COUNTIFS($G$2:G2599,G2599,$H$2:H2599,"United Kingdom")=1),1,0)</f>
        <v>0</v>
      </c>
    </row>
    <row r="2600" customFormat="false" ht="15" hidden="false" customHeight="false" outlineLevel="0" collapsed="false">
      <c r="A2600" s="0" t="s">
        <v>563</v>
      </c>
      <c r="B2600" s="0" t="s">
        <v>32</v>
      </c>
      <c r="C2600" s="0" t="s">
        <v>33</v>
      </c>
      <c r="D2600" s="0" t="n">
        <v>24</v>
      </c>
      <c r="E2600" s="2" t="n">
        <v>40788.6055555556</v>
      </c>
      <c r="F2600" s="0" t="n">
        <v>1.19</v>
      </c>
      <c r="G2600" s="0" t="n">
        <v>16461</v>
      </c>
      <c r="H2600" s="3" t="s">
        <v>14</v>
      </c>
      <c r="I2600" s="4" t="n">
        <f aca="false">D2600*F2600</f>
        <v>28.56</v>
      </c>
      <c r="J2600" s="3" t="n">
        <f aca="false">IF(AND(LEFT(A2600,1)&lt;&gt;"C",D2600&gt;0,F2600&gt;0),1,0)</f>
        <v>1</v>
      </c>
      <c r="K2600" s="3" t="n">
        <f aca="false">IF(AND(H2600="United Kingdom",G2600&lt;&gt;"",COUNTIFS($G$2:G2600,G2600,$H$2:H2600,"United Kingdom")=1),1,0)</f>
        <v>0</v>
      </c>
    </row>
    <row r="2601" customFormat="false" ht="15" hidden="false" customHeight="false" outlineLevel="0" collapsed="false">
      <c r="A2601" s="0" t="s">
        <v>563</v>
      </c>
      <c r="B2601" s="0" t="s">
        <v>63</v>
      </c>
      <c r="C2601" s="0" t="s">
        <v>64</v>
      </c>
      <c r="D2601" s="0" t="n">
        <v>8</v>
      </c>
      <c r="E2601" s="2" t="n">
        <v>40788.6055555556</v>
      </c>
      <c r="F2601" s="0" t="n">
        <v>2.43</v>
      </c>
      <c r="G2601" s="0" t="n">
        <v>16461</v>
      </c>
      <c r="H2601" s="3" t="s">
        <v>14</v>
      </c>
      <c r="I2601" s="4" t="n">
        <f aca="false">D2601*F2601</f>
        <v>19.44</v>
      </c>
      <c r="J2601" s="3" t="n">
        <f aca="false">IF(AND(LEFT(A2601,1)&lt;&gt;"C",D2601&gt;0,F2601&gt;0),1,0)</f>
        <v>1</v>
      </c>
      <c r="K2601" s="3" t="n">
        <f aca="false">IF(AND(H2601="United Kingdom",G2601&lt;&gt;"",COUNTIFS($G$2:G2601,G2601,$H$2:H2601,"United Kingdom")=1),1,0)</f>
        <v>0</v>
      </c>
    </row>
    <row r="2602" customFormat="false" ht="15" hidden="false" customHeight="false" outlineLevel="0" collapsed="false">
      <c r="A2602" s="0" t="s">
        <v>563</v>
      </c>
      <c r="B2602" s="0" t="s">
        <v>12</v>
      </c>
      <c r="C2602" s="0" t="s">
        <v>13</v>
      </c>
      <c r="D2602" s="0" t="n">
        <v>4</v>
      </c>
      <c r="E2602" s="2" t="n">
        <v>40788.6055555556</v>
      </c>
      <c r="F2602" s="0" t="n">
        <v>3.33</v>
      </c>
      <c r="G2602" s="0" t="n">
        <v>16461</v>
      </c>
      <c r="H2602" s="3" t="s">
        <v>14</v>
      </c>
      <c r="I2602" s="4" t="n">
        <f aca="false">D2602*F2602</f>
        <v>13.32</v>
      </c>
      <c r="J2602" s="3" t="n">
        <f aca="false">IF(AND(LEFT(A2602,1)&lt;&gt;"C",D2602&gt;0,F2602&gt;0),1,0)</f>
        <v>1</v>
      </c>
      <c r="K2602" s="3" t="n">
        <f aca="false">IF(AND(H2602="United Kingdom",G2602&lt;&gt;"",COUNTIFS($G$2:G2602,G2602,$H$2:H2602,"United Kingdom")=1),1,0)</f>
        <v>0</v>
      </c>
    </row>
    <row r="2603" customFormat="false" ht="15" hidden="false" customHeight="false" outlineLevel="0" collapsed="false">
      <c r="A2603" s="0" t="s">
        <v>563</v>
      </c>
      <c r="B2603" s="0" t="s">
        <v>75</v>
      </c>
      <c r="C2603" s="0" t="s">
        <v>76</v>
      </c>
      <c r="D2603" s="0" t="n">
        <v>2</v>
      </c>
      <c r="E2603" s="2" t="n">
        <v>40788.6055555556</v>
      </c>
      <c r="F2603" s="0" t="n">
        <v>1.97</v>
      </c>
      <c r="G2603" s="0" t="n">
        <v>16461</v>
      </c>
      <c r="H2603" s="3" t="s">
        <v>14</v>
      </c>
      <c r="I2603" s="4" t="n">
        <f aca="false">D2603*F2603</f>
        <v>3.94</v>
      </c>
      <c r="J2603" s="3" t="n">
        <f aca="false">IF(AND(LEFT(A2603,1)&lt;&gt;"C",D2603&gt;0,F2603&gt;0),1,0)</f>
        <v>1</v>
      </c>
      <c r="K2603" s="3" t="n">
        <f aca="false">IF(AND(H2603="United Kingdom",G2603&lt;&gt;"",COUNTIFS($G$2:G2603,G2603,$H$2:H2603,"United Kingdom")=1),1,0)</f>
        <v>0</v>
      </c>
    </row>
    <row r="2604" customFormat="false" ht="15" hidden="false" customHeight="false" outlineLevel="0" collapsed="false">
      <c r="A2604" s="0" t="s">
        <v>564</v>
      </c>
      <c r="B2604" s="0" t="s">
        <v>17</v>
      </c>
      <c r="C2604" s="0" t="s">
        <v>18</v>
      </c>
      <c r="D2604" s="0" t="n">
        <v>8</v>
      </c>
      <c r="E2604" s="2" t="n">
        <v>40788.7020833333</v>
      </c>
      <c r="F2604" s="0" t="n">
        <v>1.92</v>
      </c>
      <c r="G2604" s="0" t="n">
        <v>16612</v>
      </c>
      <c r="H2604" s="3" t="s">
        <v>14</v>
      </c>
      <c r="I2604" s="4" t="n">
        <f aca="false">D2604*F2604</f>
        <v>15.36</v>
      </c>
      <c r="J2604" s="3" t="n">
        <f aca="false">IF(AND(LEFT(A2604,1)&lt;&gt;"C",D2604&gt;0,F2604&gt;0),1,0)</f>
        <v>1</v>
      </c>
      <c r="K2604" s="3" t="n">
        <f aca="false">IF(AND(H2604="United Kingdom",G2604&lt;&gt;"",COUNTIFS($G$2:G2604,G2604,$H$2:H2604,"United Kingdom")=1),1,0)</f>
        <v>0</v>
      </c>
    </row>
    <row r="2605" customFormat="false" ht="15" hidden="false" customHeight="false" outlineLevel="0" collapsed="false">
      <c r="A2605" s="0" t="s">
        <v>564</v>
      </c>
      <c r="B2605" s="0" t="s">
        <v>50</v>
      </c>
      <c r="C2605" s="0" t="s">
        <v>51</v>
      </c>
      <c r="D2605" s="0" t="n">
        <v>2</v>
      </c>
      <c r="E2605" s="2" t="n">
        <v>40788.7020833333</v>
      </c>
      <c r="F2605" s="0" t="n">
        <v>5.41</v>
      </c>
      <c r="G2605" s="0" t="n">
        <v>16612</v>
      </c>
      <c r="H2605" s="3" t="s">
        <v>14</v>
      </c>
      <c r="I2605" s="4" t="n">
        <f aca="false">D2605*F2605</f>
        <v>10.82</v>
      </c>
      <c r="J2605" s="3" t="n">
        <f aca="false">IF(AND(LEFT(A2605,1)&lt;&gt;"C",D2605&gt;0,F2605&gt;0),1,0)</f>
        <v>1</v>
      </c>
      <c r="K2605" s="3" t="n">
        <f aca="false">IF(AND(H2605="United Kingdom",G2605&lt;&gt;"",COUNTIFS($G$2:G2605,G2605,$H$2:H2605,"United Kingdom")=1),1,0)</f>
        <v>0</v>
      </c>
    </row>
    <row r="2606" customFormat="false" ht="15" hidden="false" customHeight="false" outlineLevel="0" collapsed="false">
      <c r="A2606" s="0" t="s">
        <v>564</v>
      </c>
      <c r="B2606" s="0" t="s">
        <v>39</v>
      </c>
      <c r="C2606" s="0" t="s">
        <v>40</v>
      </c>
      <c r="D2606" s="0" t="n">
        <v>3</v>
      </c>
      <c r="E2606" s="2" t="n">
        <v>40788.7020833333</v>
      </c>
      <c r="F2606" s="0" t="n">
        <v>2.58</v>
      </c>
      <c r="G2606" s="0" t="n">
        <v>16612</v>
      </c>
      <c r="H2606" s="3" t="s">
        <v>14</v>
      </c>
      <c r="I2606" s="4" t="n">
        <f aca="false">D2606*F2606</f>
        <v>7.74</v>
      </c>
      <c r="J2606" s="3" t="n">
        <f aca="false">IF(AND(LEFT(A2606,1)&lt;&gt;"C",D2606&gt;0,F2606&gt;0),1,0)</f>
        <v>1</v>
      </c>
      <c r="K2606" s="3" t="n">
        <f aca="false">IF(AND(H2606="United Kingdom",G2606&lt;&gt;"",COUNTIFS($G$2:G2606,G2606,$H$2:H2606,"United Kingdom")=1),1,0)</f>
        <v>0</v>
      </c>
    </row>
    <row r="2607" customFormat="false" ht="15" hidden="false" customHeight="false" outlineLevel="0" collapsed="false">
      <c r="A2607" s="0" t="s">
        <v>564</v>
      </c>
      <c r="B2607" s="0" t="s">
        <v>32</v>
      </c>
      <c r="C2607" s="0" t="s">
        <v>33</v>
      </c>
      <c r="D2607" s="0" t="n">
        <v>2</v>
      </c>
      <c r="E2607" s="2" t="n">
        <v>40788.7020833333</v>
      </c>
      <c r="F2607" s="0" t="n">
        <v>1.19</v>
      </c>
      <c r="G2607" s="0" t="n">
        <v>16612</v>
      </c>
      <c r="H2607" s="3" t="s">
        <v>14</v>
      </c>
      <c r="I2607" s="4" t="n">
        <f aca="false">D2607*F2607</f>
        <v>2.38</v>
      </c>
      <c r="J2607" s="3" t="n">
        <f aca="false">IF(AND(LEFT(A2607,1)&lt;&gt;"C",D2607&gt;0,F2607&gt;0),1,0)</f>
        <v>1</v>
      </c>
      <c r="K2607" s="3" t="n">
        <f aca="false">IF(AND(H2607="United Kingdom",G2607&lt;&gt;"",COUNTIFS($G$2:G2607,G2607,$H$2:H2607,"United Kingdom")=1),1,0)</f>
        <v>0</v>
      </c>
    </row>
    <row r="2608" customFormat="false" ht="15" hidden="false" customHeight="false" outlineLevel="0" collapsed="false">
      <c r="A2608" s="0" t="s">
        <v>564</v>
      </c>
      <c r="B2608" s="0" t="s">
        <v>60</v>
      </c>
      <c r="C2608" s="0" t="s">
        <v>61</v>
      </c>
      <c r="D2608" s="0" t="n">
        <v>3</v>
      </c>
      <c r="E2608" s="2" t="n">
        <v>40788.7020833333</v>
      </c>
      <c r="F2608" s="0" t="n">
        <v>0.63</v>
      </c>
      <c r="G2608" s="0" t="n">
        <v>16612</v>
      </c>
      <c r="H2608" s="3" t="s">
        <v>14</v>
      </c>
      <c r="I2608" s="4" t="n">
        <f aca="false">D2608*F2608</f>
        <v>1.89</v>
      </c>
      <c r="J2608" s="3" t="n">
        <f aca="false">IF(AND(LEFT(A2608,1)&lt;&gt;"C",D2608&gt;0,F2608&gt;0),1,0)</f>
        <v>1</v>
      </c>
      <c r="K2608" s="3" t="n">
        <f aca="false">IF(AND(H2608="United Kingdom",G2608&lt;&gt;"",COUNTIFS($G$2:G2608,G2608,$H$2:H2608,"United Kingdom")=1),1,0)</f>
        <v>0</v>
      </c>
    </row>
    <row r="2609" customFormat="false" ht="15" hidden="false" customHeight="false" outlineLevel="0" collapsed="false">
      <c r="A2609" s="0" t="s">
        <v>564</v>
      </c>
      <c r="B2609" s="0" t="s">
        <v>80</v>
      </c>
      <c r="C2609" s="0" t="s">
        <v>81</v>
      </c>
      <c r="D2609" s="0" t="n">
        <v>3</v>
      </c>
      <c r="E2609" s="2" t="n">
        <v>40788.7020833333</v>
      </c>
      <c r="F2609" s="0" t="n">
        <v>1.53</v>
      </c>
      <c r="G2609" s="0" t="n">
        <v>16612</v>
      </c>
      <c r="H2609" s="3" t="s">
        <v>14</v>
      </c>
      <c r="I2609" s="4" t="n">
        <f aca="false">D2609*F2609</f>
        <v>4.59</v>
      </c>
      <c r="J2609" s="3" t="n">
        <f aca="false">IF(AND(LEFT(A2609,1)&lt;&gt;"C",D2609&gt;0,F2609&gt;0),1,0)</f>
        <v>1</v>
      </c>
      <c r="K2609" s="3" t="n">
        <f aca="false">IF(AND(H2609="United Kingdom",G2609&lt;&gt;"",COUNTIFS($G$2:G2609,G2609,$H$2:H2609,"United Kingdom")=1),1,0)</f>
        <v>0</v>
      </c>
    </row>
    <row r="2610" customFormat="false" ht="15" hidden="false" customHeight="false" outlineLevel="0" collapsed="false">
      <c r="A2610" s="0" t="s">
        <v>565</v>
      </c>
      <c r="B2610" s="0" t="s">
        <v>48</v>
      </c>
      <c r="C2610" s="0" t="s">
        <v>49</v>
      </c>
      <c r="D2610" s="0" t="n">
        <v>1</v>
      </c>
      <c r="E2610" s="2" t="n">
        <v>40789.4618055556</v>
      </c>
      <c r="F2610" s="0" t="n">
        <v>1.35</v>
      </c>
      <c r="G2610" s="0" t="n">
        <v>12788</v>
      </c>
      <c r="H2610" s="3" t="s">
        <v>14</v>
      </c>
      <c r="I2610" s="4" t="n">
        <f aca="false">D2610*F2610</f>
        <v>1.35</v>
      </c>
      <c r="J2610" s="3" t="n">
        <f aca="false">IF(AND(LEFT(A2610,1)&lt;&gt;"C",D2610&gt;0,F2610&gt;0),1,0)</f>
        <v>1</v>
      </c>
      <c r="K2610" s="3" t="n">
        <f aca="false">IF(AND(H2610="United Kingdom",G2610&lt;&gt;"",COUNTIFS($G$2:G2610,G2610,$H$2:H2610,"United Kingdom")=1),1,0)</f>
        <v>0</v>
      </c>
    </row>
    <row r="2611" customFormat="false" ht="15" hidden="false" customHeight="false" outlineLevel="0" collapsed="false">
      <c r="A2611" s="0" t="s">
        <v>565</v>
      </c>
      <c r="B2611" s="0" t="s">
        <v>80</v>
      </c>
      <c r="C2611" s="0" t="s">
        <v>81</v>
      </c>
      <c r="D2611" s="0" t="n">
        <v>1</v>
      </c>
      <c r="E2611" s="2" t="n">
        <v>40789.4618055556</v>
      </c>
      <c r="F2611" s="0" t="n">
        <v>1.53</v>
      </c>
      <c r="G2611" s="0" t="n">
        <v>12788</v>
      </c>
      <c r="H2611" s="3" t="s">
        <v>14</v>
      </c>
      <c r="I2611" s="4" t="n">
        <f aca="false">D2611*F2611</f>
        <v>1.53</v>
      </c>
      <c r="J2611" s="3" t="n">
        <f aca="false">IF(AND(LEFT(A2611,1)&lt;&gt;"C",D2611&gt;0,F2611&gt;0),1,0)</f>
        <v>1</v>
      </c>
      <c r="K2611" s="3" t="n">
        <f aca="false">IF(AND(H2611="United Kingdom",G2611&lt;&gt;"",COUNTIFS($G$2:G2611,G2611,$H$2:H2611,"United Kingdom")=1),1,0)</f>
        <v>0</v>
      </c>
    </row>
    <row r="2612" customFormat="false" ht="15" hidden="false" customHeight="false" outlineLevel="0" collapsed="false">
      <c r="A2612" s="0" t="s">
        <v>565</v>
      </c>
      <c r="B2612" s="0" t="s">
        <v>25</v>
      </c>
      <c r="C2612" s="0" t="s">
        <v>26</v>
      </c>
      <c r="D2612" s="0" t="n">
        <v>1</v>
      </c>
      <c r="E2612" s="2" t="n">
        <v>40789.4618055556</v>
      </c>
      <c r="F2612" s="0" t="n">
        <v>2.21</v>
      </c>
      <c r="G2612" s="0" t="n">
        <v>12788</v>
      </c>
      <c r="H2612" s="3" t="s">
        <v>14</v>
      </c>
      <c r="I2612" s="4" t="n">
        <f aca="false">D2612*F2612</f>
        <v>2.21</v>
      </c>
      <c r="J2612" s="3" t="n">
        <f aca="false">IF(AND(LEFT(A2612,1)&lt;&gt;"C",D2612&gt;0,F2612&gt;0),1,0)</f>
        <v>1</v>
      </c>
      <c r="K2612" s="3" t="n">
        <f aca="false">IF(AND(H2612="United Kingdom",G2612&lt;&gt;"",COUNTIFS($G$2:G2612,G2612,$H$2:H2612,"United Kingdom")=1),1,0)</f>
        <v>0</v>
      </c>
    </row>
    <row r="2613" customFormat="false" ht="15" hidden="false" customHeight="false" outlineLevel="0" collapsed="false">
      <c r="A2613" s="0" t="s">
        <v>565</v>
      </c>
      <c r="B2613" s="0" t="s">
        <v>60</v>
      </c>
      <c r="C2613" s="0" t="s">
        <v>61</v>
      </c>
      <c r="D2613" s="0" t="n">
        <v>1</v>
      </c>
      <c r="E2613" s="2" t="n">
        <v>40789.4618055556</v>
      </c>
      <c r="F2613" s="0" t="n">
        <v>0.63</v>
      </c>
      <c r="G2613" s="0" t="n">
        <v>12788</v>
      </c>
      <c r="H2613" s="3" t="s">
        <v>14</v>
      </c>
      <c r="I2613" s="4" t="n">
        <f aca="false">D2613*F2613</f>
        <v>0.63</v>
      </c>
      <c r="J2613" s="3" t="n">
        <f aca="false">IF(AND(LEFT(A2613,1)&lt;&gt;"C",D2613&gt;0,F2613&gt;0),1,0)</f>
        <v>1</v>
      </c>
      <c r="K2613" s="3" t="n">
        <f aca="false">IF(AND(H2613="United Kingdom",G2613&lt;&gt;"",COUNTIFS($G$2:G2613,G2613,$H$2:H2613,"United Kingdom")=1),1,0)</f>
        <v>0</v>
      </c>
    </row>
    <row r="2614" customFormat="false" ht="15" hidden="false" customHeight="false" outlineLevel="0" collapsed="false">
      <c r="A2614" s="0" t="s">
        <v>565</v>
      </c>
      <c r="B2614" s="0" t="s">
        <v>65</v>
      </c>
      <c r="C2614" s="0" t="s">
        <v>66</v>
      </c>
      <c r="D2614" s="0" t="n">
        <v>4</v>
      </c>
      <c r="E2614" s="2" t="n">
        <v>40789.4618055556</v>
      </c>
      <c r="F2614" s="0" t="n">
        <v>4.75</v>
      </c>
      <c r="G2614" s="0" t="n">
        <v>12788</v>
      </c>
      <c r="H2614" s="3" t="s">
        <v>14</v>
      </c>
      <c r="I2614" s="4" t="n">
        <f aca="false">D2614*F2614</f>
        <v>19</v>
      </c>
      <c r="J2614" s="3" t="n">
        <f aca="false">IF(AND(LEFT(A2614,1)&lt;&gt;"C",D2614&gt;0,F2614&gt;0),1,0)</f>
        <v>1</v>
      </c>
      <c r="K2614" s="3" t="n">
        <f aca="false">IF(AND(H2614="United Kingdom",G2614&lt;&gt;"",COUNTIFS($G$2:G2614,G2614,$H$2:H2614,"United Kingdom")=1),1,0)</f>
        <v>0</v>
      </c>
    </row>
    <row r="2615" customFormat="false" ht="15" hidden="false" customHeight="false" outlineLevel="0" collapsed="false">
      <c r="A2615" s="0" t="s">
        <v>565</v>
      </c>
      <c r="B2615" s="0" t="s">
        <v>32</v>
      </c>
      <c r="C2615" s="0" t="s">
        <v>33</v>
      </c>
      <c r="D2615" s="0" t="n">
        <v>2</v>
      </c>
      <c r="E2615" s="2" t="n">
        <v>40789.4618055556</v>
      </c>
      <c r="F2615" s="0" t="n">
        <v>1.19</v>
      </c>
      <c r="G2615" s="0" t="n">
        <v>12788</v>
      </c>
      <c r="H2615" s="3" t="s">
        <v>14</v>
      </c>
      <c r="I2615" s="4" t="n">
        <f aca="false">D2615*F2615</f>
        <v>2.38</v>
      </c>
      <c r="J2615" s="3" t="n">
        <f aca="false">IF(AND(LEFT(A2615,1)&lt;&gt;"C",D2615&gt;0,F2615&gt;0),1,0)</f>
        <v>1</v>
      </c>
      <c r="K2615" s="3" t="n">
        <f aca="false">IF(AND(H2615="United Kingdom",G2615&lt;&gt;"",COUNTIFS($G$2:G2615,G2615,$H$2:H2615,"United Kingdom")=1),1,0)</f>
        <v>0</v>
      </c>
    </row>
    <row r="2616" customFormat="false" ht="15" hidden="false" customHeight="false" outlineLevel="0" collapsed="false">
      <c r="A2616" s="0" t="s">
        <v>566</v>
      </c>
      <c r="B2616" s="0" t="s">
        <v>15</v>
      </c>
      <c r="C2616" s="0" t="s">
        <v>16</v>
      </c>
      <c r="D2616" s="0" t="n">
        <v>12</v>
      </c>
      <c r="E2616" s="2" t="n">
        <v>40789.6270833333</v>
      </c>
      <c r="F2616" s="0" t="n">
        <v>3.18</v>
      </c>
      <c r="G2616" s="0" t="n">
        <v>15302</v>
      </c>
      <c r="H2616" s="3" t="s">
        <v>14</v>
      </c>
      <c r="I2616" s="4" t="n">
        <f aca="false">D2616*F2616</f>
        <v>38.16</v>
      </c>
      <c r="J2616" s="3" t="n">
        <f aca="false">IF(AND(LEFT(A2616,1)&lt;&gt;"C",D2616&gt;0,F2616&gt;0),1,0)</f>
        <v>1</v>
      </c>
      <c r="K2616" s="3" t="n">
        <f aca="false">IF(AND(H2616="United Kingdom",G2616&lt;&gt;"",COUNTIFS($G$2:G2616,G2616,$H$2:H2616,"United Kingdom")=1),1,0)</f>
        <v>0</v>
      </c>
    </row>
    <row r="2617" customFormat="false" ht="15" hidden="false" customHeight="false" outlineLevel="0" collapsed="false">
      <c r="A2617" s="0" t="s">
        <v>566</v>
      </c>
      <c r="B2617" s="0" t="s">
        <v>60</v>
      </c>
      <c r="C2617" s="0" t="s">
        <v>61</v>
      </c>
      <c r="D2617" s="0" t="n">
        <v>2</v>
      </c>
      <c r="E2617" s="2" t="n">
        <v>40789.6270833333</v>
      </c>
      <c r="F2617" s="0" t="n">
        <v>0.63</v>
      </c>
      <c r="G2617" s="0" t="n">
        <v>15302</v>
      </c>
      <c r="H2617" s="3" t="s">
        <v>14</v>
      </c>
      <c r="I2617" s="4" t="n">
        <f aca="false">D2617*F2617</f>
        <v>1.26</v>
      </c>
      <c r="J2617" s="3" t="n">
        <f aca="false">IF(AND(LEFT(A2617,1)&lt;&gt;"C",D2617&gt;0,F2617&gt;0),1,0)</f>
        <v>1</v>
      </c>
      <c r="K2617" s="3" t="n">
        <f aca="false">IF(AND(H2617="United Kingdom",G2617&lt;&gt;"",COUNTIFS($G$2:G2617,G2617,$H$2:H2617,"United Kingdom")=1),1,0)</f>
        <v>0</v>
      </c>
    </row>
    <row r="2618" customFormat="false" ht="15" hidden="false" customHeight="false" outlineLevel="0" collapsed="false">
      <c r="A2618" s="0" t="s">
        <v>566</v>
      </c>
      <c r="B2618" s="0" t="s">
        <v>52</v>
      </c>
      <c r="C2618" s="0" t="s">
        <v>53</v>
      </c>
      <c r="D2618" s="0" t="n">
        <v>2</v>
      </c>
      <c r="E2618" s="2" t="n">
        <v>40789.6270833333</v>
      </c>
      <c r="F2618" s="0" t="n">
        <v>4.16</v>
      </c>
      <c r="G2618" s="0" t="n">
        <v>15302</v>
      </c>
      <c r="H2618" s="3" t="s">
        <v>14</v>
      </c>
      <c r="I2618" s="4" t="n">
        <f aca="false">D2618*F2618</f>
        <v>8.32</v>
      </c>
      <c r="J2618" s="3" t="n">
        <f aca="false">IF(AND(LEFT(A2618,1)&lt;&gt;"C",D2618&gt;0,F2618&gt;0),1,0)</f>
        <v>1</v>
      </c>
      <c r="K2618" s="3" t="n">
        <f aca="false">IF(AND(H2618="United Kingdom",G2618&lt;&gt;"",COUNTIFS($G$2:G2618,G2618,$H$2:H2618,"United Kingdom")=1),1,0)</f>
        <v>0</v>
      </c>
    </row>
    <row r="2619" customFormat="false" ht="15" hidden="false" customHeight="false" outlineLevel="0" collapsed="false">
      <c r="A2619" s="0" t="s">
        <v>566</v>
      </c>
      <c r="B2619" s="0" t="s">
        <v>17</v>
      </c>
      <c r="C2619" s="0" t="s">
        <v>18</v>
      </c>
      <c r="D2619" s="0" t="n">
        <v>2</v>
      </c>
      <c r="E2619" s="2" t="n">
        <v>40789.6270833333</v>
      </c>
      <c r="F2619" s="0" t="n">
        <v>1.92</v>
      </c>
      <c r="G2619" s="0" t="n">
        <v>15302</v>
      </c>
      <c r="H2619" s="3" t="s">
        <v>14</v>
      </c>
      <c r="I2619" s="4" t="n">
        <f aca="false">D2619*F2619</f>
        <v>3.84</v>
      </c>
      <c r="J2619" s="3" t="n">
        <f aca="false">IF(AND(LEFT(A2619,1)&lt;&gt;"C",D2619&gt;0,F2619&gt;0),1,0)</f>
        <v>1</v>
      </c>
      <c r="K2619" s="3" t="n">
        <f aca="false">IF(AND(H2619="United Kingdom",G2619&lt;&gt;"",COUNTIFS($G$2:G2619,G2619,$H$2:H2619,"United Kingdom")=1),1,0)</f>
        <v>0</v>
      </c>
    </row>
    <row r="2620" customFormat="false" ht="15" hidden="false" customHeight="false" outlineLevel="0" collapsed="false">
      <c r="A2620" s="0" t="s">
        <v>566</v>
      </c>
      <c r="B2620" s="0" t="s">
        <v>68</v>
      </c>
      <c r="C2620" s="0" t="s">
        <v>69</v>
      </c>
      <c r="D2620" s="0" t="n">
        <v>2</v>
      </c>
      <c r="E2620" s="2" t="n">
        <v>40789.6270833333</v>
      </c>
      <c r="F2620" s="0" t="n">
        <v>1.26</v>
      </c>
      <c r="G2620" s="0" t="n">
        <v>15302</v>
      </c>
      <c r="H2620" s="3" t="s">
        <v>14</v>
      </c>
      <c r="I2620" s="4" t="n">
        <f aca="false">D2620*F2620</f>
        <v>2.52</v>
      </c>
      <c r="J2620" s="3" t="n">
        <f aca="false">IF(AND(LEFT(A2620,1)&lt;&gt;"C",D2620&gt;0,F2620&gt;0),1,0)</f>
        <v>1</v>
      </c>
      <c r="K2620" s="3" t="n">
        <f aca="false">IF(AND(H2620="United Kingdom",G2620&lt;&gt;"",COUNTIFS($G$2:G2620,G2620,$H$2:H2620,"United Kingdom")=1),1,0)</f>
        <v>0</v>
      </c>
    </row>
    <row r="2621" customFormat="false" ht="15" hidden="false" customHeight="false" outlineLevel="0" collapsed="false">
      <c r="A2621" s="0" t="s">
        <v>567</v>
      </c>
      <c r="B2621" s="0" t="s">
        <v>29</v>
      </c>
      <c r="C2621" s="0" t="s">
        <v>30</v>
      </c>
      <c r="D2621" s="0" t="n">
        <v>12</v>
      </c>
      <c r="E2621" s="2" t="n">
        <v>40790.4965277778</v>
      </c>
      <c r="F2621" s="0" t="n">
        <v>5.79</v>
      </c>
      <c r="G2621" s="0" t="n">
        <v>17540</v>
      </c>
      <c r="H2621" s="3" t="s">
        <v>97</v>
      </c>
      <c r="I2621" s="4" t="n">
        <f aca="false">D2621*F2621</f>
        <v>69.48</v>
      </c>
      <c r="J2621" s="3" t="n">
        <f aca="false">IF(AND(LEFT(A2621,1)&lt;&gt;"C",D2621&gt;0,F2621&gt;0),1,0)</f>
        <v>1</v>
      </c>
      <c r="K2621" s="3" t="n">
        <f aca="false">IF(AND(H2621="United Kingdom",G2621&lt;&gt;"",COUNTIFS($G$2:G2621,G2621,$H$2:H2621,"United Kingdom")=1),1,0)</f>
        <v>0</v>
      </c>
    </row>
    <row r="2622" customFormat="false" ht="15" hidden="false" customHeight="false" outlineLevel="0" collapsed="false">
      <c r="A2622" s="0" t="s">
        <v>567</v>
      </c>
      <c r="B2622" s="0" t="s">
        <v>17</v>
      </c>
      <c r="C2622" s="0" t="s">
        <v>18</v>
      </c>
      <c r="D2622" s="0" t="n">
        <v>48</v>
      </c>
      <c r="E2622" s="2" t="n">
        <v>40790.4965277778</v>
      </c>
      <c r="F2622" s="0" t="n">
        <v>1.92</v>
      </c>
      <c r="G2622" s="0" t="n">
        <v>17540</v>
      </c>
      <c r="H2622" s="3" t="s">
        <v>97</v>
      </c>
      <c r="I2622" s="4" t="n">
        <f aca="false">D2622*F2622</f>
        <v>92.16</v>
      </c>
      <c r="J2622" s="3" t="n">
        <f aca="false">IF(AND(LEFT(A2622,1)&lt;&gt;"C",D2622&gt;0,F2622&gt;0),1,0)</f>
        <v>1</v>
      </c>
      <c r="K2622" s="3" t="n">
        <f aca="false">IF(AND(H2622="United Kingdom",G2622&lt;&gt;"",COUNTIFS($G$2:G2622,G2622,$H$2:H2622,"United Kingdom")=1),1,0)</f>
        <v>0</v>
      </c>
    </row>
    <row r="2623" customFormat="false" ht="15" hidden="false" customHeight="false" outlineLevel="0" collapsed="false">
      <c r="A2623" s="0" t="s">
        <v>568</v>
      </c>
      <c r="B2623" s="0" t="s">
        <v>90</v>
      </c>
      <c r="C2623" s="0" t="s">
        <v>91</v>
      </c>
      <c r="D2623" s="0" t="n">
        <v>2</v>
      </c>
      <c r="E2623" s="2" t="n">
        <v>40790.7090277778</v>
      </c>
      <c r="F2623" s="0" t="n">
        <v>3.04</v>
      </c>
      <c r="G2623" s="0" t="n">
        <v>12688</v>
      </c>
      <c r="H2623" s="3" t="s">
        <v>14</v>
      </c>
      <c r="I2623" s="4" t="n">
        <f aca="false">D2623*F2623</f>
        <v>6.08</v>
      </c>
      <c r="J2623" s="3" t="n">
        <f aca="false">IF(AND(LEFT(A2623,1)&lt;&gt;"C",D2623&gt;0,F2623&gt;0),1,0)</f>
        <v>1</v>
      </c>
      <c r="K2623" s="3" t="n">
        <f aca="false">IF(AND(H2623="United Kingdom",G2623&lt;&gt;"",COUNTIFS($G$2:G2623,G2623,$H$2:H2623,"United Kingdom")=1),1,0)</f>
        <v>0</v>
      </c>
    </row>
    <row r="2624" customFormat="false" ht="15" hidden="false" customHeight="false" outlineLevel="0" collapsed="false">
      <c r="A2624" s="0" t="s">
        <v>569</v>
      </c>
      <c r="B2624" s="0" t="s">
        <v>41</v>
      </c>
      <c r="C2624" s="0" t="s">
        <v>42</v>
      </c>
      <c r="D2624" s="0" t="n">
        <v>9</v>
      </c>
      <c r="E2624" s="2" t="n">
        <v>40791.4340277778</v>
      </c>
      <c r="F2624" s="0" t="n">
        <v>3.28</v>
      </c>
      <c r="G2624" s="0" t="n">
        <v>13672</v>
      </c>
      <c r="H2624" s="3" t="s">
        <v>57</v>
      </c>
      <c r="I2624" s="4" t="n">
        <f aca="false">D2624*F2624</f>
        <v>29.52</v>
      </c>
      <c r="J2624" s="3" t="n">
        <f aca="false">IF(AND(LEFT(A2624,1)&lt;&gt;"C",D2624&gt;0,F2624&gt;0),1,0)</f>
        <v>1</v>
      </c>
      <c r="K2624" s="3" t="n">
        <f aca="false">IF(AND(H2624="United Kingdom",G2624&lt;&gt;"",COUNTIFS($G$2:G2624,G2624,$H$2:H2624,"United Kingdom")=1),1,0)</f>
        <v>0</v>
      </c>
    </row>
    <row r="2625" customFormat="false" ht="15" hidden="false" customHeight="false" outlineLevel="0" collapsed="false">
      <c r="A2625" s="0" t="s">
        <v>570</v>
      </c>
      <c r="B2625" s="0" t="s">
        <v>41</v>
      </c>
      <c r="C2625" s="0" t="s">
        <v>42</v>
      </c>
      <c r="D2625" s="0" t="n">
        <v>-9</v>
      </c>
      <c r="E2625" s="2" t="n">
        <v>40791.7423611111</v>
      </c>
      <c r="F2625" s="0" t="n">
        <v>3.28</v>
      </c>
      <c r="G2625" s="0" t="n">
        <v>16395</v>
      </c>
      <c r="H2625" s="3" t="s">
        <v>14</v>
      </c>
      <c r="I2625" s="4" t="n">
        <f aca="false">D2625*F2625</f>
        <v>-29.52</v>
      </c>
      <c r="J2625" s="3" t="n">
        <f aca="false">IF(AND(LEFT(A2625,1)&lt;&gt;"C",D2625&gt;0,F2625&gt;0),1,0)</f>
        <v>0</v>
      </c>
      <c r="K2625" s="3" t="n">
        <f aca="false">IF(AND(H2625="United Kingdom",G2625&lt;&gt;"",COUNTIFS($G$2:G2625,G2625,$H$2:H2625,"United Kingdom")=1),1,0)</f>
        <v>0</v>
      </c>
    </row>
    <row r="2626" customFormat="false" ht="15" hidden="false" customHeight="false" outlineLevel="0" collapsed="false">
      <c r="A2626" s="0" t="s">
        <v>571</v>
      </c>
      <c r="B2626" s="0" t="s">
        <v>50</v>
      </c>
      <c r="C2626" s="0" t="s">
        <v>51</v>
      </c>
      <c r="D2626" s="0" t="n">
        <v>288</v>
      </c>
      <c r="E2626" s="2" t="n">
        <v>40792.5854166667</v>
      </c>
      <c r="F2626" s="0" t="n">
        <v>5.41</v>
      </c>
      <c r="G2626" s="0" t="n">
        <v>12612</v>
      </c>
      <c r="H2626" s="3" t="s">
        <v>97</v>
      </c>
      <c r="I2626" s="4" t="n">
        <f aca="false">D2626*F2626</f>
        <v>1558.08</v>
      </c>
      <c r="J2626" s="3" t="n">
        <f aca="false">IF(AND(LEFT(A2626,1)&lt;&gt;"C",D2626&gt;0,F2626&gt;0),1,0)</f>
        <v>1</v>
      </c>
      <c r="K2626" s="3" t="n">
        <f aca="false">IF(AND(H2626="United Kingdom",G2626&lt;&gt;"",COUNTIFS($G$2:G2626,G2626,$H$2:H2626,"United Kingdom")=1),1,0)</f>
        <v>0</v>
      </c>
    </row>
    <row r="2627" customFormat="false" ht="15" hidden="false" customHeight="false" outlineLevel="0" collapsed="false">
      <c r="A2627" s="0" t="s">
        <v>571</v>
      </c>
      <c r="B2627" s="0" t="s">
        <v>17</v>
      </c>
      <c r="C2627" s="0" t="s">
        <v>18</v>
      </c>
      <c r="D2627" s="0" t="n">
        <v>96</v>
      </c>
      <c r="E2627" s="2" t="n">
        <v>40792.5854166667</v>
      </c>
      <c r="F2627" s="0" t="n">
        <v>1.92</v>
      </c>
      <c r="G2627" s="0" t="n">
        <v>12612</v>
      </c>
      <c r="H2627" s="3" t="s">
        <v>97</v>
      </c>
      <c r="I2627" s="4" t="n">
        <f aca="false">D2627*F2627</f>
        <v>184.32</v>
      </c>
      <c r="J2627" s="3" t="n">
        <f aca="false">IF(AND(LEFT(A2627,1)&lt;&gt;"C",D2627&gt;0,F2627&gt;0),1,0)</f>
        <v>1</v>
      </c>
      <c r="K2627" s="3" t="n">
        <f aca="false">IF(AND(H2627="United Kingdom",G2627&lt;&gt;"",COUNTIFS($G$2:G2627,G2627,$H$2:H2627,"United Kingdom")=1),1,0)</f>
        <v>0</v>
      </c>
    </row>
    <row r="2628" customFormat="false" ht="15" hidden="false" customHeight="false" outlineLevel="0" collapsed="false">
      <c r="A2628" s="0" t="s">
        <v>571</v>
      </c>
      <c r="B2628" s="0" t="s">
        <v>72</v>
      </c>
      <c r="C2628" s="0" t="s">
        <v>73</v>
      </c>
      <c r="D2628" s="0" t="n">
        <v>72</v>
      </c>
      <c r="E2628" s="2" t="n">
        <v>40792.5854166667</v>
      </c>
      <c r="F2628" s="0" t="n">
        <v>2.69</v>
      </c>
      <c r="G2628" s="0" t="n">
        <v>12612</v>
      </c>
      <c r="H2628" s="3" t="s">
        <v>97</v>
      </c>
      <c r="I2628" s="4" t="n">
        <f aca="false">D2628*F2628</f>
        <v>193.68</v>
      </c>
      <c r="J2628" s="3" t="n">
        <f aca="false">IF(AND(LEFT(A2628,1)&lt;&gt;"C",D2628&gt;0,F2628&gt;0),1,0)</f>
        <v>1</v>
      </c>
      <c r="K2628" s="3" t="n">
        <f aca="false">IF(AND(H2628="United Kingdom",G2628&lt;&gt;"",COUNTIFS($G$2:G2628,G2628,$H$2:H2628,"United Kingdom")=1),1,0)</f>
        <v>0</v>
      </c>
    </row>
    <row r="2629" customFormat="false" ht="15" hidden="false" customHeight="false" outlineLevel="0" collapsed="false">
      <c r="A2629" s="0" t="s">
        <v>571</v>
      </c>
      <c r="B2629" s="0" t="s">
        <v>43</v>
      </c>
      <c r="C2629" s="0" t="s">
        <v>44</v>
      </c>
      <c r="D2629" s="0" t="n">
        <v>192</v>
      </c>
      <c r="E2629" s="2" t="n">
        <v>40792.5854166667</v>
      </c>
      <c r="F2629" s="0" t="n">
        <v>1.35</v>
      </c>
      <c r="G2629" s="0" t="n">
        <v>12612</v>
      </c>
      <c r="H2629" s="3" t="s">
        <v>97</v>
      </c>
      <c r="I2629" s="4" t="n">
        <f aca="false">D2629*F2629</f>
        <v>259.2</v>
      </c>
      <c r="J2629" s="3" t="n">
        <f aca="false">IF(AND(LEFT(A2629,1)&lt;&gt;"C",D2629&gt;0,F2629&gt;0),1,0)</f>
        <v>1</v>
      </c>
      <c r="K2629" s="3" t="n">
        <f aca="false">IF(AND(H2629="United Kingdom",G2629&lt;&gt;"",COUNTIFS($G$2:G2629,G2629,$H$2:H2629,"United Kingdom")=1),1,0)</f>
        <v>0</v>
      </c>
    </row>
    <row r="2630" customFormat="false" ht="15" hidden="false" customHeight="false" outlineLevel="0" collapsed="false">
      <c r="A2630" s="0" t="s">
        <v>571</v>
      </c>
      <c r="B2630" s="0" t="s">
        <v>68</v>
      </c>
      <c r="C2630" s="0" t="s">
        <v>69</v>
      </c>
      <c r="D2630" s="0" t="n">
        <v>24</v>
      </c>
      <c r="E2630" s="2" t="n">
        <v>40792.5854166667</v>
      </c>
      <c r="F2630" s="0" t="n">
        <v>1.26</v>
      </c>
      <c r="G2630" s="0" t="n">
        <v>12612</v>
      </c>
      <c r="H2630" s="3" t="s">
        <v>97</v>
      </c>
      <c r="I2630" s="4" t="n">
        <f aca="false">D2630*F2630</f>
        <v>30.24</v>
      </c>
      <c r="J2630" s="3" t="n">
        <f aca="false">IF(AND(LEFT(A2630,1)&lt;&gt;"C",D2630&gt;0,F2630&gt;0),1,0)</f>
        <v>1</v>
      </c>
      <c r="K2630" s="3" t="n">
        <f aca="false">IF(AND(H2630="United Kingdom",G2630&lt;&gt;"",COUNTIFS($G$2:G2630,G2630,$H$2:H2630,"United Kingdom")=1),1,0)</f>
        <v>0</v>
      </c>
    </row>
    <row r="2631" customFormat="false" ht="15" hidden="false" customHeight="false" outlineLevel="0" collapsed="false">
      <c r="A2631" s="0" t="s">
        <v>572</v>
      </c>
      <c r="B2631" s="0" t="s">
        <v>63</v>
      </c>
      <c r="C2631" s="0" t="s">
        <v>64</v>
      </c>
      <c r="D2631" s="0" t="n">
        <v>2</v>
      </c>
      <c r="E2631" s="2" t="n">
        <v>40792.6020833333</v>
      </c>
      <c r="F2631" s="0" t="n">
        <v>2.43</v>
      </c>
      <c r="G2631" s="0" t="n">
        <v>16884</v>
      </c>
      <c r="H2631" s="3" t="s">
        <v>14</v>
      </c>
      <c r="I2631" s="4" t="n">
        <f aca="false">D2631*F2631</f>
        <v>4.86</v>
      </c>
      <c r="J2631" s="3" t="n">
        <f aca="false">IF(AND(LEFT(A2631,1)&lt;&gt;"C",D2631&gt;0,F2631&gt;0),1,0)</f>
        <v>1</v>
      </c>
      <c r="K2631" s="3" t="n">
        <f aca="false">IF(AND(H2631="United Kingdom",G2631&lt;&gt;"",COUNTIFS($G$2:G2631,G2631,$H$2:H2631,"United Kingdom")=1),1,0)</f>
        <v>0</v>
      </c>
    </row>
    <row r="2632" customFormat="false" ht="15" hidden="false" customHeight="false" outlineLevel="0" collapsed="false">
      <c r="A2632" s="0" t="s">
        <v>572</v>
      </c>
      <c r="B2632" s="0" t="s">
        <v>58</v>
      </c>
      <c r="C2632" s="0" t="s">
        <v>59</v>
      </c>
      <c r="D2632" s="0" t="n">
        <v>6</v>
      </c>
      <c r="E2632" s="2" t="n">
        <v>40792.6020833333</v>
      </c>
      <c r="F2632" s="0" t="n">
        <v>2.16</v>
      </c>
      <c r="G2632" s="0" t="n">
        <v>16884</v>
      </c>
      <c r="H2632" s="3" t="s">
        <v>14</v>
      </c>
      <c r="I2632" s="4" t="n">
        <f aca="false">D2632*F2632</f>
        <v>12.96</v>
      </c>
      <c r="J2632" s="3" t="n">
        <f aca="false">IF(AND(LEFT(A2632,1)&lt;&gt;"C",D2632&gt;0,F2632&gt;0),1,0)</f>
        <v>1</v>
      </c>
      <c r="K2632" s="3" t="n">
        <f aca="false">IF(AND(H2632="United Kingdom",G2632&lt;&gt;"",COUNTIFS($G$2:G2632,G2632,$H$2:H2632,"United Kingdom")=1),1,0)</f>
        <v>0</v>
      </c>
    </row>
    <row r="2633" customFormat="false" ht="15" hidden="false" customHeight="false" outlineLevel="0" collapsed="false">
      <c r="A2633" s="0" t="s">
        <v>572</v>
      </c>
      <c r="B2633" s="0" t="s">
        <v>22</v>
      </c>
      <c r="C2633" s="0" t="s">
        <v>23</v>
      </c>
      <c r="D2633" s="0" t="n">
        <v>6</v>
      </c>
      <c r="E2633" s="2" t="n">
        <v>40792.6020833333</v>
      </c>
      <c r="F2633" s="0" t="n">
        <v>3.18</v>
      </c>
      <c r="G2633" s="0" t="n">
        <v>16884</v>
      </c>
      <c r="H2633" s="3" t="s">
        <v>14</v>
      </c>
      <c r="I2633" s="4" t="n">
        <f aca="false">D2633*F2633</f>
        <v>19.08</v>
      </c>
      <c r="J2633" s="3" t="n">
        <f aca="false">IF(AND(LEFT(A2633,1)&lt;&gt;"C",D2633&gt;0,F2633&gt;0),1,0)</f>
        <v>1</v>
      </c>
      <c r="K2633" s="3" t="n">
        <f aca="false">IF(AND(H2633="United Kingdom",G2633&lt;&gt;"",COUNTIFS($G$2:G2633,G2633,$H$2:H2633,"United Kingdom")=1),1,0)</f>
        <v>0</v>
      </c>
    </row>
    <row r="2634" customFormat="false" ht="15" hidden="false" customHeight="false" outlineLevel="0" collapsed="false">
      <c r="A2634" s="0" t="s">
        <v>572</v>
      </c>
      <c r="B2634" s="0" t="s">
        <v>77</v>
      </c>
      <c r="C2634" s="0" t="s">
        <v>78</v>
      </c>
      <c r="D2634" s="0" t="n">
        <v>12</v>
      </c>
      <c r="E2634" s="2" t="n">
        <v>40792.6020833333</v>
      </c>
      <c r="F2634" s="0" t="n">
        <v>3.41</v>
      </c>
      <c r="G2634" s="0" t="n">
        <v>16884</v>
      </c>
      <c r="H2634" s="3" t="s">
        <v>14</v>
      </c>
      <c r="I2634" s="4" t="n">
        <f aca="false">D2634*F2634</f>
        <v>40.92</v>
      </c>
      <c r="J2634" s="3" t="n">
        <f aca="false">IF(AND(LEFT(A2634,1)&lt;&gt;"C",D2634&gt;0,F2634&gt;0),1,0)</f>
        <v>1</v>
      </c>
      <c r="K2634" s="3" t="n">
        <f aca="false">IF(AND(H2634="United Kingdom",G2634&lt;&gt;"",COUNTIFS($G$2:G2634,G2634,$H$2:H2634,"United Kingdom")=1),1,0)</f>
        <v>0</v>
      </c>
    </row>
    <row r="2635" customFormat="false" ht="15" hidden="false" customHeight="false" outlineLevel="0" collapsed="false">
      <c r="A2635" s="0" t="s">
        <v>572</v>
      </c>
      <c r="B2635" s="0" t="s">
        <v>75</v>
      </c>
      <c r="C2635" s="0" t="s">
        <v>76</v>
      </c>
      <c r="D2635" s="0" t="n">
        <v>16</v>
      </c>
      <c r="E2635" s="2" t="n">
        <v>40792.6020833333</v>
      </c>
      <c r="F2635" s="0" t="n">
        <v>1.97</v>
      </c>
      <c r="G2635" s="0" t="n">
        <v>16884</v>
      </c>
      <c r="H2635" s="3" t="s">
        <v>14</v>
      </c>
      <c r="I2635" s="4" t="n">
        <f aca="false">D2635*F2635</f>
        <v>31.52</v>
      </c>
      <c r="J2635" s="3" t="n">
        <f aca="false">IF(AND(LEFT(A2635,1)&lt;&gt;"C",D2635&gt;0,F2635&gt;0),1,0)</f>
        <v>1</v>
      </c>
      <c r="K2635" s="3" t="n">
        <f aca="false">IF(AND(H2635="United Kingdom",G2635&lt;&gt;"",COUNTIFS($G$2:G2635,G2635,$H$2:H2635,"United Kingdom")=1),1,0)</f>
        <v>0</v>
      </c>
    </row>
    <row r="2636" customFormat="false" ht="15" hidden="false" customHeight="false" outlineLevel="0" collapsed="false">
      <c r="A2636" s="0" t="s">
        <v>572</v>
      </c>
      <c r="B2636" s="0" t="s">
        <v>34</v>
      </c>
      <c r="C2636" s="0" t="s">
        <v>35</v>
      </c>
      <c r="D2636" s="0" t="n">
        <v>4</v>
      </c>
      <c r="E2636" s="2" t="n">
        <v>40792.6020833333</v>
      </c>
      <c r="F2636" s="0" t="n">
        <v>2.38</v>
      </c>
      <c r="G2636" s="0" t="n">
        <v>16884</v>
      </c>
      <c r="H2636" s="3" t="s">
        <v>14</v>
      </c>
      <c r="I2636" s="4" t="n">
        <f aca="false">D2636*F2636</f>
        <v>9.52</v>
      </c>
      <c r="J2636" s="3" t="n">
        <f aca="false">IF(AND(LEFT(A2636,1)&lt;&gt;"C",D2636&gt;0,F2636&gt;0),1,0)</f>
        <v>1</v>
      </c>
      <c r="K2636" s="3" t="n">
        <f aca="false">IF(AND(H2636="United Kingdom",G2636&lt;&gt;"",COUNTIFS($G$2:G2636,G2636,$H$2:H2636,"United Kingdom")=1),1,0)</f>
        <v>0</v>
      </c>
    </row>
    <row r="2637" customFormat="false" ht="15" hidden="false" customHeight="false" outlineLevel="0" collapsed="false">
      <c r="A2637" s="0" t="s">
        <v>572</v>
      </c>
      <c r="B2637" s="0" t="s">
        <v>54</v>
      </c>
      <c r="C2637" s="0" t="s">
        <v>55</v>
      </c>
      <c r="D2637" s="0" t="n">
        <v>12</v>
      </c>
      <c r="E2637" s="2" t="n">
        <v>40792.6020833333</v>
      </c>
      <c r="F2637" s="0" t="n">
        <v>0.99</v>
      </c>
      <c r="G2637" s="0" t="n">
        <v>16884</v>
      </c>
      <c r="H2637" s="3" t="s">
        <v>14</v>
      </c>
      <c r="I2637" s="4" t="n">
        <f aca="false">D2637*F2637</f>
        <v>11.88</v>
      </c>
      <c r="J2637" s="3" t="n">
        <f aca="false">IF(AND(LEFT(A2637,1)&lt;&gt;"C",D2637&gt;0,F2637&gt;0),1,0)</f>
        <v>1</v>
      </c>
      <c r="K2637" s="3" t="n">
        <f aca="false">IF(AND(H2637="United Kingdom",G2637&lt;&gt;"",COUNTIFS($G$2:G2637,G2637,$H$2:H2637,"United Kingdom")=1),1,0)</f>
        <v>0</v>
      </c>
    </row>
    <row r="2638" customFormat="false" ht="15" hidden="false" customHeight="false" outlineLevel="0" collapsed="false">
      <c r="A2638" s="0" t="s">
        <v>572</v>
      </c>
      <c r="B2638" s="0" t="s">
        <v>65</v>
      </c>
      <c r="C2638" s="0" t="s">
        <v>66</v>
      </c>
      <c r="D2638" s="0" t="n">
        <v>2</v>
      </c>
      <c r="E2638" s="2" t="n">
        <v>40792.6020833333</v>
      </c>
      <c r="F2638" s="0" t="n">
        <v>4.75</v>
      </c>
      <c r="G2638" s="0" t="n">
        <v>16884</v>
      </c>
      <c r="H2638" s="3" t="s">
        <v>14</v>
      </c>
      <c r="I2638" s="4" t="n">
        <f aca="false">D2638*F2638</f>
        <v>9.5</v>
      </c>
      <c r="J2638" s="3" t="n">
        <f aca="false">IF(AND(LEFT(A2638,1)&lt;&gt;"C",D2638&gt;0,F2638&gt;0),1,0)</f>
        <v>1</v>
      </c>
      <c r="K2638" s="3" t="n">
        <f aca="false">IF(AND(H2638="United Kingdom",G2638&lt;&gt;"",COUNTIFS($G$2:G2638,G2638,$H$2:H2638,"United Kingdom")=1),1,0)</f>
        <v>0</v>
      </c>
    </row>
    <row r="2639" customFormat="false" ht="15" hidden="false" customHeight="false" outlineLevel="0" collapsed="false">
      <c r="A2639" s="0" t="s">
        <v>572</v>
      </c>
      <c r="B2639" s="0" t="s">
        <v>27</v>
      </c>
      <c r="C2639" s="0" t="s">
        <v>28</v>
      </c>
      <c r="D2639" s="0" t="n">
        <v>1</v>
      </c>
      <c r="E2639" s="2" t="n">
        <v>40792.6020833333</v>
      </c>
      <c r="F2639" s="0" t="n">
        <v>4.55</v>
      </c>
      <c r="G2639" s="0" t="n">
        <v>16884</v>
      </c>
      <c r="H2639" s="3" t="s">
        <v>14</v>
      </c>
      <c r="I2639" s="4" t="n">
        <f aca="false">D2639*F2639</f>
        <v>4.55</v>
      </c>
      <c r="J2639" s="3" t="n">
        <f aca="false">IF(AND(LEFT(A2639,1)&lt;&gt;"C",D2639&gt;0,F2639&gt;0),1,0)</f>
        <v>1</v>
      </c>
      <c r="K2639" s="3" t="n">
        <f aca="false">IF(AND(H2639="United Kingdom",G2639&lt;&gt;"",COUNTIFS($G$2:G2639,G2639,$H$2:H2639,"United Kingdom")=1),1,0)</f>
        <v>0</v>
      </c>
    </row>
    <row r="2640" customFormat="false" ht="15" hidden="false" customHeight="false" outlineLevel="0" collapsed="false">
      <c r="A2640" s="0" t="s">
        <v>572</v>
      </c>
      <c r="B2640" s="0" t="s">
        <v>29</v>
      </c>
      <c r="C2640" s="0" t="s">
        <v>30</v>
      </c>
      <c r="D2640" s="0" t="n">
        <v>8</v>
      </c>
      <c r="E2640" s="2" t="n">
        <v>40792.6020833333</v>
      </c>
      <c r="F2640" s="0" t="n">
        <v>5.79</v>
      </c>
      <c r="G2640" s="0" t="n">
        <v>16884</v>
      </c>
      <c r="H2640" s="3" t="s">
        <v>14</v>
      </c>
      <c r="I2640" s="4" t="n">
        <f aca="false">D2640*F2640</f>
        <v>46.32</v>
      </c>
      <c r="J2640" s="3" t="n">
        <f aca="false">IF(AND(LEFT(A2640,1)&lt;&gt;"C",D2640&gt;0,F2640&gt;0),1,0)</f>
        <v>1</v>
      </c>
      <c r="K2640" s="3" t="n">
        <f aca="false">IF(AND(H2640="United Kingdom",G2640&lt;&gt;"",COUNTIFS($G$2:G2640,G2640,$H$2:H2640,"United Kingdom")=1),1,0)</f>
        <v>0</v>
      </c>
    </row>
    <row r="2641" customFormat="false" ht="15" hidden="false" customHeight="false" outlineLevel="0" collapsed="false">
      <c r="A2641" s="0" t="s">
        <v>572</v>
      </c>
      <c r="B2641" s="0" t="s">
        <v>15</v>
      </c>
      <c r="C2641" s="0" t="s">
        <v>16</v>
      </c>
      <c r="D2641" s="0" t="n">
        <v>3</v>
      </c>
      <c r="E2641" s="2" t="n">
        <v>40792.6020833333</v>
      </c>
      <c r="F2641" s="0" t="n">
        <v>3.18</v>
      </c>
      <c r="G2641" s="0" t="n">
        <v>16884</v>
      </c>
      <c r="H2641" s="3" t="s">
        <v>14</v>
      </c>
      <c r="I2641" s="4" t="n">
        <f aca="false">D2641*F2641</f>
        <v>9.54</v>
      </c>
      <c r="J2641" s="3" t="n">
        <f aca="false">IF(AND(LEFT(A2641,1)&lt;&gt;"C",D2641&gt;0,F2641&gt;0),1,0)</f>
        <v>1</v>
      </c>
      <c r="K2641" s="3" t="n">
        <f aca="false">IF(AND(H2641="United Kingdom",G2641&lt;&gt;"",COUNTIFS($G$2:G2641,G2641,$H$2:H2641,"United Kingdom")=1),1,0)</f>
        <v>0</v>
      </c>
    </row>
    <row r="2642" customFormat="false" ht="15" hidden="false" customHeight="false" outlineLevel="0" collapsed="false">
      <c r="A2642" s="0" t="s">
        <v>572</v>
      </c>
      <c r="B2642" s="0" t="s">
        <v>68</v>
      </c>
      <c r="C2642" s="0" t="s">
        <v>69</v>
      </c>
      <c r="D2642" s="0" t="n">
        <v>3</v>
      </c>
      <c r="E2642" s="2" t="n">
        <v>40792.6020833333</v>
      </c>
      <c r="F2642" s="0" t="n">
        <v>1.26</v>
      </c>
      <c r="G2642" s="0" t="n">
        <v>16884</v>
      </c>
      <c r="H2642" s="3" t="s">
        <v>14</v>
      </c>
      <c r="I2642" s="4" t="n">
        <f aca="false">D2642*F2642</f>
        <v>3.78</v>
      </c>
      <c r="J2642" s="3" t="n">
        <f aca="false">IF(AND(LEFT(A2642,1)&lt;&gt;"C",D2642&gt;0,F2642&gt;0),1,0)</f>
        <v>1</v>
      </c>
      <c r="K2642" s="3" t="n">
        <f aca="false">IF(AND(H2642="United Kingdom",G2642&lt;&gt;"",COUNTIFS($G$2:G2642,G2642,$H$2:H2642,"United Kingdom")=1),1,0)</f>
        <v>0</v>
      </c>
    </row>
    <row r="2643" customFormat="false" ht="15" hidden="false" customHeight="false" outlineLevel="0" collapsed="false">
      <c r="A2643" s="0" t="s">
        <v>572</v>
      </c>
      <c r="B2643" s="0" t="s">
        <v>80</v>
      </c>
      <c r="C2643" s="0" t="s">
        <v>81</v>
      </c>
      <c r="D2643" s="0" t="n">
        <v>3</v>
      </c>
      <c r="E2643" s="2" t="n">
        <v>40792.6020833333</v>
      </c>
      <c r="F2643" s="0" t="n">
        <v>1.53</v>
      </c>
      <c r="G2643" s="0" t="n">
        <v>16884</v>
      </c>
      <c r="H2643" s="3" t="s">
        <v>14</v>
      </c>
      <c r="I2643" s="4" t="n">
        <f aca="false">D2643*F2643</f>
        <v>4.59</v>
      </c>
      <c r="J2643" s="3" t="n">
        <f aca="false">IF(AND(LEFT(A2643,1)&lt;&gt;"C",D2643&gt;0,F2643&gt;0),1,0)</f>
        <v>1</v>
      </c>
      <c r="K2643" s="3" t="n">
        <f aca="false">IF(AND(H2643="United Kingdom",G2643&lt;&gt;"",COUNTIFS($G$2:G2643,G2643,$H$2:H2643,"United Kingdom")=1),1,0)</f>
        <v>0</v>
      </c>
    </row>
    <row r="2644" customFormat="false" ht="15" hidden="false" customHeight="false" outlineLevel="0" collapsed="false">
      <c r="A2644" s="0" t="s">
        <v>572</v>
      </c>
      <c r="B2644" s="0" t="s">
        <v>17</v>
      </c>
      <c r="C2644" s="0" t="s">
        <v>18</v>
      </c>
      <c r="D2644" s="0" t="n">
        <v>6</v>
      </c>
      <c r="E2644" s="2" t="n">
        <v>40792.6020833333</v>
      </c>
      <c r="F2644" s="0" t="n">
        <v>1.92</v>
      </c>
      <c r="G2644" s="0" t="n">
        <v>16884</v>
      </c>
      <c r="H2644" s="3" t="s">
        <v>14</v>
      </c>
      <c r="I2644" s="4" t="n">
        <f aca="false">D2644*F2644</f>
        <v>11.52</v>
      </c>
      <c r="J2644" s="3" t="n">
        <f aca="false">IF(AND(LEFT(A2644,1)&lt;&gt;"C",D2644&gt;0,F2644&gt;0),1,0)</f>
        <v>1</v>
      </c>
      <c r="K2644" s="3" t="n">
        <f aca="false">IF(AND(H2644="United Kingdom",G2644&lt;&gt;"",COUNTIFS($G$2:G2644,G2644,$H$2:H2644,"United Kingdom")=1),1,0)</f>
        <v>0</v>
      </c>
    </row>
    <row r="2645" customFormat="false" ht="15" hidden="false" customHeight="false" outlineLevel="0" collapsed="false">
      <c r="A2645" s="0" t="s">
        <v>572</v>
      </c>
      <c r="B2645" s="0" t="s">
        <v>52</v>
      </c>
      <c r="C2645" s="0" t="s">
        <v>53</v>
      </c>
      <c r="D2645" s="0" t="n">
        <v>1</v>
      </c>
      <c r="E2645" s="2" t="n">
        <v>40792.6020833333</v>
      </c>
      <c r="F2645" s="0" t="n">
        <v>4.16</v>
      </c>
      <c r="G2645" s="0" t="n">
        <v>16884</v>
      </c>
      <c r="H2645" s="3" t="s">
        <v>14</v>
      </c>
      <c r="I2645" s="4" t="n">
        <f aca="false">D2645*F2645</f>
        <v>4.16</v>
      </c>
      <c r="J2645" s="3" t="n">
        <f aca="false">IF(AND(LEFT(A2645,1)&lt;&gt;"C",D2645&gt;0,F2645&gt;0),1,0)</f>
        <v>1</v>
      </c>
      <c r="K2645" s="3" t="n">
        <f aca="false">IF(AND(H2645="United Kingdom",G2645&lt;&gt;"",COUNTIFS($G$2:G2645,G2645,$H$2:H2645,"United Kingdom")=1),1,0)</f>
        <v>0</v>
      </c>
    </row>
    <row r="2646" customFormat="false" ht="15" hidden="false" customHeight="false" outlineLevel="0" collapsed="false">
      <c r="A2646" s="0" t="s">
        <v>572</v>
      </c>
      <c r="B2646" s="0" t="s">
        <v>37</v>
      </c>
      <c r="C2646" s="0" t="s">
        <v>38</v>
      </c>
      <c r="D2646" s="0" t="n">
        <v>1</v>
      </c>
      <c r="E2646" s="2" t="n">
        <v>40792.6020833333</v>
      </c>
      <c r="F2646" s="0" t="n">
        <v>1.82</v>
      </c>
      <c r="G2646" s="0" t="n">
        <v>16884</v>
      </c>
      <c r="H2646" s="3" t="s">
        <v>14</v>
      </c>
      <c r="I2646" s="4" t="n">
        <f aca="false">D2646*F2646</f>
        <v>1.82</v>
      </c>
      <c r="J2646" s="3" t="n">
        <f aca="false">IF(AND(LEFT(A2646,1)&lt;&gt;"C",D2646&gt;0,F2646&gt;0),1,0)</f>
        <v>1</v>
      </c>
      <c r="K2646" s="3" t="n">
        <f aca="false">IF(AND(H2646="United Kingdom",G2646&lt;&gt;"",COUNTIFS($G$2:G2646,G2646,$H$2:H2646,"United Kingdom")=1),1,0)</f>
        <v>0</v>
      </c>
    </row>
    <row r="2647" customFormat="false" ht="15" hidden="false" customHeight="false" outlineLevel="0" collapsed="false">
      <c r="A2647" s="0" t="s">
        <v>572</v>
      </c>
      <c r="B2647" s="0" t="s">
        <v>25</v>
      </c>
      <c r="C2647" s="0" t="s">
        <v>26</v>
      </c>
      <c r="D2647" s="0" t="n">
        <v>2</v>
      </c>
      <c r="E2647" s="2" t="n">
        <v>40792.6020833333</v>
      </c>
      <c r="F2647" s="0" t="n">
        <v>2.21</v>
      </c>
      <c r="G2647" s="0" t="n">
        <v>16884</v>
      </c>
      <c r="H2647" s="3" t="s">
        <v>14</v>
      </c>
      <c r="I2647" s="4" t="n">
        <f aca="false">D2647*F2647</f>
        <v>4.42</v>
      </c>
      <c r="J2647" s="3" t="n">
        <f aca="false">IF(AND(LEFT(A2647,1)&lt;&gt;"C",D2647&gt;0,F2647&gt;0),1,0)</f>
        <v>1</v>
      </c>
      <c r="K2647" s="3" t="n">
        <f aca="false">IF(AND(H2647="United Kingdom",G2647&lt;&gt;"",COUNTIFS($G$2:G2647,G2647,$H$2:H2647,"United Kingdom")=1),1,0)</f>
        <v>0</v>
      </c>
    </row>
    <row r="2648" customFormat="false" ht="15" hidden="false" customHeight="false" outlineLevel="0" collapsed="false">
      <c r="A2648" s="0" t="s">
        <v>572</v>
      </c>
      <c r="B2648" s="0" t="s">
        <v>12</v>
      </c>
      <c r="C2648" s="0" t="s">
        <v>13</v>
      </c>
      <c r="D2648" s="0" t="n">
        <v>2</v>
      </c>
      <c r="E2648" s="2" t="n">
        <v>40792.6020833333</v>
      </c>
      <c r="F2648" s="0" t="n">
        <v>3.33</v>
      </c>
      <c r="G2648" s="0" t="n">
        <v>16884</v>
      </c>
      <c r="H2648" s="3" t="s">
        <v>14</v>
      </c>
      <c r="I2648" s="4" t="n">
        <f aca="false">D2648*F2648</f>
        <v>6.66</v>
      </c>
      <c r="J2648" s="3" t="n">
        <f aca="false">IF(AND(LEFT(A2648,1)&lt;&gt;"C",D2648&gt;0,F2648&gt;0),1,0)</f>
        <v>1</v>
      </c>
      <c r="K2648" s="3" t="n">
        <f aca="false">IF(AND(H2648="United Kingdom",G2648&lt;&gt;"",COUNTIFS($G$2:G2648,G2648,$H$2:H2648,"United Kingdom")=1),1,0)</f>
        <v>0</v>
      </c>
    </row>
    <row r="2649" customFormat="false" ht="15" hidden="false" customHeight="false" outlineLevel="0" collapsed="false">
      <c r="A2649" s="0" t="s">
        <v>572</v>
      </c>
      <c r="B2649" s="0" t="s">
        <v>32</v>
      </c>
      <c r="C2649" s="0" t="s">
        <v>33</v>
      </c>
      <c r="D2649" s="0" t="n">
        <v>8</v>
      </c>
      <c r="E2649" s="2" t="n">
        <v>40792.6020833333</v>
      </c>
      <c r="F2649" s="0" t="n">
        <v>1.19</v>
      </c>
      <c r="G2649" s="0" t="n">
        <v>16884</v>
      </c>
      <c r="H2649" s="3" t="s">
        <v>14</v>
      </c>
      <c r="I2649" s="4" t="n">
        <f aca="false">D2649*F2649</f>
        <v>9.52</v>
      </c>
      <c r="J2649" s="3" t="n">
        <f aca="false">IF(AND(LEFT(A2649,1)&lt;&gt;"C",D2649&gt;0,F2649&gt;0),1,0)</f>
        <v>1</v>
      </c>
      <c r="K2649" s="3" t="n">
        <f aca="false">IF(AND(H2649="United Kingdom",G2649&lt;&gt;"",COUNTIFS($G$2:G2649,G2649,$H$2:H2649,"United Kingdom")=1),1,0)</f>
        <v>0</v>
      </c>
    </row>
    <row r="2650" customFormat="false" ht="15" hidden="false" customHeight="false" outlineLevel="0" collapsed="false">
      <c r="A2650" s="0" t="s">
        <v>572</v>
      </c>
      <c r="B2650" s="0" t="s">
        <v>113</v>
      </c>
      <c r="C2650" s="0" t="s">
        <v>114</v>
      </c>
      <c r="D2650" s="0" t="n">
        <v>2</v>
      </c>
      <c r="E2650" s="2" t="n">
        <v>40792.6020833333</v>
      </c>
      <c r="F2650" s="0" t="n">
        <v>3.57</v>
      </c>
      <c r="G2650" s="0" t="n">
        <v>16884</v>
      </c>
      <c r="H2650" s="3" t="s">
        <v>14</v>
      </c>
      <c r="I2650" s="4" t="n">
        <f aca="false">D2650*F2650</f>
        <v>7.14</v>
      </c>
      <c r="J2650" s="3" t="n">
        <f aca="false">IF(AND(LEFT(A2650,1)&lt;&gt;"C",D2650&gt;0,F2650&gt;0),1,0)</f>
        <v>1</v>
      </c>
      <c r="K2650" s="3" t="n">
        <f aca="false">IF(AND(H2650="United Kingdom",G2650&lt;&gt;"",COUNTIFS($G$2:G2650,G2650,$H$2:H2650,"United Kingdom")=1),1,0)</f>
        <v>0</v>
      </c>
    </row>
    <row r="2651" customFormat="false" ht="15" hidden="false" customHeight="false" outlineLevel="0" collapsed="false">
      <c r="A2651" s="0" t="s">
        <v>572</v>
      </c>
      <c r="B2651" s="0" t="s">
        <v>20</v>
      </c>
      <c r="C2651" s="0" t="s">
        <v>21</v>
      </c>
      <c r="D2651" s="0" t="n">
        <v>1</v>
      </c>
      <c r="E2651" s="2" t="n">
        <v>40792.6020833333</v>
      </c>
      <c r="F2651" s="0" t="n">
        <v>4.24</v>
      </c>
      <c r="G2651" s="0" t="n">
        <v>16884</v>
      </c>
      <c r="H2651" s="3" t="s">
        <v>14</v>
      </c>
      <c r="I2651" s="4" t="n">
        <f aca="false">D2651*F2651</f>
        <v>4.24</v>
      </c>
      <c r="J2651" s="3" t="n">
        <f aca="false">IF(AND(LEFT(A2651,1)&lt;&gt;"C",D2651&gt;0,F2651&gt;0),1,0)</f>
        <v>1</v>
      </c>
      <c r="K2651" s="3" t="n">
        <f aca="false">IF(AND(H2651="United Kingdom",G2651&lt;&gt;"",COUNTIFS($G$2:G2651,G2651,$H$2:H2651,"United Kingdom")=1),1,0)</f>
        <v>0</v>
      </c>
    </row>
    <row r="2652" customFormat="false" ht="15" hidden="false" customHeight="false" outlineLevel="0" collapsed="false">
      <c r="A2652" s="0" t="s">
        <v>572</v>
      </c>
      <c r="B2652" s="0" t="s">
        <v>90</v>
      </c>
      <c r="C2652" s="0" t="s">
        <v>91</v>
      </c>
      <c r="D2652" s="0" t="n">
        <v>4</v>
      </c>
      <c r="E2652" s="2" t="n">
        <v>40792.6020833333</v>
      </c>
      <c r="F2652" s="0" t="n">
        <v>3.04</v>
      </c>
      <c r="G2652" s="0" t="n">
        <v>16884</v>
      </c>
      <c r="H2652" s="3" t="s">
        <v>14</v>
      </c>
      <c r="I2652" s="4" t="n">
        <f aca="false">D2652*F2652</f>
        <v>12.16</v>
      </c>
      <c r="J2652" s="3" t="n">
        <f aca="false">IF(AND(LEFT(A2652,1)&lt;&gt;"C",D2652&gt;0,F2652&gt;0),1,0)</f>
        <v>1</v>
      </c>
      <c r="K2652" s="3" t="n">
        <f aca="false">IF(AND(H2652="United Kingdom",G2652&lt;&gt;"",COUNTIFS($G$2:G2652,G2652,$H$2:H2652,"United Kingdom")=1),1,0)</f>
        <v>0</v>
      </c>
    </row>
    <row r="2653" customFormat="false" ht="15" hidden="false" customHeight="false" outlineLevel="0" collapsed="false">
      <c r="A2653" s="0" t="s">
        <v>573</v>
      </c>
      <c r="B2653" s="0" t="s">
        <v>54</v>
      </c>
      <c r="C2653" s="0" t="s">
        <v>55</v>
      </c>
      <c r="D2653" s="0" t="n">
        <v>2</v>
      </c>
      <c r="E2653" s="2" t="n">
        <v>40792.7083333333</v>
      </c>
      <c r="F2653" s="0" t="n">
        <v>0.99</v>
      </c>
      <c r="G2653" s="0" t="n">
        <v>17953</v>
      </c>
      <c r="H2653" s="3" t="s">
        <v>14</v>
      </c>
      <c r="I2653" s="4" t="n">
        <f aca="false">D2653*F2653</f>
        <v>1.98</v>
      </c>
      <c r="J2653" s="3" t="n">
        <f aca="false">IF(AND(LEFT(A2653,1)&lt;&gt;"C",D2653&gt;0,F2653&gt;0),1,0)</f>
        <v>1</v>
      </c>
      <c r="K2653" s="3" t="n">
        <f aca="false">IF(AND(H2653="United Kingdom",G2653&lt;&gt;"",COUNTIFS($G$2:G2653,G2653,$H$2:H2653,"United Kingdom")=1),1,0)</f>
        <v>1</v>
      </c>
    </row>
    <row r="2654" customFormat="false" ht="15" hidden="false" customHeight="false" outlineLevel="0" collapsed="false">
      <c r="A2654" s="0" t="s">
        <v>573</v>
      </c>
      <c r="B2654" s="0" t="s">
        <v>22</v>
      </c>
      <c r="C2654" s="0" t="s">
        <v>23</v>
      </c>
      <c r="D2654" s="0" t="n">
        <v>4</v>
      </c>
      <c r="E2654" s="2" t="n">
        <v>40792.7083333333</v>
      </c>
      <c r="F2654" s="0" t="n">
        <v>3.18</v>
      </c>
      <c r="G2654" s="0" t="n">
        <v>17953</v>
      </c>
      <c r="H2654" s="3" t="s">
        <v>14</v>
      </c>
      <c r="I2654" s="4" t="n">
        <f aca="false">D2654*F2654</f>
        <v>12.72</v>
      </c>
      <c r="J2654" s="3" t="n">
        <f aca="false">IF(AND(LEFT(A2654,1)&lt;&gt;"C",D2654&gt;0,F2654&gt;0),1,0)</f>
        <v>1</v>
      </c>
      <c r="K2654" s="3" t="n">
        <f aca="false">IF(AND(H2654="United Kingdom",G2654&lt;&gt;"",COUNTIFS($G$2:G2654,G2654,$H$2:H2654,"United Kingdom")=1),1,0)</f>
        <v>0</v>
      </c>
    </row>
    <row r="2655" customFormat="false" ht="15" hidden="false" customHeight="false" outlineLevel="0" collapsed="false">
      <c r="A2655" s="0" t="s">
        <v>573</v>
      </c>
      <c r="B2655" s="0" t="s">
        <v>27</v>
      </c>
      <c r="C2655" s="0" t="s">
        <v>28</v>
      </c>
      <c r="D2655" s="0" t="n">
        <v>2</v>
      </c>
      <c r="E2655" s="2" t="n">
        <v>40792.7083333333</v>
      </c>
      <c r="F2655" s="0" t="n">
        <v>4.55</v>
      </c>
      <c r="G2655" s="0" t="n">
        <v>17953</v>
      </c>
      <c r="H2655" s="3" t="s">
        <v>14</v>
      </c>
      <c r="I2655" s="4" t="n">
        <f aca="false">D2655*F2655</f>
        <v>9.1</v>
      </c>
      <c r="J2655" s="3" t="n">
        <f aca="false">IF(AND(LEFT(A2655,1)&lt;&gt;"C",D2655&gt;0,F2655&gt;0),1,0)</f>
        <v>1</v>
      </c>
      <c r="K2655" s="3" t="n">
        <f aca="false">IF(AND(H2655="United Kingdom",G2655&lt;&gt;"",COUNTIFS($G$2:G2655,G2655,$H$2:H2655,"United Kingdom")=1),1,0)</f>
        <v>0</v>
      </c>
    </row>
    <row r="2656" customFormat="false" ht="15" hidden="false" customHeight="false" outlineLevel="0" collapsed="false">
      <c r="A2656" s="0" t="s">
        <v>573</v>
      </c>
      <c r="B2656" s="0" t="s">
        <v>48</v>
      </c>
      <c r="C2656" s="0" t="s">
        <v>49</v>
      </c>
      <c r="D2656" s="0" t="n">
        <v>4</v>
      </c>
      <c r="E2656" s="2" t="n">
        <v>40792.7083333333</v>
      </c>
      <c r="F2656" s="0" t="n">
        <v>1.35</v>
      </c>
      <c r="G2656" s="0" t="n">
        <v>17953</v>
      </c>
      <c r="H2656" s="3" t="s">
        <v>14</v>
      </c>
      <c r="I2656" s="4" t="n">
        <f aca="false">D2656*F2656</f>
        <v>5.4</v>
      </c>
      <c r="J2656" s="3" t="n">
        <f aca="false">IF(AND(LEFT(A2656,1)&lt;&gt;"C",D2656&gt;0,F2656&gt;0),1,0)</f>
        <v>1</v>
      </c>
      <c r="K2656" s="3" t="n">
        <f aca="false">IF(AND(H2656="United Kingdom",G2656&lt;&gt;"",COUNTIFS($G$2:G2656,G2656,$H$2:H2656,"United Kingdom")=1),1,0)</f>
        <v>0</v>
      </c>
    </row>
    <row r="2657" customFormat="false" ht="15" hidden="false" customHeight="false" outlineLevel="0" collapsed="false">
      <c r="A2657" s="0" t="s">
        <v>573</v>
      </c>
      <c r="B2657" s="0" t="s">
        <v>32</v>
      </c>
      <c r="C2657" s="0" t="s">
        <v>33</v>
      </c>
      <c r="D2657" s="0" t="n">
        <v>12</v>
      </c>
      <c r="E2657" s="2" t="n">
        <v>40792.7083333333</v>
      </c>
      <c r="F2657" s="0" t="n">
        <v>1.19</v>
      </c>
      <c r="G2657" s="0" t="n">
        <v>17953</v>
      </c>
      <c r="H2657" s="3" t="s">
        <v>14</v>
      </c>
      <c r="I2657" s="4" t="n">
        <f aca="false">D2657*F2657</f>
        <v>14.28</v>
      </c>
      <c r="J2657" s="3" t="n">
        <f aca="false">IF(AND(LEFT(A2657,1)&lt;&gt;"C",D2657&gt;0,F2657&gt;0),1,0)</f>
        <v>1</v>
      </c>
      <c r="K2657" s="3" t="n">
        <f aca="false">IF(AND(H2657="United Kingdom",G2657&lt;&gt;"",COUNTIFS($G$2:G2657,G2657,$H$2:H2657,"United Kingdom")=1),1,0)</f>
        <v>0</v>
      </c>
    </row>
    <row r="2658" customFormat="false" ht="15" hidden="false" customHeight="false" outlineLevel="0" collapsed="false">
      <c r="A2658" s="0" t="s">
        <v>573</v>
      </c>
      <c r="B2658" s="0" t="s">
        <v>113</v>
      </c>
      <c r="C2658" s="0" t="s">
        <v>114</v>
      </c>
      <c r="D2658" s="0" t="n">
        <v>4</v>
      </c>
      <c r="E2658" s="2" t="n">
        <v>40792.7083333333</v>
      </c>
      <c r="F2658" s="0" t="n">
        <v>3.57</v>
      </c>
      <c r="G2658" s="0" t="n">
        <v>17953</v>
      </c>
      <c r="H2658" s="3" t="s">
        <v>14</v>
      </c>
      <c r="I2658" s="4" t="n">
        <f aca="false">D2658*F2658</f>
        <v>14.28</v>
      </c>
      <c r="J2658" s="3" t="n">
        <f aca="false">IF(AND(LEFT(A2658,1)&lt;&gt;"C",D2658&gt;0,F2658&gt;0),1,0)</f>
        <v>1</v>
      </c>
      <c r="K2658" s="3" t="n">
        <f aca="false">IF(AND(H2658="United Kingdom",G2658&lt;&gt;"",COUNTIFS($G$2:G2658,G2658,$H$2:H2658,"United Kingdom")=1),1,0)</f>
        <v>0</v>
      </c>
    </row>
    <row r="2659" customFormat="false" ht="15" hidden="false" customHeight="false" outlineLevel="0" collapsed="false">
      <c r="A2659" s="0" t="s">
        <v>574</v>
      </c>
      <c r="B2659" s="0" t="s">
        <v>20</v>
      </c>
      <c r="C2659" s="0" t="s">
        <v>21</v>
      </c>
      <c r="D2659" s="0" t="n">
        <v>2</v>
      </c>
      <c r="E2659" s="2" t="n">
        <v>40793.5652777778</v>
      </c>
      <c r="F2659" s="0" t="n">
        <v>4.24</v>
      </c>
      <c r="H2659" s="3" t="s">
        <v>14</v>
      </c>
      <c r="I2659" s="4" t="n">
        <f aca="false">D2659*F2659</f>
        <v>8.48</v>
      </c>
      <c r="J2659" s="3" t="n">
        <f aca="false">IF(AND(LEFT(A2659,1)&lt;&gt;"C",D2659&gt;0,F2659&gt;0),1,0)</f>
        <v>1</v>
      </c>
      <c r="K2659" s="3" t="n">
        <f aca="false">IF(AND(H2659="United Kingdom",G2659&lt;&gt;"",COUNTIFS($G$2:G2659,G2659,$H$2:H2659,"United Kingdom")=1),1,0)</f>
        <v>0</v>
      </c>
    </row>
    <row r="2660" customFormat="false" ht="15" hidden="false" customHeight="false" outlineLevel="0" collapsed="false">
      <c r="A2660" s="0" t="s">
        <v>574</v>
      </c>
      <c r="B2660" s="0" t="s">
        <v>77</v>
      </c>
      <c r="C2660" s="0" t="s">
        <v>78</v>
      </c>
      <c r="D2660" s="0" t="n">
        <v>12</v>
      </c>
      <c r="E2660" s="2" t="n">
        <v>40793.5652777778</v>
      </c>
      <c r="F2660" s="0" t="n">
        <v>3.41</v>
      </c>
      <c r="H2660" s="3" t="s">
        <v>14</v>
      </c>
      <c r="I2660" s="4" t="n">
        <f aca="false">D2660*F2660</f>
        <v>40.92</v>
      </c>
      <c r="J2660" s="3" t="n">
        <f aca="false">IF(AND(LEFT(A2660,1)&lt;&gt;"C",D2660&gt;0,F2660&gt;0),1,0)</f>
        <v>1</v>
      </c>
      <c r="K2660" s="3" t="n">
        <f aca="false">IF(AND(H2660="United Kingdom",G2660&lt;&gt;"",COUNTIFS($G$2:G2660,G2660,$H$2:H2660,"United Kingdom")=1),1,0)</f>
        <v>0</v>
      </c>
    </row>
    <row r="2661" customFormat="false" ht="15" hidden="false" customHeight="false" outlineLevel="0" collapsed="false">
      <c r="A2661" s="0" t="s">
        <v>574</v>
      </c>
      <c r="B2661" s="0" t="s">
        <v>63</v>
      </c>
      <c r="C2661" s="0" t="s">
        <v>64</v>
      </c>
      <c r="D2661" s="0" t="n">
        <v>12</v>
      </c>
      <c r="E2661" s="2" t="n">
        <v>40793.5652777778</v>
      </c>
      <c r="F2661" s="0" t="n">
        <v>2.43</v>
      </c>
      <c r="H2661" s="3" t="s">
        <v>14</v>
      </c>
      <c r="I2661" s="4" t="n">
        <f aca="false">D2661*F2661</f>
        <v>29.16</v>
      </c>
      <c r="J2661" s="3" t="n">
        <f aca="false">IF(AND(LEFT(A2661,1)&lt;&gt;"C",D2661&gt;0,F2661&gt;0),1,0)</f>
        <v>1</v>
      </c>
      <c r="K2661" s="3" t="n">
        <f aca="false">IF(AND(H2661="United Kingdom",G2661&lt;&gt;"",COUNTIFS($G$2:G2661,G2661,$H$2:H2661,"United Kingdom")=1),1,0)</f>
        <v>0</v>
      </c>
    </row>
    <row r="2662" customFormat="false" ht="15" hidden="false" customHeight="false" outlineLevel="0" collapsed="false">
      <c r="A2662" s="0" t="s">
        <v>574</v>
      </c>
      <c r="B2662" s="0" t="s">
        <v>37</v>
      </c>
      <c r="C2662" s="0" t="s">
        <v>38</v>
      </c>
      <c r="D2662" s="0" t="n">
        <v>3</v>
      </c>
      <c r="E2662" s="2" t="n">
        <v>40793.5652777778</v>
      </c>
      <c r="F2662" s="0" t="n">
        <v>1.82</v>
      </c>
      <c r="H2662" s="3" t="s">
        <v>14</v>
      </c>
      <c r="I2662" s="4" t="n">
        <f aca="false">D2662*F2662</f>
        <v>5.46</v>
      </c>
      <c r="J2662" s="3" t="n">
        <f aca="false">IF(AND(LEFT(A2662,1)&lt;&gt;"C",D2662&gt;0,F2662&gt;0),1,0)</f>
        <v>1</v>
      </c>
      <c r="K2662" s="3" t="n">
        <f aca="false">IF(AND(H2662="United Kingdom",G2662&lt;&gt;"",COUNTIFS($G$2:G2662,G2662,$H$2:H2662,"United Kingdom")=1),1,0)</f>
        <v>0</v>
      </c>
    </row>
    <row r="2663" customFormat="false" ht="15" hidden="false" customHeight="false" outlineLevel="0" collapsed="false">
      <c r="A2663" s="0" t="s">
        <v>574</v>
      </c>
      <c r="B2663" s="0" t="s">
        <v>43</v>
      </c>
      <c r="C2663" s="0" t="s">
        <v>44</v>
      </c>
      <c r="D2663" s="0" t="n">
        <v>1</v>
      </c>
      <c r="E2663" s="2" t="n">
        <v>40793.5652777778</v>
      </c>
      <c r="F2663" s="0" t="n">
        <v>1.35</v>
      </c>
      <c r="H2663" s="3" t="s">
        <v>14</v>
      </c>
      <c r="I2663" s="4" t="n">
        <f aca="false">D2663*F2663</f>
        <v>1.35</v>
      </c>
      <c r="J2663" s="3" t="n">
        <f aca="false">IF(AND(LEFT(A2663,1)&lt;&gt;"C",D2663&gt;0,F2663&gt;0),1,0)</f>
        <v>1</v>
      </c>
      <c r="K2663" s="3" t="n">
        <f aca="false">IF(AND(H2663="United Kingdom",G2663&lt;&gt;"",COUNTIFS($G$2:G2663,G2663,$H$2:H2663,"United Kingdom")=1),1,0)</f>
        <v>0</v>
      </c>
    </row>
    <row r="2664" customFormat="false" ht="15" hidden="false" customHeight="false" outlineLevel="0" collapsed="false">
      <c r="A2664" s="0" t="s">
        <v>574</v>
      </c>
      <c r="B2664" s="0" t="s">
        <v>48</v>
      </c>
      <c r="C2664" s="0" t="s">
        <v>49</v>
      </c>
      <c r="D2664" s="0" t="n">
        <v>3</v>
      </c>
      <c r="E2664" s="2" t="n">
        <v>40793.5652777778</v>
      </c>
      <c r="F2664" s="0" t="n">
        <v>1.35</v>
      </c>
      <c r="H2664" s="3" t="s">
        <v>14</v>
      </c>
      <c r="I2664" s="4" t="n">
        <f aca="false">D2664*F2664</f>
        <v>4.05</v>
      </c>
      <c r="J2664" s="3" t="n">
        <f aca="false">IF(AND(LEFT(A2664,1)&lt;&gt;"C",D2664&gt;0,F2664&gt;0),1,0)</f>
        <v>1</v>
      </c>
      <c r="K2664" s="3" t="n">
        <f aca="false">IF(AND(H2664="United Kingdom",G2664&lt;&gt;"",COUNTIFS($G$2:G2664,G2664,$H$2:H2664,"United Kingdom")=1),1,0)</f>
        <v>0</v>
      </c>
    </row>
    <row r="2665" customFormat="false" ht="15" hidden="false" customHeight="false" outlineLevel="0" collapsed="false">
      <c r="A2665" s="0" t="s">
        <v>574</v>
      </c>
      <c r="B2665" s="0" t="s">
        <v>12</v>
      </c>
      <c r="C2665" s="0" t="s">
        <v>13</v>
      </c>
      <c r="D2665" s="0" t="n">
        <v>2</v>
      </c>
      <c r="E2665" s="2" t="n">
        <v>40793.5652777778</v>
      </c>
      <c r="F2665" s="0" t="n">
        <v>3.33</v>
      </c>
      <c r="H2665" s="3" t="s">
        <v>14</v>
      </c>
      <c r="I2665" s="4" t="n">
        <f aca="false">D2665*F2665</f>
        <v>6.66</v>
      </c>
      <c r="J2665" s="3" t="n">
        <f aca="false">IF(AND(LEFT(A2665,1)&lt;&gt;"C",D2665&gt;0,F2665&gt;0),1,0)</f>
        <v>1</v>
      </c>
      <c r="K2665" s="3" t="n">
        <f aca="false">IF(AND(H2665="United Kingdom",G2665&lt;&gt;"",COUNTIFS($G$2:G2665,G2665,$H$2:H2665,"United Kingdom")=1),1,0)</f>
        <v>0</v>
      </c>
    </row>
    <row r="2666" customFormat="false" ht="15" hidden="false" customHeight="false" outlineLevel="0" collapsed="false">
      <c r="A2666" s="0" t="s">
        <v>575</v>
      </c>
      <c r="B2666" s="0" t="s">
        <v>17</v>
      </c>
      <c r="C2666" s="0" t="s">
        <v>18</v>
      </c>
      <c r="D2666" s="0" t="n">
        <v>24</v>
      </c>
      <c r="E2666" s="2" t="n">
        <v>40793.6902777778</v>
      </c>
      <c r="F2666" s="0" t="n">
        <v>1.92</v>
      </c>
      <c r="G2666" s="0" t="n">
        <v>16261</v>
      </c>
      <c r="H2666" s="3" t="s">
        <v>14</v>
      </c>
      <c r="I2666" s="4" t="n">
        <f aca="false">D2666*F2666</f>
        <v>46.08</v>
      </c>
      <c r="J2666" s="3" t="n">
        <f aca="false">IF(AND(LEFT(A2666,1)&lt;&gt;"C",D2666&gt;0,F2666&gt;0),1,0)</f>
        <v>1</v>
      </c>
      <c r="K2666" s="3" t="n">
        <f aca="false">IF(AND(H2666="United Kingdom",G2666&lt;&gt;"",COUNTIFS($G$2:G2666,G2666,$H$2:H2666,"United Kingdom")=1),1,0)</f>
        <v>0</v>
      </c>
    </row>
    <row r="2667" customFormat="false" ht="15" hidden="false" customHeight="false" outlineLevel="0" collapsed="false">
      <c r="A2667" s="0" t="s">
        <v>575</v>
      </c>
      <c r="B2667" s="0" t="s">
        <v>22</v>
      </c>
      <c r="C2667" s="0" t="s">
        <v>23</v>
      </c>
      <c r="D2667" s="0" t="n">
        <v>6</v>
      </c>
      <c r="E2667" s="2" t="n">
        <v>40793.6902777778</v>
      </c>
      <c r="F2667" s="0" t="n">
        <v>3.18</v>
      </c>
      <c r="G2667" s="0" t="n">
        <v>16261</v>
      </c>
      <c r="H2667" s="3" t="s">
        <v>14</v>
      </c>
      <c r="I2667" s="4" t="n">
        <f aca="false">D2667*F2667</f>
        <v>19.08</v>
      </c>
      <c r="J2667" s="3" t="n">
        <f aca="false">IF(AND(LEFT(A2667,1)&lt;&gt;"C",D2667&gt;0,F2667&gt;0),1,0)</f>
        <v>1</v>
      </c>
      <c r="K2667" s="3" t="n">
        <f aca="false">IF(AND(H2667="United Kingdom",G2667&lt;&gt;"",COUNTIFS($G$2:G2667,G2667,$H$2:H2667,"United Kingdom")=1),1,0)</f>
        <v>0</v>
      </c>
    </row>
    <row r="2668" customFormat="false" ht="15" hidden="false" customHeight="false" outlineLevel="0" collapsed="false">
      <c r="A2668" s="0" t="s">
        <v>575</v>
      </c>
      <c r="B2668" s="0" t="s">
        <v>12</v>
      </c>
      <c r="C2668" s="0" t="s">
        <v>13</v>
      </c>
      <c r="D2668" s="0" t="n">
        <v>4</v>
      </c>
      <c r="E2668" s="2" t="n">
        <v>40793.6902777778</v>
      </c>
      <c r="F2668" s="0" t="n">
        <v>3.33</v>
      </c>
      <c r="G2668" s="0" t="n">
        <v>16261</v>
      </c>
      <c r="H2668" s="3" t="s">
        <v>14</v>
      </c>
      <c r="I2668" s="4" t="n">
        <f aca="false">D2668*F2668</f>
        <v>13.32</v>
      </c>
      <c r="J2668" s="3" t="n">
        <f aca="false">IF(AND(LEFT(A2668,1)&lt;&gt;"C",D2668&gt;0,F2668&gt;0),1,0)</f>
        <v>1</v>
      </c>
      <c r="K2668" s="3" t="n">
        <f aca="false">IF(AND(H2668="United Kingdom",G2668&lt;&gt;"",COUNTIFS($G$2:G2668,G2668,$H$2:H2668,"United Kingdom")=1),1,0)</f>
        <v>0</v>
      </c>
    </row>
    <row r="2669" customFormat="false" ht="15" hidden="false" customHeight="false" outlineLevel="0" collapsed="false">
      <c r="A2669" s="0" t="s">
        <v>575</v>
      </c>
      <c r="B2669" s="0" t="s">
        <v>39</v>
      </c>
      <c r="C2669" s="0" t="s">
        <v>40</v>
      </c>
      <c r="D2669" s="0" t="n">
        <v>1</v>
      </c>
      <c r="E2669" s="2" t="n">
        <v>40793.6902777778</v>
      </c>
      <c r="F2669" s="0" t="n">
        <v>2.58</v>
      </c>
      <c r="G2669" s="0" t="n">
        <v>16261</v>
      </c>
      <c r="H2669" s="3" t="s">
        <v>14</v>
      </c>
      <c r="I2669" s="4" t="n">
        <f aca="false">D2669*F2669</f>
        <v>2.58</v>
      </c>
      <c r="J2669" s="3" t="n">
        <f aca="false">IF(AND(LEFT(A2669,1)&lt;&gt;"C",D2669&gt;0,F2669&gt;0),1,0)</f>
        <v>1</v>
      </c>
      <c r="K2669" s="3" t="n">
        <f aca="false">IF(AND(H2669="United Kingdom",G2669&lt;&gt;"",COUNTIFS($G$2:G2669,G2669,$H$2:H2669,"United Kingdom")=1),1,0)</f>
        <v>0</v>
      </c>
    </row>
    <row r="2670" customFormat="false" ht="15" hidden="false" customHeight="false" outlineLevel="0" collapsed="false">
      <c r="A2670" s="0" t="s">
        <v>575</v>
      </c>
      <c r="B2670" s="0" t="s">
        <v>34</v>
      </c>
      <c r="C2670" s="0" t="s">
        <v>35</v>
      </c>
      <c r="D2670" s="0" t="n">
        <v>3</v>
      </c>
      <c r="E2670" s="2" t="n">
        <v>40793.6902777778</v>
      </c>
      <c r="F2670" s="0" t="n">
        <v>2.38</v>
      </c>
      <c r="G2670" s="0" t="n">
        <v>16261</v>
      </c>
      <c r="H2670" s="3" t="s">
        <v>14</v>
      </c>
      <c r="I2670" s="4" t="n">
        <f aca="false">D2670*F2670</f>
        <v>7.14</v>
      </c>
      <c r="J2670" s="3" t="n">
        <f aca="false">IF(AND(LEFT(A2670,1)&lt;&gt;"C",D2670&gt;0,F2670&gt;0),1,0)</f>
        <v>1</v>
      </c>
      <c r="K2670" s="3" t="n">
        <f aca="false">IF(AND(H2670="United Kingdom",G2670&lt;&gt;"",COUNTIFS($G$2:G2670,G2670,$H$2:H2670,"United Kingdom")=1),1,0)</f>
        <v>0</v>
      </c>
    </row>
    <row r="2671" customFormat="false" ht="15" hidden="false" customHeight="false" outlineLevel="0" collapsed="false">
      <c r="A2671" s="0" t="s">
        <v>575</v>
      </c>
      <c r="B2671" s="0" t="s">
        <v>80</v>
      </c>
      <c r="C2671" s="0" t="s">
        <v>81</v>
      </c>
      <c r="D2671" s="0" t="n">
        <v>4</v>
      </c>
      <c r="E2671" s="2" t="n">
        <v>40793.6902777778</v>
      </c>
      <c r="F2671" s="0" t="n">
        <v>1.53</v>
      </c>
      <c r="G2671" s="0" t="n">
        <v>16261</v>
      </c>
      <c r="H2671" s="3" t="s">
        <v>14</v>
      </c>
      <c r="I2671" s="4" t="n">
        <f aca="false">D2671*F2671</f>
        <v>6.12</v>
      </c>
      <c r="J2671" s="3" t="n">
        <f aca="false">IF(AND(LEFT(A2671,1)&lt;&gt;"C",D2671&gt;0,F2671&gt;0),1,0)</f>
        <v>1</v>
      </c>
      <c r="K2671" s="3" t="n">
        <f aca="false">IF(AND(H2671="United Kingdom",G2671&lt;&gt;"",COUNTIFS($G$2:G2671,G2671,$H$2:H2671,"United Kingdom")=1),1,0)</f>
        <v>0</v>
      </c>
    </row>
    <row r="2672" customFormat="false" ht="15" hidden="false" customHeight="false" outlineLevel="0" collapsed="false">
      <c r="A2672" s="0" t="s">
        <v>575</v>
      </c>
      <c r="B2672" s="0" t="s">
        <v>41</v>
      </c>
      <c r="C2672" s="0" t="s">
        <v>42</v>
      </c>
      <c r="D2672" s="0" t="n">
        <v>1</v>
      </c>
      <c r="E2672" s="2" t="n">
        <v>40793.6902777778</v>
      </c>
      <c r="F2672" s="0" t="n">
        <v>3.28</v>
      </c>
      <c r="G2672" s="0" t="n">
        <v>16261</v>
      </c>
      <c r="H2672" s="3" t="s">
        <v>14</v>
      </c>
      <c r="I2672" s="4" t="n">
        <f aca="false">D2672*F2672</f>
        <v>3.28</v>
      </c>
      <c r="J2672" s="3" t="n">
        <f aca="false">IF(AND(LEFT(A2672,1)&lt;&gt;"C",D2672&gt;0,F2672&gt;0),1,0)</f>
        <v>1</v>
      </c>
      <c r="K2672" s="3" t="n">
        <f aca="false">IF(AND(H2672="United Kingdom",G2672&lt;&gt;"",COUNTIFS($G$2:G2672,G2672,$H$2:H2672,"United Kingdom")=1),1,0)</f>
        <v>0</v>
      </c>
    </row>
    <row r="2673" customFormat="false" ht="15" hidden="false" customHeight="false" outlineLevel="0" collapsed="false">
      <c r="A2673" s="0" t="s">
        <v>576</v>
      </c>
      <c r="B2673" s="0" t="s">
        <v>77</v>
      </c>
      <c r="C2673" s="0" t="s">
        <v>78</v>
      </c>
      <c r="D2673" s="0" t="n">
        <v>6</v>
      </c>
      <c r="E2673" s="2" t="n">
        <v>40794.4875</v>
      </c>
      <c r="F2673" s="0" t="n">
        <v>3.41</v>
      </c>
      <c r="G2673" s="0" t="n">
        <v>17147</v>
      </c>
      <c r="H2673" s="3" t="s">
        <v>14</v>
      </c>
      <c r="I2673" s="4" t="n">
        <f aca="false">D2673*F2673</f>
        <v>20.46</v>
      </c>
      <c r="J2673" s="3" t="n">
        <f aca="false">IF(AND(LEFT(A2673,1)&lt;&gt;"C",D2673&gt;0,F2673&gt;0),1,0)</f>
        <v>1</v>
      </c>
      <c r="K2673" s="3" t="n">
        <f aca="false">IF(AND(H2673="United Kingdom",G2673&lt;&gt;"",COUNTIFS($G$2:G2673,G2673,$H$2:H2673,"United Kingdom")=1),1,0)</f>
        <v>0</v>
      </c>
    </row>
    <row r="2674" customFormat="false" ht="15" hidden="false" customHeight="false" outlineLevel="0" collapsed="false">
      <c r="A2674" s="0" t="s">
        <v>576</v>
      </c>
      <c r="B2674" s="0" t="s">
        <v>25</v>
      </c>
      <c r="C2674" s="0" t="s">
        <v>26</v>
      </c>
      <c r="D2674" s="0" t="n">
        <v>1</v>
      </c>
      <c r="E2674" s="2" t="n">
        <v>40794.4875</v>
      </c>
      <c r="F2674" s="0" t="n">
        <v>2.21</v>
      </c>
      <c r="G2674" s="0" t="n">
        <v>17147</v>
      </c>
      <c r="H2674" s="3" t="s">
        <v>14</v>
      </c>
      <c r="I2674" s="4" t="n">
        <f aca="false">D2674*F2674</f>
        <v>2.21</v>
      </c>
      <c r="J2674" s="3" t="n">
        <f aca="false">IF(AND(LEFT(A2674,1)&lt;&gt;"C",D2674&gt;0,F2674&gt;0),1,0)</f>
        <v>1</v>
      </c>
      <c r="K2674" s="3" t="n">
        <f aca="false">IF(AND(H2674="United Kingdom",G2674&lt;&gt;"",COUNTIFS($G$2:G2674,G2674,$H$2:H2674,"United Kingdom")=1),1,0)</f>
        <v>0</v>
      </c>
    </row>
    <row r="2675" customFormat="false" ht="15" hidden="false" customHeight="false" outlineLevel="0" collapsed="false">
      <c r="A2675" s="0" t="s">
        <v>576</v>
      </c>
      <c r="B2675" s="0" t="s">
        <v>32</v>
      </c>
      <c r="C2675" s="0" t="s">
        <v>33</v>
      </c>
      <c r="D2675" s="0" t="n">
        <v>1</v>
      </c>
      <c r="E2675" s="2" t="n">
        <v>40794.4875</v>
      </c>
      <c r="F2675" s="0" t="n">
        <v>1.19</v>
      </c>
      <c r="G2675" s="0" t="n">
        <v>17147</v>
      </c>
      <c r="H2675" s="3" t="s">
        <v>14</v>
      </c>
      <c r="I2675" s="4" t="n">
        <f aca="false">D2675*F2675</f>
        <v>1.19</v>
      </c>
      <c r="J2675" s="3" t="n">
        <f aca="false">IF(AND(LEFT(A2675,1)&lt;&gt;"C",D2675&gt;0,F2675&gt;0),1,0)</f>
        <v>1</v>
      </c>
      <c r="K2675" s="3" t="n">
        <f aca="false">IF(AND(H2675="United Kingdom",G2675&lt;&gt;"",COUNTIFS($G$2:G2675,G2675,$H$2:H2675,"United Kingdom")=1),1,0)</f>
        <v>0</v>
      </c>
    </row>
    <row r="2676" customFormat="false" ht="15" hidden="false" customHeight="false" outlineLevel="0" collapsed="false">
      <c r="A2676" s="0" t="s">
        <v>577</v>
      </c>
      <c r="B2676" s="0" t="s">
        <v>63</v>
      </c>
      <c r="C2676" s="0" t="s">
        <v>64</v>
      </c>
      <c r="D2676" s="0" t="n">
        <v>2</v>
      </c>
      <c r="E2676" s="2" t="n">
        <v>40794.5166666667</v>
      </c>
      <c r="F2676" s="0" t="n">
        <v>2.43</v>
      </c>
      <c r="G2676" s="0" t="n">
        <v>13163</v>
      </c>
      <c r="H2676" s="3" t="s">
        <v>14</v>
      </c>
      <c r="I2676" s="4" t="n">
        <f aca="false">D2676*F2676</f>
        <v>4.86</v>
      </c>
      <c r="J2676" s="3" t="n">
        <f aca="false">IF(AND(LEFT(A2676,1)&lt;&gt;"C",D2676&gt;0,F2676&gt;0),1,0)</f>
        <v>1</v>
      </c>
      <c r="K2676" s="3" t="n">
        <f aca="false">IF(AND(H2676="United Kingdom",G2676&lt;&gt;"",COUNTIFS($G$2:G2676,G2676,$H$2:H2676,"United Kingdom")=1),1,0)</f>
        <v>1</v>
      </c>
    </row>
    <row r="2677" customFormat="false" ht="15" hidden="false" customHeight="false" outlineLevel="0" collapsed="false">
      <c r="A2677" s="0" t="s">
        <v>577</v>
      </c>
      <c r="B2677" s="0" t="s">
        <v>29</v>
      </c>
      <c r="C2677" s="0" t="s">
        <v>30</v>
      </c>
      <c r="D2677" s="0" t="n">
        <v>12</v>
      </c>
      <c r="E2677" s="2" t="n">
        <v>40794.5166666667</v>
      </c>
      <c r="F2677" s="0" t="n">
        <v>5.79</v>
      </c>
      <c r="G2677" s="0" t="n">
        <v>13163</v>
      </c>
      <c r="H2677" s="3" t="s">
        <v>14</v>
      </c>
      <c r="I2677" s="4" t="n">
        <f aca="false">D2677*F2677</f>
        <v>69.48</v>
      </c>
      <c r="J2677" s="3" t="n">
        <f aca="false">IF(AND(LEFT(A2677,1)&lt;&gt;"C",D2677&gt;0,F2677&gt;0),1,0)</f>
        <v>1</v>
      </c>
      <c r="K2677" s="3" t="n">
        <f aca="false">IF(AND(H2677="United Kingdom",G2677&lt;&gt;"",COUNTIFS($G$2:G2677,G2677,$H$2:H2677,"United Kingdom")=1),1,0)</f>
        <v>0</v>
      </c>
    </row>
    <row r="2678" customFormat="false" ht="15" hidden="false" customHeight="false" outlineLevel="0" collapsed="false">
      <c r="A2678" s="0" t="s">
        <v>577</v>
      </c>
      <c r="B2678" s="0" t="s">
        <v>54</v>
      </c>
      <c r="C2678" s="0" t="s">
        <v>55</v>
      </c>
      <c r="D2678" s="0" t="n">
        <v>8</v>
      </c>
      <c r="E2678" s="2" t="n">
        <v>40794.5166666667</v>
      </c>
      <c r="F2678" s="0" t="n">
        <v>0.99</v>
      </c>
      <c r="G2678" s="0" t="n">
        <v>13163</v>
      </c>
      <c r="H2678" s="3" t="s">
        <v>14</v>
      </c>
      <c r="I2678" s="4" t="n">
        <f aca="false">D2678*F2678</f>
        <v>7.92</v>
      </c>
      <c r="J2678" s="3" t="n">
        <f aca="false">IF(AND(LEFT(A2678,1)&lt;&gt;"C",D2678&gt;0,F2678&gt;0),1,0)</f>
        <v>1</v>
      </c>
      <c r="K2678" s="3" t="n">
        <f aca="false">IF(AND(H2678="United Kingdom",G2678&lt;&gt;"",COUNTIFS($G$2:G2678,G2678,$H$2:H2678,"United Kingdom")=1),1,0)</f>
        <v>0</v>
      </c>
    </row>
    <row r="2679" customFormat="false" ht="15" hidden="false" customHeight="false" outlineLevel="0" collapsed="false">
      <c r="A2679" s="0" t="s">
        <v>577</v>
      </c>
      <c r="B2679" s="0" t="s">
        <v>65</v>
      </c>
      <c r="C2679" s="0" t="s">
        <v>66</v>
      </c>
      <c r="D2679" s="0" t="n">
        <v>8</v>
      </c>
      <c r="E2679" s="2" t="n">
        <v>40794.5166666667</v>
      </c>
      <c r="F2679" s="0" t="n">
        <v>4.75</v>
      </c>
      <c r="G2679" s="0" t="n">
        <v>13163</v>
      </c>
      <c r="H2679" s="3" t="s">
        <v>14</v>
      </c>
      <c r="I2679" s="4" t="n">
        <f aca="false">D2679*F2679</f>
        <v>38</v>
      </c>
      <c r="J2679" s="3" t="n">
        <f aca="false">IF(AND(LEFT(A2679,1)&lt;&gt;"C",D2679&gt;0,F2679&gt;0),1,0)</f>
        <v>1</v>
      </c>
      <c r="K2679" s="3" t="n">
        <f aca="false">IF(AND(H2679="United Kingdom",G2679&lt;&gt;"",COUNTIFS($G$2:G2679,G2679,$H$2:H2679,"United Kingdom")=1),1,0)</f>
        <v>0</v>
      </c>
    </row>
    <row r="2680" customFormat="false" ht="15" hidden="false" customHeight="false" outlineLevel="0" collapsed="false">
      <c r="A2680" s="0" t="s">
        <v>577</v>
      </c>
      <c r="B2680" s="0" t="s">
        <v>113</v>
      </c>
      <c r="C2680" s="0" t="s">
        <v>114</v>
      </c>
      <c r="D2680" s="0" t="n">
        <v>3</v>
      </c>
      <c r="E2680" s="2" t="n">
        <v>40794.5166666667</v>
      </c>
      <c r="F2680" s="0" t="n">
        <v>3.57</v>
      </c>
      <c r="G2680" s="0" t="n">
        <v>13163</v>
      </c>
      <c r="H2680" s="3" t="s">
        <v>14</v>
      </c>
      <c r="I2680" s="4" t="n">
        <f aca="false">D2680*F2680</f>
        <v>10.71</v>
      </c>
      <c r="J2680" s="3" t="n">
        <f aca="false">IF(AND(LEFT(A2680,1)&lt;&gt;"C",D2680&gt;0,F2680&gt;0),1,0)</f>
        <v>1</v>
      </c>
      <c r="K2680" s="3" t="n">
        <f aca="false">IF(AND(H2680="United Kingdom",G2680&lt;&gt;"",COUNTIFS($G$2:G2680,G2680,$H$2:H2680,"United Kingdom")=1),1,0)</f>
        <v>0</v>
      </c>
    </row>
    <row r="2681" customFormat="false" ht="15" hidden="false" customHeight="false" outlineLevel="0" collapsed="false">
      <c r="A2681" s="0" t="s">
        <v>578</v>
      </c>
      <c r="B2681" s="0" t="s">
        <v>41</v>
      </c>
      <c r="C2681" s="0" t="s">
        <v>42</v>
      </c>
      <c r="D2681" s="0" t="n">
        <v>72</v>
      </c>
      <c r="E2681" s="2" t="n">
        <v>40795.4423611111</v>
      </c>
      <c r="F2681" s="0" t="n">
        <v>3.28</v>
      </c>
      <c r="G2681" s="0" t="n">
        <v>14758</v>
      </c>
      <c r="H2681" s="3" t="s">
        <v>14</v>
      </c>
      <c r="I2681" s="4" t="n">
        <f aca="false">D2681*F2681</f>
        <v>236.16</v>
      </c>
      <c r="J2681" s="3" t="n">
        <f aca="false">IF(AND(LEFT(A2681,1)&lt;&gt;"C",D2681&gt;0,F2681&gt;0),1,0)</f>
        <v>1</v>
      </c>
      <c r="K2681" s="3" t="n">
        <f aca="false">IF(AND(H2681="United Kingdom",G2681&lt;&gt;"",COUNTIFS($G$2:G2681,G2681,$H$2:H2681,"United Kingdom")=1),1,0)</f>
        <v>0</v>
      </c>
    </row>
    <row r="2682" customFormat="false" ht="15" hidden="false" customHeight="false" outlineLevel="0" collapsed="false">
      <c r="A2682" s="0" t="s">
        <v>578</v>
      </c>
      <c r="B2682" s="0" t="s">
        <v>54</v>
      </c>
      <c r="C2682" s="0" t="s">
        <v>55</v>
      </c>
      <c r="D2682" s="0" t="n">
        <v>108</v>
      </c>
      <c r="E2682" s="2" t="n">
        <v>40795.4423611111</v>
      </c>
      <c r="F2682" s="0" t="n">
        <v>0.99</v>
      </c>
      <c r="G2682" s="0" t="n">
        <v>14758</v>
      </c>
      <c r="H2682" s="3" t="s">
        <v>14</v>
      </c>
      <c r="I2682" s="4" t="n">
        <f aca="false">D2682*F2682</f>
        <v>106.92</v>
      </c>
      <c r="J2682" s="3" t="n">
        <f aca="false">IF(AND(LEFT(A2682,1)&lt;&gt;"C",D2682&gt;0,F2682&gt;0),1,0)</f>
        <v>1</v>
      </c>
      <c r="K2682" s="3" t="n">
        <f aca="false">IF(AND(H2682="United Kingdom",G2682&lt;&gt;"",COUNTIFS($G$2:G2682,G2682,$H$2:H2682,"United Kingdom")=1),1,0)</f>
        <v>0</v>
      </c>
    </row>
    <row r="2683" customFormat="false" ht="15" hidden="false" customHeight="false" outlineLevel="0" collapsed="false">
      <c r="A2683" s="0" t="s">
        <v>578</v>
      </c>
      <c r="B2683" s="0" t="s">
        <v>45</v>
      </c>
      <c r="C2683" s="0" t="s">
        <v>46</v>
      </c>
      <c r="D2683" s="0" t="n">
        <v>576</v>
      </c>
      <c r="E2683" s="2" t="n">
        <v>40795.4423611111</v>
      </c>
      <c r="F2683" s="0" t="n">
        <v>4.55</v>
      </c>
      <c r="G2683" s="0" t="n">
        <v>14758</v>
      </c>
      <c r="H2683" s="3" t="s">
        <v>14</v>
      </c>
      <c r="I2683" s="4" t="n">
        <f aca="false">D2683*F2683</f>
        <v>2620.8</v>
      </c>
      <c r="J2683" s="3" t="n">
        <f aca="false">IF(AND(LEFT(A2683,1)&lt;&gt;"C",D2683&gt;0,F2683&gt;0),1,0)</f>
        <v>1</v>
      </c>
      <c r="K2683" s="3" t="n">
        <f aca="false">IF(AND(H2683="United Kingdom",G2683&lt;&gt;"",COUNTIFS($G$2:G2683,G2683,$H$2:H2683,"United Kingdom")=1),1,0)</f>
        <v>0</v>
      </c>
    </row>
    <row r="2684" customFormat="false" ht="15" hidden="false" customHeight="false" outlineLevel="0" collapsed="false">
      <c r="A2684" s="0" t="s">
        <v>578</v>
      </c>
      <c r="B2684" s="0" t="s">
        <v>34</v>
      </c>
      <c r="C2684" s="0" t="s">
        <v>35</v>
      </c>
      <c r="D2684" s="0" t="n">
        <v>24</v>
      </c>
      <c r="E2684" s="2" t="n">
        <v>40795.4423611111</v>
      </c>
      <c r="F2684" s="0" t="n">
        <v>2.38</v>
      </c>
      <c r="G2684" s="0" t="n">
        <v>14758</v>
      </c>
      <c r="H2684" s="3" t="s">
        <v>14</v>
      </c>
      <c r="I2684" s="4" t="n">
        <f aca="false">D2684*F2684</f>
        <v>57.12</v>
      </c>
      <c r="J2684" s="3" t="n">
        <f aca="false">IF(AND(LEFT(A2684,1)&lt;&gt;"C",D2684&gt;0,F2684&gt;0),1,0)</f>
        <v>1</v>
      </c>
      <c r="K2684" s="3" t="n">
        <f aca="false">IF(AND(H2684="United Kingdom",G2684&lt;&gt;"",COUNTIFS($G$2:G2684,G2684,$H$2:H2684,"United Kingdom")=1),1,0)</f>
        <v>0</v>
      </c>
    </row>
    <row r="2685" customFormat="false" ht="15" hidden="false" customHeight="false" outlineLevel="0" collapsed="false">
      <c r="A2685" s="0" t="s">
        <v>579</v>
      </c>
      <c r="B2685" s="0" t="s">
        <v>113</v>
      </c>
      <c r="C2685" s="0" t="s">
        <v>114</v>
      </c>
      <c r="D2685" s="0" t="n">
        <v>168</v>
      </c>
      <c r="E2685" s="2" t="n">
        <v>40795.5388888889</v>
      </c>
      <c r="F2685" s="0" t="n">
        <v>3.57</v>
      </c>
      <c r="G2685" s="0" t="n">
        <v>12428</v>
      </c>
      <c r="H2685" s="3" t="s">
        <v>177</v>
      </c>
      <c r="I2685" s="4" t="n">
        <f aca="false">D2685*F2685</f>
        <v>599.76</v>
      </c>
      <c r="J2685" s="3" t="n">
        <f aca="false">IF(AND(LEFT(A2685,1)&lt;&gt;"C",D2685&gt;0,F2685&gt;0),1,0)</f>
        <v>1</v>
      </c>
      <c r="K2685" s="3" t="n">
        <f aca="false">IF(AND(H2685="United Kingdom",G2685&lt;&gt;"",COUNTIFS($G$2:G2685,G2685,$H$2:H2685,"United Kingdom")=1),1,0)</f>
        <v>0</v>
      </c>
    </row>
    <row r="2686" customFormat="false" ht="15" hidden="false" customHeight="false" outlineLevel="0" collapsed="false">
      <c r="A2686" s="0" t="s">
        <v>579</v>
      </c>
      <c r="B2686" s="0" t="s">
        <v>65</v>
      </c>
      <c r="C2686" s="0" t="s">
        <v>66</v>
      </c>
      <c r="D2686" s="0" t="n">
        <v>168</v>
      </c>
      <c r="E2686" s="2" t="n">
        <v>40795.5388888889</v>
      </c>
      <c r="F2686" s="0" t="n">
        <v>4.75</v>
      </c>
      <c r="G2686" s="0" t="n">
        <v>12428</v>
      </c>
      <c r="H2686" s="3" t="s">
        <v>177</v>
      </c>
      <c r="I2686" s="4" t="n">
        <f aca="false">D2686*F2686</f>
        <v>798</v>
      </c>
      <c r="J2686" s="3" t="n">
        <f aca="false">IF(AND(LEFT(A2686,1)&lt;&gt;"C",D2686&gt;0,F2686&gt;0),1,0)</f>
        <v>1</v>
      </c>
      <c r="K2686" s="3" t="n">
        <f aca="false">IF(AND(H2686="United Kingdom",G2686&lt;&gt;"",COUNTIFS($G$2:G2686,G2686,$H$2:H2686,"United Kingdom")=1),1,0)</f>
        <v>0</v>
      </c>
    </row>
    <row r="2687" customFormat="false" ht="15" hidden="false" customHeight="false" outlineLevel="0" collapsed="false">
      <c r="A2687" s="0" t="s">
        <v>580</v>
      </c>
      <c r="B2687" s="0" t="s">
        <v>20</v>
      </c>
      <c r="C2687" s="0" t="s">
        <v>21</v>
      </c>
      <c r="D2687" s="0" t="n">
        <v>2</v>
      </c>
      <c r="E2687" s="2" t="n">
        <v>40795.6458333333</v>
      </c>
      <c r="F2687" s="0" t="n">
        <v>4.24</v>
      </c>
      <c r="G2687" s="0" t="n">
        <v>12810</v>
      </c>
      <c r="H2687" s="3" t="s">
        <v>14</v>
      </c>
      <c r="I2687" s="4" t="n">
        <f aca="false">D2687*F2687</f>
        <v>8.48</v>
      </c>
      <c r="J2687" s="3" t="n">
        <f aca="false">IF(AND(LEFT(A2687,1)&lt;&gt;"C",D2687&gt;0,F2687&gt;0),1,0)</f>
        <v>1</v>
      </c>
      <c r="K2687" s="3" t="n">
        <f aca="false">IF(AND(H2687="United Kingdom",G2687&lt;&gt;"",COUNTIFS($G$2:G2687,G2687,$H$2:H2687,"United Kingdom")=1),1,0)</f>
        <v>0</v>
      </c>
    </row>
    <row r="2688" customFormat="false" ht="15" hidden="false" customHeight="false" outlineLevel="0" collapsed="false">
      <c r="A2688" s="0" t="s">
        <v>580</v>
      </c>
      <c r="B2688" s="0" t="s">
        <v>15</v>
      </c>
      <c r="C2688" s="0" t="s">
        <v>16</v>
      </c>
      <c r="D2688" s="0" t="n">
        <v>8</v>
      </c>
      <c r="E2688" s="2" t="n">
        <v>40795.6458333333</v>
      </c>
      <c r="F2688" s="0" t="n">
        <v>3.18</v>
      </c>
      <c r="G2688" s="0" t="n">
        <v>12810</v>
      </c>
      <c r="H2688" s="3" t="s">
        <v>14</v>
      </c>
      <c r="I2688" s="4" t="n">
        <f aca="false">D2688*F2688</f>
        <v>25.44</v>
      </c>
      <c r="J2688" s="3" t="n">
        <f aca="false">IF(AND(LEFT(A2688,1)&lt;&gt;"C",D2688&gt;0,F2688&gt;0),1,0)</f>
        <v>1</v>
      </c>
      <c r="K2688" s="3" t="n">
        <f aca="false">IF(AND(H2688="United Kingdom",G2688&lt;&gt;"",COUNTIFS($G$2:G2688,G2688,$H$2:H2688,"United Kingdom")=1),1,0)</f>
        <v>0</v>
      </c>
    </row>
    <row r="2689" customFormat="false" ht="15" hidden="false" customHeight="false" outlineLevel="0" collapsed="false">
      <c r="A2689" s="0" t="s">
        <v>580</v>
      </c>
      <c r="B2689" s="0" t="s">
        <v>45</v>
      </c>
      <c r="C2689" s="0" t="s">
        <v>46</v>
      </c>
      <c r="D2689" s="0" t="n">
        <v>12</v>
      </c>
      <c r="E2689" s="2" t="n">
        <v>40795.6458333333</v>
      </c>
      <c r="F2689" s="0" t="n">
        <v>4.55</v>
      </c>
      <c r="G2689" s="0" t="n">
        <v>12810</v>
      </c>
      <c r="H2689" s="3" t="s">
        <v>14</v>
      </c>
      <c r="I2689" s="4" t="n">
        <f aca="false">D2689*F2689</f>
        <v>54.6</v>
      </c>
      <c r="J2689" s="3" t="n">
        <f aca="false">IF(AND(LEFT(A2689,1)&lt;&gt;"C",D2689&gt;0,F2689&gt;0),1,0)</f>
        <v>1</v>
      </c>
      <c r="K2689" s="3" t="n">
        <f aca="false">IF(AND(H2689="United Kingdom",G2689&lt;&gt;"",COUNTIFS($G$2:G2689,G2689,$H$2:H2689,"United Kingdom")=1),1,0)</f>
        <v>0</v>
      </c>
    </row>
    <row r="2690" customFormat="false" ht="15" hidden="false" customHeight="false" outlineLevel="0" collapsed="false">
      <c r="A2690" s="0" t="s">
        <v>580</v>
      </c>
      <c r="B2690" s="0" t="s">
        <v>25</v>
      </c>
      <c r="C2690" s="0" t="s">
        <v>26</v>
      </c>
      <c r="D2690" s="0" t="n">
        <v>6</v>
      </c>
      <c r="E2690" s="2" t="n">
        <v>40795.6458333333</v>
      </c>
      <c r="F2690" s="0" t="n">
        <v>2.21</v>
      </c>
      <c r="G2690" s="0" t="n">
        <v>12810</v>
      </c>
      <c r="H2690" s="3" t="s">
        <v>14</v>
      </c>
      <c r="I2690" s="4" t="n">
        <f aca="false">D2690*F2690</f>
        <v>13.26</v>
      </c>
      <c r="J2690" s="3" t="n">
        <f aca="false">IF(AND(LEFT(A2690,1)&lt;&gt;"C",D2690&gt;0,F2690&gt;0),1,0)</f>
        <v>1</v>
      </c>
      <c r="K2690" s="3" t="n">
        <f aca="false">IF(AND(H2690="United Kingdom",G2690&lt;&gt;"",COUNTIFS($G$2:G2690,G2690,$H$2:H2690,"United Kingdom")=1),1,0)</f>
        <v>0</v>
      </c>
    </row>
    <row r="2691" customFormat="false" ht="15" hidden="false" customHeight="false" outlineLevel="0" collapsed="false">
      <c r="A2691" s="0" t="s">
        <v>580</v>
      </c>
      <c r="B2691" s="0" t="s">
        <v>113</v>
      </c>
      <c r="C2691" s="0" t="s">
        <v>114</v>
      </c>
      <c r="D2691" s="0" t="n">
        <v>24</v>
      </c>
      <c r="E2691" s="2" t="n">
        <v>40795.6458333333</v>
      </c>
      <c r="F2691" s="0" t="n">
        <v>3.57</v>
      </c>
      <c r="G2691" s="0" t="n">
        <v>12810</v>
      </c>
      <c r="H2691" s="3" t="s">
        <v>14</v>
      </c>
      <c r="I2691" s="4" t="n">
        <f aca="false">D2691*F2691</f>
        <v>85.68</v>
      </c>
      <c r="J2691" s="3" t="n">
        <f aca="false">IF(AND(LEFT(A2691,1)&lt;&gt;"C",D2691&gt;0,F2691&gt;0),1,0)</f>
        <v>1</v>
      </c>
      <c r="K2691" s="3" t="n">
        <f aca="false">IF(AND(H2691="United Kingdom",G2691&lt;&gt;"",COUNTIFS($G$2:G2691,G2691,$H$2:H2691,"United Kingdom")=1),1,0)</f>
        <v>0</v>
      </c>
    </row>
    <row r="2692" customFormat="false" ht="15" hidden="false" customHeight="false" outlineLevel="0" collapsed="false">
      <c r="A2692" s="0" t="s">
        <v>580</v>
      </c>
      <c r="B2692" s="0" t="s">
        <v>27</v>
      </c>
      <c r="C2692" s="0" t="s">
        <v>28</v>
      </c>
      <c r="D2692" s="0" t="n">
        <v>1</v>
      </c>
      <c r="E2692" s="2" t="n">
        <v>40795.6458333333</v>
      </c>
      <c r="F2692" s="0" t="n">
        <v>4.55</v>
      </c>
      <c r="G2692" s="0" t="n">
        <v>12810</v>
      </c>
      <c r="H2692" s="3" t="s">
        <v>14</v>
      </c>
      <c r="I2692" s="4" t="n">
        <f aca="false">D2692*F2692</f>
        <v>4.55</v>
      </c>
      <c r="J2692" s="3" t="n">
        <f aca="false">IF(AND(LEFT(A2692,1)&lt;&gt;"C",D2692&gt;0,F2692&gt;0),1,0)</f>
        <v>1</v>
      </c>
      <c r="K2692" s="3" t="n">
        <f aca="false">IF(AND(H2692="United Kingdom",G2692&lt;&gt;"",COUNTIFS($G$2:G2692,G2692,$H$2:H2692,"United Kingdom")=1),1,0)</f>
        <v>0</v>
      </c>
    </row>
    <row r="2693" customFormat="false" ht="15" hidden="false" customHeight="false" outlineLevel="0" collapsed="false">
      <c r="A2693" s="0" t="s">
        <v>581</v>
      </c>
      <c r="B2693" s="0" t="s">
        <v>32</v>
      </c>
      <c r="C2693" s="0" t="s">
        <v>33</v>
      </c>
      <c r="D2693" s="0" t="n">
        <v>4</v>
      </c>
      <c r="E2693" s="2" t="n">
        <v>40796.4375</v>
      </c>
      <c r="F2693" s="0" t="n">
        <v>1.19</v>
      </c>
      <c r="H2693" s="3" t="s">
        <v>14</v>
      </c>
      <c r="I2693" s="4" t="n">
        <f aca="false">D2693*F2693</f>
        <v>4.76</v>
      </c>
      <c r="J2693" s="3" t="n">
        <f aca="false">IF(AND(LEFT(A2693,1)&lt;&gt;"C",D2693&gt;0,F2693&gt;0),1,0)</f>
        <v>1</v>
      </c>
      <c r="K2693" s="3" t="n">
        <f aca="false">IF(AND(H2693="United Kingdom",G2693&lt;&gt;"",COUNTIFS($G$2:G2693,G2693,$H$2:H2693,"United Kingdom")=1),1,0)</f>
        <v>0</v>
      </c>
    </row>
    <row r="2694" customFormat="false" ht="15" hidden="false" customHeight="false" outlineLevel="0" collapsed="false">
      <c r="A2694" s="0" t="s">
        <v>581</v>
      </c>
      <c r="B2694" s="0" t="s">
        <v>34</v>
      </c>
      <c r="C2694" s="0" t="s">
        <v>35</v>
      </c>
      <c r="D2694" s="0" t="n">
        <v>8</v>
      </c>
      <c r="E2694" s="2" t="n">
        <v>40796.4375</v>
      </c>
      <c r="F2694" s="0" t="n">
        <v>2.38</v>
      </c>
      <c r="H2694" s="3" t="s">
        <v>14</v>
      </c>
      <c r="I2694" s="4" t="n">
        <f aca="false">D2694*F2694</f>
        <v>19.04</v>
      </c>
      <c r="J2694" s="3" t="n">
        <f aca="false">IF(AND(LEFT(A2694,1)&lt;&gt;"C",D2694&gt;0,F2694&gt;0),1,0)</f>
        <v>1</v>
      </c>
      <c r="K2694" s="3" t="n">
        <f aca="false">IF(AND(H2694="United Kingdom",G2694&lt;&gt;"",COUNTIFS($G$2:G2694,G2694,$H$2:H2694,"United Kingdom")=1),1,0)</f>
        <v>0</v>
      </c>
    </row>
    <row r="2695" customFormat="false" ht="15" hidden="false" customHeight="false" outlineLevel="0" collapsed="false">
      <c r="A2695" s="0" t="s">
        <v>581</v>
      </c>
      <c r="B2695" s="0" t="s">
        <v>41</v>
      </c>
      <c r="C2695" s="0" t="s">
        <v>42</v>
      </c>
      <c r="D2695" s="0" t="n">
        <v>2</v>
      </c>
      <c r="E2695" s="2" t="n">
        <v>40796.4375</v>
      </c>
      <c r="F2695" s="0" t="n">
        <v>3.28</v>
      </c>
      <c r="H2695" s="3" t="s">
        <v>14</v>
      </c>
      <c r="I2695" s="4" t="n">
        <f aca="false">D2695*F2695</f>
        <v>6.56</v>
      </c>
      <c r="J2695" s="3" t="n">
        <f aca="false">IF(AND(LEFT(A2695,1)&lt;&gt;"C",D2695&gt;0,F2695&gt;0),1,0)</f>
        <v>1</v>
      </c>
      <c r="K2695" s="3" t="n">
        <f aca="false">IF(AND(H2695="United Kingdom",G2695&lt;&gt;"",COUNTIFS($G$2:G2695,G2695,$H$2:H2695,"United Kingdom")=1),1,0)</f>
        <v>0</v>
      </c>
    </row>
    <row r="2696" customFormat="false" ht="15" hidden="false" customHeight="false" outlineLevel="0" collapsed="false">
      <c r="A2696" s="0" t="s">
        <v>581</v>
      </c>
      <c r="B2696" s="0" t="s">
        <v>12</v>
      </c>
      <c r="C2696" s="0" t="s">
        <v>13</v>
      </c>
      <c r="D2696" s="0" t="n">
        <v>1</v>
      </c>
      <c r="E2696" s="2" t="n">
        <v>40796.4375</v>
      </c>
      <c r="F2696" s="0" t="n">
        <v>3.33</v>
      </c>
      <c r="H2696" s="3" t="s">
        <v>14</v>
      </c>
      <c r="I2696" s="4" t="n">
        <f aca="false">D2696*F2696</f>
        <v>3.33</v>
      </c>
      <c r="J2696" s="3" t="n">
        <f aca="false">IF(AND(LEFT(A2696,1)&lt;&gt;"C",D2696&gt;0,F2696&gt;0),1,0)</f>
        <v>1</v>
      </c>
      <c r="K2696" s="3" t="n">
        <f aca="false">IF(AND(H2696="United Kingdom",G2696&lt;&gt;"",COUNTIFS($G$2:G2696,G2696,$H$2:H2696,"United Kingdom")=1),1,0)</f>
        <v>0</v>
      </c>
    </row>
    <row r="2697" customFormat="false" ht="15" hidden="false" customHeight="false" outlineLevel="0" collapsed="false">
      <c r="A2697" s="0" t="s">
        <v>581</v>
      </c>
      <c r="B2697" s="0" t="s">
        <v>54</v>
      </c>
      <c r="C2697" s="0" t="s">
        <v>55</v>
      </c>
      <c r="D2697" s="0" t="n">
        <v>2</v>
      </c>
      <c r="E2697" s="2" t="n">
        <v>40796.4375</v>
      </c>
      <c r="F2697" s="0" t="n">
        <v>0.99</v>
      </c>
      <c r="H2697" s="3" t="s">
        <v>14</v>
      </c>
      <c r="I2697" s="4" t="n">
        <f aca="false">D2697*F2697</f>
        <v>1.98</v>
      </c>
      <c r="J2697" s="3" t="n">
        <f aca="false">IF(AND(LEFT(A2697,1)&lt;&gt;"C",D2697&gt;0,F2697&gt;0),1,0)</f>
        <v>1</v>
      </c>
      <c r="K2697" s="3" t="n">
        <f aca="false">IF(AND(H2697="United Kingdom",G2697&lt;&gt;"",COUNTIFS($G$2:G2697,G2697,$H$2:H2697,"United Kingdom")=1),1,0)</f>
        <v>0</v>
      </c>
    </row>
    <row r="2698" customFormat="false" ht="15" hidden="false" customHeight="false" outlineLevel="0" collapsed="false">
      <c r="A2698" s="0" t="s">
        <v>581</v>
      </c>
      <c r="B2698" s="0" t="s">
        <v>22</v>
      </c>
      <c r="C2698" s="0" t="s">
        <v>23</v>
      </c>
      <c r="D2698" s="0" t="n">
        <v>2</v>
      </c>
      <c r="E2698" s="2" t="n">
        <v>40796.4375</v>
      </c>
      <c r="F2698" s="0" t="n">
        <v>3.18</v>
      </c>
      <c r="H2698" s="3" t="s">
        <v>14</v>
      </c>
      <c r="I2698" s="4" t="n">
        <f aca="false">D2698*F2698</f>
        <v>6.36</v>
      </c>
      <c r="J2698" s="3" t="n">
        <f aca="false">IF(AND(LEFT(A2698,1)&lt;&gt;"C",D2698&gt;0,F2698&gt;0),1,0)</f>
        <v>1</v>
      </c>
      <c r="K2698" s="3" t="n">
        <f aca="false">IF(AND(H2698="United Kingdom",G2698&lt;&gt;"",COUNTIFS($G$2:G2698,G2698,$H$2:H2698,"United Kingdom")=1),1,0)</f>
        <v>0</v>
      </c>
    </row>
    <row r="2699" customFormat="false" ht="15" hidden="false" customHeight="false" outlineLevel="0" collapsed="false">
      <c r="A2699" s="0" t="s">
        <v>581</v>
      </c>
      <c r="B2699" s="0" t="s">
        <v>25</v>
      </c>
      <c r="C2699" s="0" t="s">
        <v>26</v>
      </c>
      <c r="D2699" s="0" t="n">
        <v>6</v>
      </c>
      <c r="E2699" s="2" t="n">
        <v>40796.4375</v>
      </c>
      <c r="F2699" s="0" t="n">
        <v>2.21</v>
      </c>
      <c r="H2699" s="3" t="s">
        <v>14</v>
      </c>
      <c r="I2699" s="4" t="n">
        <f aca="false">D2699*F2699</f>
        <v>13.26</v>
      </c>
      <c r="J2699" s="3" t="n">
        <f aca="false">IF(AND(LEFT(A2699,1)&lt;&gt;"C",D2699&gt;0,F2699&gt;0),1,0)</f>
        <v>1</v>
      </c>
      <c r="K2699" s="3" t="n">
        <f aca="false">IF(AND(H2699="United Kingdom",G2699&lt;&gt;"",COUNTIFS($G$2:G2699,G2699,$H$2:H2699,"United Kingdom")=1),1,0)</f>
        <v>0</v>
      </c>
    </row>
    <row r="2700" customFormat="false" ht="15" hidden="false" customHeight="false" outlineLevel="0" collapsed="false">
      <c r="A2700" s="0" t="s">
        <v>581</v>
      </c>
      <c r="B2700" s="0" t="s">
        <v>65</v>
      </c>
      <c r="C2700" s="0" t="s">
        <v>66</v>
      </c>
      <c r="D2700" s="0" t="n">
        <v>12</v>
      </c>
      <c r="E2700" s="2" t="n">
        <v>40796.4375</v>
      </c>
      <c r="F2700" s="0" t="n">
        <v>4.75</v>
      </c>
      <c r="H2700" s="3" t="s">
        <v>14</v>
      </c>
      <c r="I2700" s="4" t="n">
        <f aca="false">D2700*F2700</f>
        <v>57</v>
      </c>
      <c r="J2700" s="3" t="n">
        <f aca="false">IF(AND(LEFT(A2700,1)&lt;&gt;"C",D2700&gt;0,F2700&gt;0),1,0)</f>
        <v>1</v>
      </c>
      <c r="K2700" s="3" t="n">
        <f aca="false">IF(AND(H2700="United Kingdom",G2700&lt;&gt;"",COUNTIFS($G$2:G2700,G2700,$H$2:H2700,"United Kingdom")=1),1,0)</f>
        <v>0</v>
      </c>
    </row>
    <row r="2701" customFormat="false" ht="15" hidden="false" customHeight="false" outlineLevel="0" collapsed="false">
      <c r="A2701" s="0" t="s">
        <v>581</v>
      </c>
      <c r="B2701" s="0" t="s">
        <v>15</v>
      </c>
      <c r="C2701" s="0" t="s">
        <v>16</v>
      </c>
      <c r="D2701" s="0" t="n">
        <v>2</v>
      </c>
      <c r="E2701" s="2" t="n">
        <v>40796.4375</v>
      </c>
      <c r="F2701" s="0" t="n">
        <v>3.18</v>
      </c>
      <c r="H2701" s="3" t="s">
        <v>14</v>
      </c>
      <c r="I2701" s="4" t="n">
        <f aca="false">D2701*F2701</f>
        <v>6.36</v>
      </c>
      <c r="J2701" s="3" t="n">
        <f aca="false">IF(AND(LEFT(A2701,1)&lt;&gt;"C",D2701&gt;0,F2701&gt;0),1,0)</f>
        <v>1</v>
      </c>
      <c r="K2701" s="3" t="n">
        <f aca="false">IF(AND(H2701="United Kingdom",G2701&lt;&gt;"",COUNTIFS($G$2:G2701,G2701,$H$2:H2701,"United Kingdom")=1),1,0)</f>
        <v>0</v>
      </c>
    </row>
    <row r="2702" customFormat="false" ht="15" hidden="false" customHeight="false" outlineLevel="0" collapsed="false">
      <c r="A2702" s="0" t="s">
        <v>581</v>
      </c>
      <c r="B2702" s="0" t="s">
        <v>68</v>
      </c>
      <c r="C2702" s="0" t="s">
        <v>69</v>
      </c>
      <c r="D2702" s="0" t="n">
        <v>1</v>
      </c>
      <c r="E2702" s="2" t="n">
        <v>40796.4375</v>
      </c>
      <c r="F2702" s="0" t="n">
        <v>1.26</v>
      </c>
      <c r="H2702" s="3" t="s">
        <v>14</v>
      </c>
      <c r="I2702" s="4" t="n">
        <f aca="false">D2702*F2702</f>
        <v>1.26</v>
      </c>
      <c r="J2702" s="3" t="n">
        <f aca="false">IF(AND(LEFT(A2702,1)&lt;&gt;"C",D2702&gt;0,F2702&gt;0),1,0)</f>
        <v>1</v>
      </c>
      <c r="K2702" s="3" t="n">
        <f aca="false">IF(AND(H2702="United Kingdom",G2702&lt;&gt;"",COUNTIFS($G$2:G2702,G2702,$H$2:H2702,"United Kingdom")=1),1,0)</f>
        <v>0</v>
      </c>
    </row>
    <row r="2703" customFormat="false" ht="15" hidden="false" customHeight="false" outlineLevel="0" collapsed="false">
      <c r="A2703" s="0" t="s">
        <v>582</v>
      </c>
      <c r="B2703" s="0" t="s">
        <v>34</v>
      </c>
      <c r="C2703" s="0" t="s">
        <v>35</v>
      </c>
      <c r="D2703" s="0" t="n">
        <v>6</v>
      </c>
      <c r="E2703" s="2" t="n">
        <v>40796.6576388889</v>
      </c>
      <c r="F2703" s="0" t="n">
        <v>2.38</v>
      </c>
      <c r="G2703" s="0" t="n">
        <v>13606</v>
      </c>
      <c r="H2703" s="3" t="s">
        <v>14</v>
      </c>
      <c r="I2703" s="4" t="n">
        <f aca="false">D2703*F2703</f>
        <v>14.28</v>
      </c>
      <c r="J2703" s="3" t="n">
        <f aca="false">IF(AND(LEFT(A2703,1)&lt;&gt;"C",D2703&gt;0,F2703&gt;0),1,0)</f>
        <v>1</v>
      </c>
      <c r="K2703" s="3" t="n">
        <f aca="false">IF(AND(H2703="United Kingdom",G2703&lt;&gt;"",COUNTIFS($G$2:G2703,G2703,$H$2:H2703,"United Kingdom")=1),1,0)</f>
        <v>0</v>
      </c>
    </row>
    <row r="2704" customFormat="false" ht="15" hidden="false" customHeight="false" outlineLevel="0" collapsed="false">
      <c r="A2704" s="0" t="s">
        <v>582</v>
      </c>
      <c r="B2704" s="0" t="s">
        <v>20</v>
      </c>
      <c r="C2704" s="0" t="s">
        <v>21</v>
      </c>
      <c r="D2704" s="0" t="n">
        <v>4</v>
      </c>
      <c r="E2704" s="2" t="n">
        <v>40796.6576388889</v>
      </c>
      <c r="F2704" s="0" t="n">
        <v>4.24</v>
      </c>
      <c r="G2704" s="0" t="n">
        <v>13606</v>
      </c>
      <c r="H2704" s="3" t="s">
        <v>14</v>
      </c>
      <c r="I2704" s="4" t="n">
        <f aca="false">D2704*F2704</f>
        <v>16.96</v>
      </c>
      <c r="J2704" s="3" t="n">
        <f aca="false">IF(AND(LEFT(A2704,1)&lt;&gt;"C",D2704&gt;0,F2704&gt;0),1,0)</f>
        <v>1</v>
      </c>
      <c r="K2704" s="3" t="n">
        <f aca="false">IF(AND(H2704="United Kingdom",G2704&lt;&gt;"",COUNTIFS($G$2:G2704,G2704,$H$2:H2704,"United Kingdom")=1),1,0)</f>
        <v>0</v>
      </c>
    </row>
    <row r="2705" customFormat="false" ht="15" hidden="false" customHeight="false" outlineLevel="0" collapsed="false">
      <c r="A2705" s="0" t="s">
        <v>582</v>
      </c>
      <c r="B2705" s="0" t="s">
        <v>45</v>
      </c>
      <c r="C2705" s="0" t="s">
        <v>46</v>
      </c>
      <c r="D2705" s="0" t="n">
        <v>6</v>
      </c>
      <c r="E2705" s="2" t="n">
        <v>40796.6576388889</v>
      </c>
      <c r="F2705" s="0" t="n">
        <v>4.55</v>
      </c>
      <c r="G2705" s="0" t="n">
        <v>13606</v>
      </c>
      <c r="H2705" s="3" t="s">
        <v>14</v>
      </c>
      <c r="I2705" s="4" t="n">
        <f aca="false">D2705*F2705</f>
        <v>27.3</v>
      </c>
      <c r="J2705" s="3" t="n">
        <f aca="false">IF(AND(LEFT(A2705,1)&lt;&gt;"C",D2705&gt;0,F2705&gt;0),1,0)</f>
        <v>1</v>
      </c>
      <c r="K2705" s="3" t="n">
        <f aca="false">IF(AND(H2705="United Kingdom",G2705&lt;&gt;"",COUNTIFS($G$2:G2705,G2705,$H$2:H2705,"United Kingdom")=1),1,0)</f>
        <v>0</v>
      </c>
    </row>
    <row r="2706" customFormat="false" ht="15" hidden="false" customHeight="false" outlineLevel="0" collapsed="false">
      <c r="A2706" s="0" t="s">
        <v>582</v>
      </c>
      <c r="B2706" s="0" t="s">
        <v>17</v>
      </c>
      <c r="C2706" s="0" t="s">
        <v>18</v>
      </c>
      <c r="D2706" s="0" t="n">
        <v>2</v>
      </c>
      <c r="E2706" s="2" t="n">
        <v>40796.6576388889</v>
      </c>
      <c r="F2706" s="0" t="n">
        <v>1.92</v>
      </c>
      <c r="G2706" s="0" t="n">
        <v>13606</v>
      </c>
      <c r="H2706" s="3" t="s">
        <v>14</v>
      </c>
      <c r="I2706" s="4" t="n">
        <f aca="false">D2706*F2706</f>
        <v>3.84</v>
      </c>
      <c r="J2706" s="3" t="n">
        <f aca="false">IF(AND(LEFT(A2706,1)&lt;&gt;"C",D2706&gt;0,F2706&gt;0),1,0)</f>
        <v>1</v>
      </c>
      <c r="K2706" s="3" t="n">
        <f aca="false">IF(AND(H2706="United Kingdom",G2706&lt;&gt;"",COUNTIFS($G$2:G2706,G2706,$H$2:H2706,"United Kingdom")=1),1,0)</f>
        <v>0</v>
      </c>
    </row>
    <row r="2707" customFormat="false" ht="15" hidden="false" customHeight="false" outlineLevel="0" collapsed="false">
      <c r="A2707" s="0" t="s">
        <v>583</v>
      </c>
      <c r="B2707" s="0" t="s">
        <v>41</v>
      </c>
      <c r="C2707" s="0" t="s">
        <v>42</v>
      </c>
      <c r="D2707" s="0" t="n">
        <v>1</v>
      </c>
      <c r="E2707" s="2" t="n">
        <v>40796.7090277778</v>
      </c>
      <c r="F2707" s="0" t="n">
        <v>3.28</v>
      </c>
      <c r="H2707" s="3" t="s">
        <v>14</v>
      </c>
      <c r="I2707" s="4" t="n">
        <f aca="false">D2707*F2707</f>
        <v>3.28</v>
      </c>
      <c r="J2707" s="3" t="n">
        <f aca="false">IF(AND(LEFT(A2707,1)&lt;&gt;"C",D2707&gt;0,F2707&gt;0),1,0)</f>
        <v>1</v>
      </c>
      <c r="K2707" s="3" t="n">
        <f aca="false">IF(AND(H2707="United Kingdom",G2707&lt;&gt;"",COUNTIFS($G$2:G2707,G2707,$H$2:H2707,"United Kingdom")=1),1,0)</f>
        <v>0</v>
      </c>
    </row>
    <row r="2708" customFormat="false" ht="15" hidden="false" customHeight="false" outlineLevel="0" collapsed="false">
      <c r="A2708" s="0" t="s">
        <v>583</v>
      </c>
      <c r="B2708" s="0" t="s">
        <v>17</v>
      </c>
      <c r="C2708" s="0" t="s">
        <v>18</v>
      </c>
      <c r="D2708" s="0" t="n">
        <v>2</v>
      </c>
      <c r="E2708" s="2" t="n">
        <v>40796.7090277778</v>
      </c>
      <c r="F2708" s="0" t="n">
        <v>1.92</v>
      </c>
      <c r="H2708" s="3" t="s">
        <v>14</v>
      </c>
      <c r="I2708" s="4" t="n">
        <f aca="false">D2708*F2708</f>
        <v>3.84</v>
      </c>
      <c r="J2708" s="3" t="n">
        <f aca="false">IF(AND(LEFT(A2708,1)&lt;&gt;"C",D2708&gt;0,F2708&gt;0),1,0)</f>
        <v>1</v>
      </c>
      <c r="K2708" s="3" t="n">
        <f aca="false">IF(AND(H2708="United Kingdom",G2708&lt;&gt;"",COUNTIFS($G$2:G2708,G2708,$H$2:H2708,"United Kingdom")=1),1,0)</f>
        <v>0</v>
      </c>
    </row>
    <row r="2709" customFormat="false" ht="15" hidden="false" customHeight="false" outlineLevel="0" collapsed="false">
      <c r="A2709" s="0" t="s">
        <v>583</v>
      </c>
      <c r="B2709" s="0" t="s">
        <v>25</v>
      </c>
      <c r="C2709" s="0" t="s">
        <v>26</v>
      </c>
      <c r="D2709" s="0" t="n">
        <v>24</v>
      </c>
      <c r="E2709" s="2" t="n">
        <v>40796.7090277778</v>
      </c>
      <c r="F2709" s="0" t="n">
        <v>2.21</v>
      </c>
      <c r="H2709" s="3" t="s">
        <v>14</v>
      </c>
      <c r="I2709" s="4" t="n">
        <f aca="false">D2709*F2709</f>
        <v>53.04</v>
      </c>
      <c r="J2709" s="3" t="n">
        <f aca="false">IF(AND(LEFT(A2709,1)&lt;&gt;"C",D2709&gt;0,F2709&gt;0),1,0)</f>
        <v>1</v>
      </c>
      <c r="K2709" s="3" t="n">
        <f aca="false">IF(AND(H2709="United Kingdom",G2709&lt;&gt;"",COUNTIFS($G$2:G2709,G2709,$H$2:H2709,"United Kingdom")=1),1,0)</f>
        <v>0</v>
      </c>
    </row>
    <row r="2710" customFormat="false" ht="15" hidden="false" customHeight="false" outlineLevel="0" collapsed="false">
      <c r="A2710" s="0" t="s">
        <v>583</v>
      </c>
      <c r="B2710" s="0" t="s">
        <v>34</v>
      </c>
      <c r="C2710" s="0" t="s">
        <v>35</v>
      </c>
      <c r="D2710" s="0" t="n">
        <v>4</v>
      </c>
      <c r="E2710" s="2" t="n">
        <v>40796.7090277778</v>
      </c>
      <c r="F2710" s="0" t="n">
        <v>2.38</v>
      </c>
      <c r="H2710" s="3" t="s">
        <v>14</v>
      </c>
      <c r="I2710" s="4" t="n">
        <f aca="false">D2710*F2710</f>
        <v>9.52</v>
      </c>
      <c r="J2710" s="3" t="n">
        <f aca="false">IF(AND(LEFT(A2710,1)&lt;&gt;"C",D2710&gt;0,F2710&gt;0),1,0)</f>
        <v>1</v>
      </c>
      <c r="K2710" s="3" t="n">
        <f aca="false">IF(AND(H2710="United Kingdom",G2710&lt;&gt;"",COUNTIFS($G$2:G2710,G2710,$H$2:H2710,"United Kingdom")=1),1,0)</f>
        <v>0</v>
      </c>
    </row>
    <row r="2711" customFormat="false" ht="15" hidden="false" customHeight="false" outlineLevel="0" collapsed="false">
      <c r="A2711" s="0" t="s">
        <v>583</v>
      </c>
      <c r="B2711" s="0" t="s">
        <v>12</v>
      </c>
      <c r="C2711" s="0" t="s">
        <v>13</v>
      </c>
      <c r="D2711" s="0" t="n">
        <v>1</v>
      </c>
      <c r="E2711" s="2" t="n">
        <v>40796.7090277778</v>
      </c>
      <c r="F2711" s="0" t="n">
        <v>3.33</v>
      </c>
      <c r="H2711" s="3" t="s">
        <v>14</v>
      </c>
      <c r="I2711" s="4" t="n">
        <f aca="false">D2711*F2711</f>
        <v>3.33</v>
      </c>
      <c r="J2711" s="3" t="n">
        <f aca="false">IF(AND(LEFT(A2711,1)&lt;&gt;"C",D2711&gt;0,F2711&gt;0),1,0)</f>
        <v>1</v>
      </c>
      <c r="K2711" s="3" t="n">
        <f aca="false">IF(AND(H2711="United Kingdom",G2711&lt;&gt;"",COUNTIFS($G$2:G2711,G2711,$H$2:H2711,"United Kingdom")=1),1,0)</f>
        <v>0</v>
      </c>
    </row>
    <row r="2712" customFormat="false" ht="15" hidden="false" customHeight="false" outlineLevel="0" collapsed="false">
      <c r="A2712" s="0" t="s">
        <v>584</v>
      </c>
      <c r="B2712" s="0" t="s">
        <v>12</v>
      </c>
      <c r="C2712" s="0" t="s">
        <v>13</v>
      </c>
      <c r="D2712" s="0" t="n">
        <v>12</v>
      </c>
      <c r="E2712" s="2" t="n">
        <v>40797.8138888889</v>
      </c>
      <c r="F2712" s="0" t="n">
        <v>3.33</v>
      </c>
      <c r="G2712" s="0" t="n">
        <v>17042</v>
      </c>
      <c r="H2712" s="3" t="s">
        <v>14</v>
      </c>
      <c r="I2712" s="4" t="n">
        <f aca="false">D2712*F2712</f>
        <v>39.96</v>
      </c>
      <c r="J2712" s="3" t="n">
        <f aca="false">IF(AND(LEFT(A2712,1)&lt;&gt;"C",D2712&gt;0,F2712&gt;0),1,0)</f>
        <v>1</v>
      </c>
      <c r="K2712" s="3" t="n">
        <f aca="false">IF(AND(H2712="United Kingdom",G2712&lt;&gt;"",COUNTIFS($G$2:G2712,G2712,$H$2:H2712,"United Kingdom")=1),1,0)</f>
        <v>0</v>
      </c>
    </row>
    <row r="2713" customFormat="false" ht="15" hidden="false" customHeight="false" outlineLevel="0" collapsed="false">
      <c r="A2713" s="0" t="s">
        <v>585</v>
      </c>
      <c r="B2713" s="0" t="s">
        <v>68</v>
      </c>
      <c r="C2713" s="0" t="s">
        <v>69</v>
      </c>
      <c r="D2713" s="0" t="n">
        <v>3</v>
      </c>
      <c r="E2713" s="2" t="n">
        <v>40798.3923611111</v>
      </c>
      <c r="F2713" s="0" t="n">
        <v>1.26</v>
      </c>
      <c r="G2713" s="0" t="n">
        <v>13329</v>
      </c>
      <c r="H2713" s="3" t="s">
        <v>14</v>
      </c>
      <c r="I2713" s="4" t="n">
        <f aca="false">D2713*F2713</f>
        <v>3.78</v>
      </c>
      <c r="J2713" s="3" t="n">
        <f aca="false">IF(AND(LEFT(A2713,1)&lt;&gt;"C",D2713&gt;0,F2713&gt;0),1,0)</f>
        <v>1</v>
      </c>
      <c r="K2713" s="3" t="n">
        <f aca="false">IF(AND(H2713="United Kingdom",G2713&lt;&gt;"",COUNTIFS($G$2:G2713,G2713,$H$2:H2713,"United Kingdom")=1),1,0)</f>
        <v>0</v>
      </c>
    </row>
    <row r="2714" customFormat="false" ht="15" hidden="false" customHeight="false" outlineLevel="0" collapsed="false">
      <c r="A2714" s="0" t="s">
        <v>585</v>
      </c>
      <c r="B2714" s="0" t="s">
        <v>29</v>
      </c>
      <c r="C2714" s="0" t="s">
        <v>30</v>
      </c>
      <c r="D2714" s="0" t="n">
        <v>8</v>
      </c>
      <c r="E2714" s="2" t="n">
        <v>40798.3923611111</v>
      </c>
      <c r="F2714" s="0" t="n">
        <v>5.79</v>
      </c>
      <c r="G2714" s="0" t="n">
        <v>13329</v>
      </c>
      <c r="H2714" s="3" t="s">
        <v>14</v>
      </c>
      <c r="I2714" s="4" t="n">
        <f aca="false">D2714*F2714</f>
        <v>46.32</v>
      </c>
      <c r="J2714" s="3" t="n">
        <f aca="false">IF(AND(LEFT(A2714,1)&lt;&gt;"C",D2714&gt;0,F2714&gt;0),1,0)</f>
        <v>1</v>
      </c>
      <c r="K2714" s="3" t="n">
        <f aca="false">IF(AND(H2714="United Kingdom",G2714&lt;&gt;"",COUNTIFS($G$2:G2714,G2714,$H$2:H2714,"United Kingdom")=1),1,0)</f>
        <v>0</v>
      </c>
    </row>
    <row r="2715" customFormat="false" ht="15" hidden="false" customHeight="false" outlineLevel="0" collapsed="false">
      <c r="A2715" s="0" t="s">
        <v>585</v>
      </c>
      <c r="B2715" s="0" t="s">
        <v>37</v>
      </c>
      <c r="C2715" s="0" t="s">
        <v>38</v>
      </c>
      <c r="D2715" s="0" t="n">
        <v>4</v>
      </c>
      <c r="E2715" s="2" t="n">
        <v>40798.3923611111</v>
      </c>
      <c r="F2715" s="0" t="n">
        <v>1.82</v>
      </c>
      <c r="G2715" s="0" t="n">
        <v>13329</v>
      </c>
      <c r="H2715" s="3" t="s">
        <v>14</v>
      </c>
      <c r="I2715" s="4" t="n">
        <f aca="false">D2715*F2715</f>
        <v>7.28</v>
      </c>
      <c r="J2715" s="3" t="n">
        <f aca="false">IF(AND(LEFT(A2715,1)&lt;&gt;"C",D2715&gt;0,F2715&gt;0),1,0)</f>
        <v>1</v>
      </c>
      <c r="K2715" s="3" t="n">
        <f aca="false">IF(AND(H2715="United Kingdom",G2715&lt;&gt;"",COUNTIFS($G$2:G2715,G2715,$H$2:H2715,"United Kingdom")=1),1,0)</f>
        <v>0</v>
      </c>
    </row>
    <row r="2716" customFormat="false" ht="15" hidden="false" customHeight="false" outlineLevel="0" collapsed="false">
      <c r="A2716" s="0" t="s">
        <v>586</v>
      </c>
      <c r="B2716" s="0" t="s">
        <v>68</v>
      </c>
      <c r="C2716" s="0" t="s">
        <v>69</v>
      </c>
      <c r="D2716" s="0" t="n">
        <v>3</v>
      </c>
      <c r="E2716" s="2" t="n">
        <v>40798.7131944444</v>
      </c>
      <c r="F2716" s="0" t="n">
        <v>1.26</v>
      </c>
      <c r="G2716" s="0" t="n">
        <v>18211</v>
      </c>
      <c r="H2716" s="3" t="s">
        <v>14</v>
      </c>
      <c r="I2716" s="4" t="n">
        <f aca="false">D2716*F2716</f>
        <v>3.78</v>
      </c>
      <c r="J2716" s="3" t="n">
        <f aca="false">IF(AND(LEFT(A2716,1)&lt;&gt;"C",D2716&gt;0,F2716&gt;0),1,0)</f>
        <v>1</v>
      </c>
      <c r="K2716" s="3" t="n">
        <f aca="false">IF(AND(H2716="United Kingdom",G2716&lt;&gt;"",COUNTIFS($G$2:G2716,G2716,$H$2:H2716,"United Kingdom")=1),1,0)</f>
        <v>0</v>
      </c>
    </row>
    <row r="2717" customFormat="false" ht="15" hidden="false" customHeight="false" outlineLevel="0" collapsed="false">
      <c r="A2717" s="0" t="s">
        <v>586</v>
      </c>
      <c r="B2717" s="0" t="s">
        <v>39</v>
      </c>
      <c r="C2717" s="0" t="s">
        <v>40</v>
      </c>
      <c r="D2717" s="0" t="n">
        <v>8</v>
      </c>
      <c r="E2717" s="2" t="n">
        <v>40798.7131944444</v>
      </c>
      <c r="F2717" s="0" t="n">
        <v>2.58</v>
      </c>
      <c r="G2717" s="0" t="n">
        <v>18211</v>
      </c>
      <c r="H2717" s="3" t="s">
        <v>14</v>
      </c>
      <c r="I2717" s="4" t="n">
        <f aca="false">D2717*F2717</f>
        <v>20.64</v>
      </c>
      <c r="J2717" s="3" t="n">
        <f aca="false">IF(AND(LEFT(A2717,1)&lt;&gt;"C",D2717&gt;0,F2717&gt;0),1,0)</f>
        <v>1</v>
      </c>
      <c r="K2717" s="3" t="n">
        <f aca="false">IF(AND(H2717="United Kingdom",G2717&lt;&gt;"",COUNTIFS($G$2:G2717,G2717,$H$2:H2717,"United Kingdom")=1),1,0)</f>
        <v>0</v>
      </c>
    </row>
    <row r="2718" customFormat="false" ht="15" hidden="false" customHeight="false" outlineLevel="0" collapsed="false">
      <c r="A2718" s="0" t="s">
        <v>586</v>
      </c>
      <c r="B2718" s="0" t="s">
        <v>50</v>
      </c>
      <c r="C2718" s="0" t="s">
        <v>51</v>
      </c>
      <c r="D2718" s="0" t="n">
        <v>16</v>
      </c>
      <c r="E2718" s="2" t="n">
        <v>40798.7131944444</v>
      </c>
      <c r="F2718" s="0" t="n">
        <v>5.41</v>
      </c>
      <c r="G2718" s="0" t="n">
        <v>18211</v>
      </c>
      <c r="H2718" s="3" t="s">
        <v>14</v>
      </c>
      <c r="I2718" s="4" t="n">
        <f aca="false">D2718*F2718</f>
        <v>86.56</v>
      </c>
      <c r="J2718" s="3" t="n">
        <f aca="false">IF(AND(LEFT(A2718,1)&lt;&gt;"C",D2718&gt;0,F2718&gt;0),1,0)</f>
        <v>1</v>
      </c>
      <c r="K2718" s="3" t="n">
        <f aca="false">IF(AND(H2718="United Kingdom",G2718&lt;&gt;"",COUNTIFS($G$2:G2718,G2718,$H$2:H2718,"United Kingdom")=1),1,0)</f>
        <v>0</v>
      </c>
    </row>
    <row r="2719" customFormat="false" ht="15" hidden="false" customHeight="false" outlineLevel="0" collapsed="false">
      <c r="A2719" s="0" t="s">
        <v>586</v>
      </c>
      <c r="B2719" s="0" t="s">
        <v>22</v>
      </c>
      <c r="C2719" s="0" t="s">
        <v>23</v>
      </c>
      <c r="D2719" s="0" t="n">
        <v>2</v>
      </c>
      <c r="E2719" s="2" t="n">
        <v>40798.7131944444</v>
      </c>
      <c r="F2719" s="0" t="n">
        <v>3.18</v>
      </c>
      <c r="G2719" s="0" t="n">
        <v>18211</v>
      </c>
      <c r="H2719" s="3" t="s">
        <v>14</v>
      </c>
      <c r="I2719" s="4" t="n">
        <f aca="false">D2719*F2719</f>
        <v>6.36</v>
      </c>
      <c r="J2719" s="3" t="n">
        <f aca="false">IF(AND(LEFT(A2719,1)&lt;&gt;"C",D2719&gt;0,F2719&gt;0),1,0)</f>
        <v>1</v>
      </c>
      <c r="K2719" s="3" t="n">
        <f aca="false">IF(AND(H2719="United Kingdom",G2719&lt;&gt;"",COUNTIFS($G$2:G2719,G2719,$H$2:H2719,"United Kingdom")=1),1,0)</f>
        <v>0</v>
      </c>
    </row>
    <row r="2720" customFormat="false" ht="15" hidden="false" customHeight="false" outlineLevel="0" collapsed="false">
      <c r="A2720" s="0" t="s">
        <v>587</v>
      </c>
      <c r="B2720" s="0" t="s">
        <v>32</v>
      </c>
      <c r="C2720" s="0" t="s">
        <v>33</v>
      </c>
      <c r="D2720" s="0" t="n">
        <v>24</v>
      </c>
      <c r="E2720" s="2" t="n">
        <v>40799.3756944445</v>
      </c>
      <c r="F2720" s="0" t="n">
        <v>1.19</v>
      </c>
      <c r="G2720" s="0" t="n">
        <v>13911</v>
      </c>
      <c r="H2720" s="3" t="s">
        <v>14</v>
      </c>
      <c r="I2720" s="4" t="n">
        <f aca="false">D2720*F2720</f>
        <v>28.56</v>
      </c>
      <c r="J2720" s="3" t="n">
        <f aca="false">IF(AND(LEFT(A2720,1)&lt;&gt;"C",D2720&gt;0,F2720&gt;0),1,0)</f>
        <v>1</v>
      </c>
      <c r="K2720" s="3" t="n">
        <f aca="false">IF(AND(H2720="United Kingdom",G2720&lt;&gt;"",COUNTIFS($G$2:G2720,G2720,$H$2:H2720,"United Kingdom")=1),1,0)</f>
        <v>1</v>
      </c>
    </row>
    <row r="2721" customFormat="false" ht="15" hidden="false" customHeight="false" outlineLevel="0" collapsed="false">
      <c r="A2721" s="0" t="s">
        <v>587</v>
      </c>
      <c r="B2721" s="0" t="s">
        <v>65</v>
      </c>
      <c r="C2721" s="0" t="s">
        <v>66</v>
      </c>
      <c r="D2721" s="0" t="n">
        <v>288</v>
      </c>
      <c r="E2721" s="2" t="n">
        <v>40799.3756944445</v>
      </c>
      <c r="F2721" s="0" t="n">
        <v>4.75</v>
      </c>
      <c r="G2721" s="0" t="n">
        <v>13911</v>
      </c>
      <c r="H2721" s="3" t="s">
        <v>14</v>
      </c>
      <c r="I2721" s="4" t="n">
        <f aca="false">D2721*F2721</f>
        <v>1368</v>
      </c>
      <c r="J2721" s="3" t="n">
        <f aca="false">IF(AND(LEFT(A2721,1)&lt;&gt;"C",D2721&gt;0,F2721&gt;0),1,0)</f>
        <v>1</v>
      </c>
      <c r="K2721" s="3" t="n">
        <f aca="false">IF(AND(H2721="United Kingdom",G2721&lt;&gt;"",COUNTIFS($G$2:G2721,G2721,$H$2:H2721,"United Kingdom")=1),1,0)</f>
        <v>0</v>
      </c>
    </row>
    <row r="2722" customFormat="false" ht="15" hidden="false" customHeight="false" outlineLevel="0" collapsed="false">
      <c r="A2722" s="0" t="s">
        <v>587</v>
      </c>
      <c r="B2722" s="0" t="s">
        <v>80</v>
      </c>
      <c r="C2722" s="0" t="s">
        <v>81</v>
      </c>
      <c r="D2722" s="0" t="n">
        <v>216</v>
      </c>
      <c r="E2722" s="2" t="n">
        <v>40799.3756944445</v>
      </c>
      <c r="F2722" s="0" t="n">
        <v>1.53</v>
      </c>
      <c r="G2722" s="0" t="n">
        <v>13911</v>
      </c>
      <c r="H2722" s="3" t="s">
        <v>14</v>
      </c>
      <c r="I2722" s="4" t="n">
        <f aca="false">D2722*F2722</f>
        <v>330.48</v>
      </c>
      <c r="J2722" s="3" t="n">
        <f aca="false">IF(AND(LEFT(A2722,1)&lt;&gt;"C",D2722&gt;0,F2722&gt;0),1,0)</f>
        <v>1</v>
      </c>
      <c r="K2722" s="3" t="n">
        <f aca="false">IF(AND(H2722="United Kingdom",G2722&lt;&gt;"",COUNTIFS($G$2:G2722,G2722,$H$2:H2722,"United Kingdom")=1),1,0)</f>
        <v>0</v>
      </c>
    </row>
    <row r="2723" customFormat="false" ht="15" hidden="false" customHeight="false" outlineLevel="0" collapsed="false">
      <c r="A2723" s="0" t="s">
        <v>587</v>
      </c>
      <c r="B2723" s="0" t="s">
        <v>58</v>
      </c>
      <c r="C2723" s="0" t="s">
        <v>59</v>
      </c>
      <c r="D2723" s="0" t="n">
        <v>72</v>
      </c>
      <c r="E2723" s="2" t="n">
        <v>40799.3756944445</v>
      </c>
      <c r="F2723" s="0" t="n">
        <v>2.16</v>
      </c>
      <c r="G2723" s="0" t="n">
        <v>13911</v>
      </c>
      <c r="H2723" s="3" t="s">
        <v>14</v>
      </c>
      <c r="I2723" s="4" t="n">
        <f aca="false">D2723*F2723</f>
        <v>155.52</v>
      </c>
      <c r="J2723" s="3" t="n">
        <f aca="false">IF(AND(LEFT(A2723,1)&lt;&gt;"C",D2723&gt;0,F2723&gt;0),1,0)</f>
        <v>1</v>
      </c>
      <c r="K2723" s="3" t="n">
        <f aca="false">IF(AND(H2723="United Kingdom",G2723&lt;&gt;"",COUNTIFS($G$2:G2723,G2723,$H$2:H2723,"United Kingdom")=1),1,0)</f>
        <v>0</v>
      </c>
    </row>
    <row r="2724" customFormat="false" ht="15" hidden="false" customHeight="false" outlineLevel="0" collapsed="false">
      <c r="A2724" s="0" t="s">
        <v>588</v>
      </c>
      <c r="B2724" s="0" t="s">
        <v>90</v>
      </c>
      <c r="C2724" s="0" t="s">
        <v>91</v>
      </c>
      <c r="D2724" s="0" t="n">
        <v>36</v>
      </c>
      <c r="E2724" s="2" t="n">
        <v>40799.5013888889</v>
      </c>
      <c r="F2724" s="0" t="n">
        <v>3.04</v>
      </c>
      <c r="G2724" s="0" t="n">
        <v>15108</v>
      </c>
      <c r="H2724" s="3" t="s">
        <v>14</v>
      </c>
      <c r="I2724" s="4" t="n">
        <f aca="false">D2724*F2724</f>
        <v>109.44</v>
      </c>
      <c r="J2724" s="3" t="n">
        <f aca="false">IF(AND(LEFT(A2724,1)&lt;&gt;"C",D2724&gt;0,F2724&gt;0),1,0)</f>
        <v>1</v>
      </c>
      <c r="K2724" s="3" t="n">
        <f aca="false">IF(AND(H2724="United Kingdom",G2724&lt;&gt;"",COUNTIFS($G$2:G2724,G2724,$H$2:H2724,"United Kingdom")=1),1,0)</f>
        <v>0</v>
      </c>
    </row>
    <row r="2725" customFormat="false" ht="15" hidden="false" customHeight="false" outlineLevel="0" collapsed="false">
      <c r="A2725" s="0" t="s">
        <v>588</v>
      </c>
      <c r="B2725" s="0" t="s">
        <v>50</v>
      </c>
      <c r="C2725" s="0" t="s">
        <v>51</v>
      </c>
      <c r="D2725" s="0" t="n">
        <v>48</v>
      </c>
      <c r="E2725" s="2" t="n">
        <v>40799.5013888889</v>
      </c>
      <c r="F2725" s="0" t="n">
        <v>5.41</v>
      </c>
      <c r="G2725" s="0" t="n">
        <v>15108</v>
      </c>
      <c r="H2725" s="3" t="s">
        <v>14</v>
      </c>
      <c r="I2725" s="4" t="n">
        <f aca="false">D2725*F2725</f>
        <v>259.68</v>
      </c>
      <c r="J2725" s="3" t="n">
        <f aca="false">IF(AND(LEFT(A2725,1)&lt;&gt;"C",D2725&gt;0,F2725&gt;0),1,0)</f>
        <v>1</v>
      </c>
      <c r="K2725" s="3" t="n">
        <f aca="false">IF(AND(H2725="United Kingdom",G2725&lt;&gt;"",COUNTIFS($G$2:G2725,G2725,$H$2:H2725,"United Kingdom")=1),1,0)</f>
        <v>0</v>
      </c>
    </row>
    <row r="2726" customFormat="false" ht="15" hidden="false" customHeight="false" outlineLevel="0" collapsed="false">
      <c r="A2726" s="0" t="s">
        <v>588</v>
      </c>
      <c r="B2726" s="0" t="s">
        <v>37</v>
      </c>
      <c r="C2726" s="0" t="s">
        <v>38</v>
      </c>
      <c r="D2726" s="0" t="n">
        <v>288</v>
      </c>
      <c r="E2726" s="2" t="n">
        <v>40799.5013888889</v>
      </c>
      <c r="F2726" s="0" t="n">
        <v>1.82</v>
      </c>
      <c r="G2726" s="0" t="n">
        <v>15108</v>
      </c>
      <c r="H2726" s="3" t="s">
        <v>14</v>
      </c>
      <c r="I2726" s="4" t="n">
        <f aca="false">D2726*F2726</f>
        <v>524.16</v>
      </c>
      <c r="J2726" s="3" t="n">
        <f aca="false">IF(AND(LEFT(A2726,1)&lt;&gt;"C",D2726&gt;0,F2726&gt;0),1,0)</f>
        <v>1</v>
      </c>
      <c r="K2726" s="3" t="n">
        <f aca="false">IF(AND(H2726="United Kingdom",G2726&lt;&gt;"",COUNTIFS($G$2:G2726,G2726,$H$2:H2726,"United Kingdom")=1),1,0)</f>
        <v>0</v>
      </c>
    </row>
    <row r="2727" customFormat="false" ht="15" hidden="false" customHeight="false" outlineLevel="0" collapsed="false">
      <c r="A2727" s="0" t="s">
        <v>589</v>
      </c>
      <c r="B2727" s="0" t="s">
        <v>32</v>
      </c>
      <c r="C2727" s="0" t="s">
        <v>33</v>
      </c>
      <c r="D2727" s="0" t="n">
        <v>6</v>
      </c>
      <c r="E2727" s="2" t="n">
        <v>40800.4138888889</v>
      </c>
      <c r="F2727" s="0" t="n">
        <v>1.19</v>
      </c>
      <c r="G2727" s="0" t="n">
        <v>13672</v>
      </c>
      <c r="H2727" s="3" t="s">
        <v>57</v>
      </c>
      <c r="I2727" s="4" t="n">
        <f aca="false">D2727*F2727</f>
        <v>7.14</v>
      </c>
      <c r="J2727" s="3" t="n">
        <f aca="false">IF(AND(LEFT(A2727,1)&lt;&gt;"C",D2727&gt;0,F2727&gt;0),1,0)</f>
        <v>1</v>
      </c>
      <c r="K2727" s="3" t="n">
        <f aca="false">IF(AND(H2727="United Kingdom",G2727&lt;&gt;"",COUNTIFS($G$2:G2727,G2727,$H$2:H2727,"United Kingdom")=1),1,0)</f>
        <v>0</v>
      </c>
    </row>
    <row r="2728" customFormat="false" ht="15" hidden="false" customHeight="false" outlineLevel="0" collapsed="false">
      <c r="A2728" s="0" t="s">
        <v>589</v>
      </c>
      <c r="B2728" s="0" t="s">
        <v>12</v>
      </c>
      <c r="C2728" s="0" t="s">
        <v>13</v>
      </c>
      <c r="D2728" s="0" t="n">
        <v>9</v>
      </c>
      <c r="E2728" s="2" t="n">
        <v>40800.4138888889</v>
      </c>
      <c r="F2728" s="0" t="n">
        <v>3.33</v>
      </c>
      <c r="G2728" s="0" t="n">
        <v>13672</v>
      </c>
      <c r="H2728" s="3" t="s">
        <v>57</v>
      </c>
      <c r="I2728" s="4" t="n">
        <f aca="false">D2728*F2728</f>
        <v>29.97</v>
      </c>
      <c r="J2728" s="3" t="n">
        <f aca="false">IF(AND(LEFT(A2728,1)&lt;&gt;"C",D2728&gt;0,F2728&gt;0),1,0)</f>
        <v>1</v>
      </c>
      <c r="K2728" s="3" t="n">
        <f aca="false">IF(AND(H2728="United Kingdom",G2728&lt;&gt;"",COUNTIFS($G$2:G2728,G2728,$H$2:H2728,"United Kingdom")=1),1,0)</f>
        <v>0</v>
      </c>
    </row>
    <row r="2729" customFormat="false" ht="15" hidden="false" customHeight="false" outlineLevel="0" collapsed="false">
      <c r="A2729" s="0" t="s">
        <v>590</v>
      </c>
      <c r="B2729" s="0" t="s">
        <v>39</v>
      </c>
      <c r="C2729" s="0" t="s">
        <v>40</v>
      </c>
      <c r="D2729" s="0" t="n">
        <v>3</v>
      </c>
      <c r="E2729" s="2" t="n">
        <v>40800.4208333333</v>
      </c>
      <c r="F2729" s="0" t="n">
        <v>2.58</v>
      </c>
      <c r="G2729" s="0" t="n">
        <v>16420</v>
      </c>
      <c r="H2729" s="3" t="s">
        <v>14</v>
      </c>
      <c r="I2729" s="4" t="n">
        <f aca="false">D2729*F2729</f>
        <v>7.74</v>
      </c>
      <c r="J2729" s="3" t="n">
        <f aca="false">IF(AND(LEFT(A2729,1)&lt;&gt;"C",D2729&gt;0,F2729&gt;0),1,0)</f>
        <v>1</v>
      </c>
      <c r="K2729" s="3" t="n">
        <f aca="false">IF(AND(H2729="United Kingdom",G2729&lt;&gt;"",COUNTIFS($G$2:G2729,G2729,$H$2:H2729,"United Kingdom")=1),1,0)</f>
        <v>0</v>
      </c>
    </row>
    <row r="2730" customFormat="false" ht="15" hidden="false" customHeight="false" outlineLevel="0" collapsed="false">
      <c r="A2730" s="0" t="s">
        <v>590</v>
      </c>
      <c r="B2730" s="0" t="s">
        <v>80</v>
      </c>
      <c r="C2730" s="0" t="s">
        <v>81</v>
      </c>
      <c r="D2730" s="0" t="n">
        <v>16</v>
      </c>
      <c r="E2730" s="2" t="n">
        <v>40800.4208333333</v>
      </c>
      <c r="F2730" s="0" t="n">
        <v>1.53</v>
      </c>
      <c r="G2730" s="0" t="n">
        <v>16420</v>
      </c>
      <c r="H2730" s="3" t="s">
        <v>14</v>
      </c>
      <c r="I2730" s="4" t="n">
        <f aca="false">D2730*F2730</f>
        <v>24.48</v>
      </c>
      <c r="J2730" s="3" t="n">
        <f aca="false">IF(AND(LEFT(A2730,1)&lt;&gt;"C",D2730&gt;0,F2730&gt;0),1,0)</f>
        <v>1</v>
      </c>
      <c r="K2730" s="3" t="n">
        <f aca="false">IF(AND(H2730="United Kingdom",G2730&lt;&gt;"",COUNTIFS($G$2:G2730,G2730,$H$2:H2730,"United Kingdom")=1),1,0)</f>
        <v>0</v>
      </c>
    </row>
    <row r="2731" customFormat="false" ht="15" hidden="false" customHeight="false" outlineLevel="0" collapsed="false">
      <c r="A2731" s="0" t="s">
        <v>590</v>
      </c>
      <c r="B2731" s="0" t="s">
        <v>50</v>
      </c>
      <c r="C2731" s="0" t="s">
        <v>51</v>
      </c>
      <c r="D2731" s="0" t="n">
        <v>4</v>
      </c>
      <c r="E2731" s="2" t="n">
        <v>40800.4208333333</v>
      </c>
      <c r="F2731" s="0" t="n">
        <v>5.41</v>
      </c>
      <c r="G2731" s="0" t="n">
        <v>16420</v>
      </c>
      <c r="H2731" s="3" t="s">
        <v>14</v>
      </c>
      <c r="I2731" s="4" t="n">
        <f aca="false">D2731*F2731</f>
        <v>21.64</v>
      </c>
      <c r="J2731" s="3" t="n">
        <f aca="false">IF(AND(LEFT(A2731,1)&lt;&gt;"C",D2731&gt;0,F2731&gt;0),1,0)</f>
        <v>1</v>
      </c>
      <c r="K2731" s="3" t="n">
        <f aca="false">IF(AND(H2731="United Kingdom",G2731&lt;&gt;"",COUNTIFS($G$2:G2731,G2731,$H$2:H2731,"United Kingdom")=1),1,0)</f>
        <v>0</v>
      </c>
    </row>
    <row r="2732" customFormat="false" ht="15" hidden="false" customHeight="false" outlineLevel="0" collapsed="false">
      <c r="A2732" s="0" t="s">
        <v>591</v>
      </c>
      <c r="B2732" s="0" t="s">
        <v>41</v>
      </c>
      <c r="C2732" s="0" t="s">
        <v>42</v>
      </c>
      <c r="D2732" s="0" t="n">
        <v>3</v>
      </c>
      <c r="E2732" s="2" t="n">
        <v>40800.4208333333</v>
      </c>
      <c r="F2732" s="0" t="n">
        <v>3.28</v>
      </c>
      <c r="G2732" s="0" t="n">
        <v>14601</v>
      </c>
      <c r="H2732" s="3" t="s">
        <v>14</v>
      </c>
      <c r="I2732" s="4" t="n">
        <f aca="false">D2732*F2732</f>
        <v>9.84</v>
      </c>
      <c r="J2732" s="3" t="n">
        <f aca="false">IF(AND(LEFT(A2732,1)&lt;&gt;"C",D2732&gt;0,F2732&gt;0),1,0)</f>
        <v>1</v>
      </c>
      <c r="K2732" s="3" t="n">
        <f aca="false">IF(AND(H2732="United Kingdom",G2732&lt;&gt;"",COUNTIFS($G$2:G2732,G2732,$H$2:H2732,"United Kingdom")=1),1,0)</f>
        <v>0</v>
      </c>
    </row>
    <row r="2733" customFormat="false" ht="15" hidden="false" customHeight="false" outlineLevel="0" collapsed="false">
      <c r="A2733" s="0" t="s">
        <v>591</v>
      </c>
      <c r="B2733" s="0" t="s">
        <v>37</v>
      </c>
      <c r="C2733" s="0" t="s">
        <v>38</v>
      </c>
      <c r="D2733" s="0" t="n">
        <v>12</v>
      </c>
      <c r="E2733" s="2" t="n">
        <v>40800.4208333333</v>
      </c>
      <c r="F2733" s="0" t="n">
        <v>1.82</v>
      </c>
      <c r="G2733" s="0" t="n">
        <v>14601</v>
      </c>
      <c r="H2733" s="3" t="s">
        <v>14</v>
      </c>
      <c r="I2733" s="4" t="n">
        <f aca="false">D2733*F2733</f>
        <v>21.84</v>
      </c>
      <c r="J2733" s="3" t="n">
        <f aca="false">IF(AND(LEFT(A2733,1)&lt;&gt;"C",D2733&gt;0,F2733&gt;0),1,0)</f>
        <v>1</v>
      </c>
      <c r="K2733" s="3" t="n">
        <f aca="false">IF(AND(H2733="United Kingdom",G2733&lt;&gt;"",COUNTIFS($G$2:G2733,G2733,$H$2:H2733,"United Kingdom")=1),1,0)</f>
        <v>0</v>
      </c>
    </row>
    <row r="2734" customFormat="false" ht="15" hidden="false" customHeight="false" outlineLevel="0" collapsed="false">
      <c r="A2734" s="0" t="s">
        <v>591</v>
      </c>
      <c r="B2734" s="0" t="s">
        <v>65</v>
      </c>
      <c r="C2734" s="0" t="s">
        <v>66</v>
      </c>
      <c r="D2734" s="0" t="n">
        <v>3</v>
      </c>
      <c r="E2734" s="2" t="n">
        <v>40800.4208333333</v>
      </c>
      <c r="F2734" s="0" t="n">
        <v>4.75</v>
      </c>
      <c r="G2734" s="0" t="n">
        <v>14601</v>
      </c>
      <c r="H2734" s="3" t="s">
        <v>14</v>
      </c>
      <c r="I2734" s="4" t="n">
        <f aca="false">D2734*F2734</f>
        <v>14.25</v>
      </c>
      <c r="J2734" s="3" t="n">
        <f aca="false">IF(AND(LEFT(A2734,1)&lt;&gt;"C",D2734&gt;0,F2734&gt;0),1,0)</f>
        <v>1</v>
      </c>
      <c r="K2734" s="3" t="n">
        <f aca="false">IF(AND(H2734="United Kingdom",G2734&lt;&gt;"",COUNTIFS($G$2:G2734,G2734,$H$2:H2734,"United Kingdom")=1),1,0)</f>
        <v>0</v>
      </c>
    </row>
    <row r="2735" customFormat="false" ht="15" hidden="false" customHeight="false" outlineLevel="0" collapsed="false">
      <c r="A2735" s="0" t="s">
        <v>592</v>
      </c>
      <c r="B2735" s="0" t="s">
        <v>77</v>
      </c>
      <c r="C2735" s="0" t="s">
        <v>78</v>
      </c>
      <c r="D2735" s="0" t="n">
        <v>1</v>
      </c>
      <c r="E2735" s="2" t="n">
        <v>40801.3548611111</v>
      </c>
      <c r="F2735" s="0" t="n">
        <v>3.41</v>
      </c>
      <c r="G2735" s="0" t="n">
        <v>17379</v>
      </c>
      <c r="H2735" s="3" t="s">
        <v>14</v>
      </c>
      <c r="I2735" s="4" t="n">
        <f aca="false">D2735*F2735</f>
        <v>3.41</v>
      </c>
      <c r="J2735" s="3" t="n">
        <f aca="false">IF(AND(LEFT(A2735,1)&lt;&gt;"C",D2735&gt;0,F2735&gt;0),1,0)</f>
        <v>1</v>
      </c>
      <c r="K2735" s="3" t="n">
        <f aca="false">IF(AND(H2735="United Kingdom",G2735&lt;&gt;"",COUNTIFS($G$2:G2735,G2735,$H$2:H2735,"United Kingdom")=1),1,0)</f>
        <v>0</v>
      </c>
    </row>
    <row r="2736" customFormat="false" ht="15" hidden="false" customHeight="false" outlineLevel="0" collapsed="false">
      <c r="A2736" s="0" t="s">
        <v>593</v>
      </c>
      <c r="B2736" s="0" t="s">
        <v>48</v>
      </c>
      <c r="C2736" s="0" t="s">
        <v>49</v>
      </c>
      <c r="D2736" s="0" t="n">
        <v>2</v>
      </c>
      <c r="E2736" s="2" t="n">
        <v>40801.7444444444</v>
      </c>
      <c r="F2736" s="0" t="n">
        <v>1.35</v>
      </c>
      <c r="G2736" s="0" t="n">
        <v>14823</v>
      </c>
      <c r="H2736" s="3" t="s">
        <v>88</v>
      </c>
      <c r="I2736" s="4" t="n">
        <f aca="false">D2736*F2736</f>
        <v>2.7</v>
      </c>
      <c r="J2736" s="3" t="n">
        <f aca="false">IF(AND(LEFT(A2736,1)&lt;&gt;"C",D2736&gt;0,F2736&gt;0),1,0)</f>
        <v>1</v>
      </c>
      <c r="K2736" s="3" t="n">
        <f aca="false">IF(AND(H2736="United Kingdom",G2736&lt;&gt;"",COUNTIFS($G$2:G2736,G2736,$H$2:H2736,"United Kingdom")=1),1,0)</f>
        <v>0</v>
      </c>
    </row>
    <row r="2737" customFormat="false" ht="15" hidden="false" customHeight="false" outlineLevel="0" collapsed="false">
      <c r="A2737" s="0" t="s">
        <v>593</v>
      </c>
      <c r="B2737" s="0" t="s">
        <v>90</v>
      </c>
      <c r="C2737" s="0" t="s">
        <v>91</v>
      </c>
      <c r="D2737" s="0" t="n">
        <v>2</v>
      </c>
      <c r="E2737" s="2" t="n">
        <v>40801.7444444444</v>
      </c>
      <c r="F2737" s="0" t="n">
        <v>3.04</v>
      </c>
      <c r="G2737" s="0" t="n">
        <v>14823</v>
      </c>
      <c r="H2737" s="3" t="s">
        <v>88</v>
      </c>
      <c r="I2737" s="4" t="n">
        <f aca="false">D2737*F2737</f>
        <v>6.08</v>
      </c>
      <c r="J2737" s="3" t="n">
        <f aca="false">IF(AND(LEFT(A2737,1)&lt;&gt;"C",D2737&gt;0,F2737&gt;0),1,0)</f>
        <v>1</v>
      </c>
      <c r="K2737" s="3" t="n">
        <f aca="false">IF(AND(H2737="United Kingdom",G2737&lt;&gt;"",COUNTIFS($G$2:G2737,G2737,$H$2:H2737,"United Kingdom")=1),1,0)</f>
        <v>0</v>
      </c>
    </row>
    <row r="2738" customFormat="false" ht="15" hidden="false" customHeight="false" outlineLevel="0" collapsed="false">
      <c r="A2738" s="0" t="s">
        <v>593</v>
      </c>
      <c r="B2738" s="0" t="s">
        <v>45</v>
      </c>
      <c r="C2738" s="0" t="s">
        <v>46</v>
      </c>
      <c r="D2738" s="0" t="n">
        <v>6</v>
      </c>
      <c r="E2738" s="2" t="n">
        <v>40801.7444444444</v>
      </c>
      <c r="F2738" s="0" t="n">
        <v>4.55</v>
      </c>
      <c r="G2738" s="0" t="n">
        <v>14823</v>
      </c>
      <c r="H2738" s="3" t="s">
        <v>88</v>
      </c>
      <c r="I2738" s="4" t="n">
        <f aca="false">D2738*F2738</f>
        <v>27.3</v>
      </c>
      <c r="J2738" s="3" t="n">
        <f aca="false">IF(AND(LEFT(A2738,1)&lt;&gt;"C",D2738&gt;0,F2738&gt;0),1,0)</f>
        <v>1</v>
      </c>
      <c r="K2738" s="3" t="n">
        <f aca="false">IF(AND(H2738="United Kingdom",G2738&lt;&gt;"",COUNTIFS($G$2:G2738,G2738,$H$2:H2738,"United Kingdom")=1),1,0)</f>
        <v>0</v>
      </c>
    </row>
    <row r="2739" customFormat="false" ht="15" hidden="false" customHeight="false" outlineLevel="0" collapsed="false">
      <c r="A2739" s="0" t="s">
        <v>593</v>
      </c>
      <c r="B2739" s="0" t="s">
        <v>34</v>
      </c>
      <c r="C2739" s="0" t="s">
        <v>35</v>
      </c>
      <c r="D2739" s="0" t="n">
        <v>3</v>
      </c>
      <c r="E2739" s="2" t="n">
        <v>40801.7444444444</v>
      </c>
      <c r="F2739" s="0" t="n">
        <v>2.38</v>
      </c>
      <c r="G2739" s="0" t="n">
        <v>14823</v>
      </c>
      <c r="H2739" s="3" t="s">
        <v>88</v>
      </c>
      <c r="I2739" s="4" t="n">
        <f aca="false">D2739*F2739</f>
        <v>7.14</v>
      </c>
      <c r="J2739" s="3" t="n">
        <f aca="false">IF(AND(LEFT(A2739,1)&lt;&gt;"C",D2739&gt;0,F2739&gt;0),1,0)</f>
        <v>1</v>
      </c>
      <c r="K2739" s="3" t="n">
        <f aca="false">IF(AND(H2739="United Kingdom",G2739&lt;&gt;"",COUNTIFS($G$2:G2739,G2739,$H$2:H2739,"United Kingdom")=1),1,0)</f>
        <v>0</v>
      </c>
    </row>
    <row r="2740" customFormat="false" ht="15" hidden="false" customHeight="false" outlineLevel="0" collapsed="false">
      <c r="A2740" s="0" t="s">
        <v>593</v>
      </c>
      <c r="B2740" s="0" t="s">
        <v>65</v>
      </c>
      <c r="C2740" s="0" t="s">
        <v>66</v>
      </c>
      <c r="D2740" s="0" t="n">
        <v>8</v>
      </c>
      <c r="E2740" s="2" t="n">
        <v>40801.7444444444</v>
      </c>
      <c r="F2740" s="0" t="n">
        <v>4.75</v>
      </c>
      <c r="G2740" s="0" t="n">
        <v>14823</v>
      </c>
      <c r="H2740" s="3" t="s">
        <v>88</v>
      </c>
      <c r="I2740" s="4" t="n">
        <f aca="false">D2740*F2740</f>
        <v>38</v>
      </c>
      <c r="J2740" s="3" t="n">
        <f aca="false">IF(AND(LEFT(A2740,1)&lt;&gt;"C",D2740&gt;0,F2740&gt;0),1,0)</f>
        <v>1</v>
      </c>
      <c r="K2740" s="3" t="n">
        <f aca="false">IF(AND(H2740="United Kingdom",G2740&lt;&gt;"",COUNTIFS($G$2:G2740,G2740,$H$2:H2740,"United Kingdom")=1),1,0)</f>
        <v>0</v>
      </c>
    </row>
    <row r="2741" customFormat="false" ht="15" hidden="false" customHeight="false" outlineLevel="0" collapsed="false">
      <c r="A2741" s="0" t="s">
        <v>593</v>
      </c>
      <c r="B2741" s="0" t="s">
        <v>52</v>
      </c>
      <c r="C2741" s="0" t="s">
        <v>53</v>
      </c>
      <c r="D2741" s="0" t="n">
        <v>4</v>
      </c>
      <c r="E2741" s="2" t="n">
        <v>40801.7444444444</v>
      </c>
      <c r="F2741" s="0" t="n">
        <v>4.16</v>
      </c>
      <c r="G2741" s="0" t="n">
        <v>14823</v>
      </c>
      <c r="H2741" s="3" t="s">
        <v>88</v>
      </c>
      <c r="I2741" s="4" t="n">
        <f aca="false">D2741*F2741</f>
        <v>16.64</v>
      </c>
      <c r="J2741" s="3" t="n">
        <f aca="false">IF(AND(LEFT(A2741,1)&lt;&gt;"C",D2741&gt;0,F2741&gt;0),1,0)</f>
        <v>1</v>
      </c>
      <c r="K2741" s="3" t="n">
        <f aca="false">IF(AND(H2741="United Kingdom",G2741&lt;&gt;"",COUNTIFS($G$2:G2741,G2741,$H$2:H2741,"United Kingdom")=1),1,0)</f>
        <v>0</v>
      </c>
    </row>
    <row r="2742" customFormat="false" ht="15" hidden="false" customHeight="false" outlineLevel="0" collapsed="false">
      <c r="A2742" s="0" t="s">
        <v>593</v>
      </c>
      <c r="B2742" s="0" t="s">
        <v>63</v>
      </c>
      <c r="C2742" s="0" t="s">
        <v>64</v>
      </c>
      <c r="D2742" s="0" t="n">
        <v>2</v>
      </c>
      <c r="E2742" s="2" t="n">
        <v>40801.7444444444</v>
      </c>
      <c r="F2742" s="0" t="n">
        <v>2.43</v>
      </c>
      <c r="G2742" s="0" t="n">
        <v>14823</v>
      </c>
      <c r="H2742" s="3" t="s">
        <v>88</v>
      </c>
      <c r="I2742" s="4" t="n">
        <f aca="false">D2742*F2742</f>
        <v>4.86</v>
      </c>
      <c r="J2742" s="3" t="n">
        <f aca="false">IF(AND(LEFT(A2742,1)&lt;&gt;"C",D2742&gt;0,F2742&gt;0),1,0)</f>
        <v>1</v>
      </c>
      <c r="K2742" s="3" t="n">
        <f aca="false">IF(AND(H2742="United Kingdom",G2742&lt;&gt;"",COUNTIFS($G$2:G2742,G2742,$H$2:H2742,"United Kingdom")=1),1,0)</f>
        <v>0</v>
      </c>
    </row>
    <row r="2743" customFormat="false" ht="15" hidden="false" customHeight="false" outlineLevel="0" collapsed="false">
      <c r="A2743" s="0" t="s">
        <v>593</v>
      </c>
      <c r="B2743" s="0" t="s">
        <v>41</v>
      </c>
      <c r="C2743" s="0" t="s">
        <v>42</v>
      </c>
      <c r="D2743" s="0" t="n">
        <v>4</v>
      </c>
      <c r="E2743" s="2" t="n">
        <v>40801.7444444444</v>
      </c>
      <c r="F2743" s="0" t="n">
        <v>3.28</v>
      </c>
      <c r="G2743" s="0" t="n">
        <v>14823</v>
      </c>
      <c r="H2743" s="3" t="s">
        <v>88</v>
      </c>
      <c r="I2743" s="4" t="n">
        <f aca="false">D2743*F2743</f>
        <v>13.12</v>
      </c>
      <c r="J2743" s="3" t="n">
        <f aca="false">IF(AND(LEFT(A2743,1)&lt;&gt;"C",D2743&gt;0,F2743&gt;0),1,0)</f>
        <v>1</v>
      </c>
      <c r="K2743" s="3" t="n">
        <f aca="false">IF(AND(H2743="United Kingdom",G2743&lt;&gt;"",COUNTIFS($G$2:G2743,G2743,$H$2:H2743,"United Kingdom")=1),1,0)</f>
        <v>0</v>
      </c>
    </row>
    <row r="2744" customFormat="false" ht="15" hidden="false" customHeight="false" outlineLevel="0" collapsed="false">
      <c r="A2744" s="0" t="s">
        <v>593</v>
      </c>
      <c r="B2744" s="0" t="s">
        <v>32</v>
      </c>
      <c r="C2744" s="0" t="s">
        <v>33</v>
      </c>
      <c r="D2744" s="0" t="n">
        <v>2</v>
      </c>
      <c r="E2744" s="2" t="n">
        <v>40801.7444444444</v>
      </c>
      <c r="F2744" s="0" t="n">
        <v>1.19</v>
      </c>
      <c r="G2744" s="0" t="n">
        <v>14823</v>
      </c>
      <c r="H2744" s="3" t="s">
        <v>88</v>
      </c>
      <c r="I2744" s="4" t="n">
        <f aca="false">D2744*F2744</f>
        <v>2.38</v>
      </c>
      <c r="J2744" s="3" t="n">
        <f aca="false">IF(AND(LEFT(A2744,1)&lt;&gt;"C",D2744&gt;0,F2744&gt;0),1,0)</f>
        <v>1</v>
      </c>
      <c r="K2744" s="3" t="n">
        <f aca="false">IF(AND(H2744="United Kingdom",G2744&lt;&gt;"",COUNTIFS($G$2:G2744,G2744,$H$2:H2744,"United Kingdom")=1),1,0)</f>
        <v>0</v>
      </c>
    </row>
    <row r="2745" customFormat="false" ht="15" hidden="false" customHeight="false" outlineLevel="0" collapsed="false">
      <c r="A2745" s="0" t="s">
        <v>593</v>
      </c>
      <c r="B2745" s="0" t="s">
        <v>17</v>
      </c>
      <c r="C2745" s="0" t="s">
        <v>18</v>
      </c>
      <c r="D2745" s="0" t="n">
        <v>3</v>
      </c>
      <c r="E2745" s="2" t="n">
        <v>40801.7444444444</v>
      </c>
      <c r="F2745" s="0" t="n">
        <v>1.92</v>
      </c>
      <c r="G2745" s="0" t="n">
        <v>14823</v>
      </c>
      <c r="H2745" s="3" t="s">
        <v>88</v>
      </c>
      <c r="I2745" s="4" t="n">
        <f aca="false">D2745*F2745</f>
        <v>5.76</v>
      </c>
      <c r="J2745" s="3" t="n">
        <f aca="false">IF(AND(LEFT(A2745,1)&lt;&gt;"C",D2745&gt;0,F2745&gt;0),1,0)</f>
        <v>1</v>
      </c>
      <c r="K2745" s="3" t="n">
        <f aca="false">IF(AND(H2745="United Kingdom",G2745&lt;&gt;"",COUNTIFS($G$2:G2745,G2745,$H$2:H2745,"United Kingdom")=1),1,0)</f>
        <v>0</v>
      </c>
    </row>
    <row r="2746" customFormat="false" ht="15" hidden="false" customHeight="false" outlineLevel="0" collapsed="false">
      <c r="A2746" s="0" t="s">
        <v>594</v>
      </c>
      <c r="B2746" s="0" t="s">
        <v>43</v>
      </c>
      <c r="C2746" s="0" t="s">
        <v>44</v>
      </c>
      <c r="D2746" s="0" t="n">
        <v>3</v>
      </c>
      <c r="E2746" s="2" t="n">
        <v>40802.3638888889</v>
      </c>
      <c r="F2746" s="0" t="n">
        <v>1.35</v>
      </c>
      <c r="G2746" s="0" t="n">
        <v>17690</v>
      </c>
      <c r="H2746" s="3" t="s">
        <v>14</v>
      </c>
      <c r="I2746" s="4" t="n">
        <f aca="false">D2746*F2746</f>
        <v>4.05</v>
      </c>
      <c r="J2746" s="3" t="n">
        <f aca="false">IF(AND(LEFT(A2746,1)&lt;&gt;"C",D2746&gt;0,F2746&gt;0),1,0)</f>
        <v>1</v>
      </c>
      <c r="K2746" s="3" t="n">
        <f aca="false">IF(AND(H2746="United Kingdom",G2746&lt;&gt;"",COUNTIFS($G$2:G2746,G2746,$H$2:H2746,"United Kingdom")=1),1,0)</f>
        <v>0</v>
      </c>
    </row>
    <row r="2747" customFormat="false" ht="15" hidden="false" customHeight="false" outlineLevel="0" collapsed="false">
      <c r="A2747" s="0" t="s">
        <v>594</v>
      </c>
      <c r="B2747" s="0" t="s">
        <v>58</v>
      </c>
      <c r="C2747" s="0" t="s">
        <v>59</v>
      </c>
      <c r="D2747" s="0" t="n">
        <v>4</v>
      </c>
      <c r="E2747" s="2" t="n">
        <v>40802.3638888889</v>
      </c>
      <c r="F2747" s="0" t="n">
        <v>2.16</v>
      </c>
      <c r="G2747" s="0" t="n">
        <v>17690</v>
      </c>
      <c r="H2747" s="3" t="s">
        <v>14</v>
      </c>
      <c r="I2747" s="4" t="n">
        <f aca="false">D2747*F2747</f>
        <v>8.64</v>
      </c>
      <c r="J2747" s="3" t="n">
        <f aca="false">IF(AND(LEFT(A2747,1)&lt;&gt;"C",D2747&gt;0,F2747&gt;0),1,0)</f>
        <v>1</v>
      </c>
      <c r="K2747" s="3" t="n">
        <f aca="false">IF(AND(H2747="United Kingdom",G2747&lt;&gt;"",COUNTIFS($G$2:G2747,G2747,$H$2:H2747,"United Kingdom")=1),1,0)</f>
        <v>0</v>
      </c>
    </row>
    <row r="2748" customFormat="false" ht="15" hidden="false" customHeight="false" outlineLevel="0" collapsed="false">
      <c r="A2748" s="0" t="s">
        <v>595</v>
      </c>
      <c r="B2748" s="0" t="s">
        <v>77</v>
      </c>
      <c r="C2748" s="0" t="s">
        <v>78</v>
      </c>
      <c r="D2748" s="0" t="n">
        <v>2</v>
      </c>
      <c r="E2748" s="2" t="n">
        <v>40802.5319444445</v>
      </c>
      <c r="F2748" s="0" t="n">
        <v>3.41</v>
      </c>
      <c r="G2748" s="0" t="n">
        <v>14887</v>
      </c>
      <c r="H2748" s="3" t="s">
        <v>14</v>
      </c>
      <c r="I2748" s="4" t="n">
        <f aca="false">D2748*F2748</f>
        <v>6.82</v>
      </c>
      <c r="J2748" s="3" t="n">
        <f aca="false">IF(AND(LEFT(A2748,1)&lt;&gt;"C",D2748&gt;0,F2748&gt;0),1,0)</f>
        <v>1</v>
      </c>
      <c r="K2748" s="3" t="n">
        <f aca="false">IF(AND(H2748="United Kingdom",G2748&lt;&gt;"",COUNTIFS($G$2:G2748,G2748,$H$2:H2748,"United Kingdom")=1),1,0)</f>
        <v>0</v>
      </c>
    </row>
    <row r="2749" customFormat="false" ht="15" hidden="false" customHeight="false" outlineLevel="0" collapsed="false">
      <c r="A2749" s="0" t="s">
        <v>595</v>
      </c>
      <c r="B2749" s="0" t="s">
        <v>34</v>
      </c>
      <c r="C2749" s="0" t="s">
        <v>35</v>
      </c>
      <c r="D2749" s="0" t="n">
        <v>2</v>
      </c>
      <c r="E2749" s="2" t="n">
        <v>40802.5319444445</v>
      </c>
      <c r="F2749" s="0" t="n">
        <v>2.38</v>
      </c>
      <c r="G2749" s="0" t="n">
        <v>14887</v>
      </c>
      <c r="H2749" s="3" t="s">
        <v>14</v>
      </c>
      <c r="I2749" s="4" t="n">
        <f aca="false">D2749*F2749</f>
        <v>4.76</v>
      </c>
      <c r="J2749" s="3" t="n">
        <f aca="false">IF(AND(LEFT(A2749,1)&lt;&gt;"C",D2749&gt;0,F2749&gt;0),1,0)</f>
        <v>1</v>
      </c>
      <c r="K2749" s="3" t="n">
        <f aca="false">IF(AND(H2749="United Kingdom",G2749&lt;&gt;"",COUNTIFS($G$2:G2749,G2749,$H$2:H2749,"United Kingdom")=1),1,0)</f>
        <v>0</v>
      </c>
    </row>
    <row r="2750" customFormat="false" ht="15" hidden="false" customHeight="false" outlineLevel="0" collapsed="false">
      <c r="A2750" s="0" t="s">
        <v>595</v>
      </c>
      <c r="B2750" s="0" t="s">
        <v>15</v>
      </c>
      <c r="C2750" s="0" t="s">
        <v>16</v>
      </c>
      <c r="D2750" s="0" t="n">
        <v>6</v>
      </c>
      <c r="E2750" s="2" t="n">
        <v>40802.5319444445</v>
      </c>
      <c r="F2750" s="0" t="n">
        <v>3.18</v>
      </c>
      <c r="G2750" s="0" t="n">
        <v>14887</v>
      </c>
      <c r="H2750" s="3" t="s">
        <v>14</v>
      </c>
      <c r="I2750" s="4" t="n">
        <f aca="false">D2750*F2750</f>
        <v>19.08</v>
      </c>
      <c r="J2750" s="3" t="n">
        <f aca="false">IF(AND(LEFT(A2750,1)&lt;&gt;"C",D2750&gt;0,F2750&gt;0),1,0)</f>
        <v>1</v>
      </c>
      <c r="K2750" s="3" t="n">
        <f aca="false">IF(AND(H2750="United Kingdom",G2750&lt;&gt;"",COUNTIFS($G$2:G2750,G2750,$H$2:H2750,"United Kingdom")=1),1,0)</f>
        <v>0</v>
      </c>
    </row>
    <row r="2751" customFormat="false" ht="15" hidden="false" customHeight="false" outlineLevel="0" collapsed="false">
      <c r="A2751" s="0" t="s">
        <v>595</v>
      </c>
      <c r="B2751" s="0" t="s">
        <v>63</v>
      </c>
      <c r="C2751" s="0" t="s">
        <v>64</v>
      </c>
      <c r="D2751" s="0" t="n">
        <v>2</v>
      </c>
      <c r="E2751" s="2" t="n">
        <v>40802.5319444445</v>
      </c>
      <c r="F2751" s="0" t="n">
        <v>2.43</v>
      </c>
      <c r="G2751" s="0" t="n">
        <v>14887</v>
      </c>
      <c r="H2751" s="3" t="s">
        <v>14</v>
      </c>
      <c r="I2751" s="4" t="n">
        <f aca="false">D2751*F2751</f>
        <v>4.86</v>
      </c>
      <c r="J2751" s="3" t="n">
        <f aca="false">IF(AND(LEFT(A2751,1)&lt;&gt;"C",D2751&gt;0,F2751&gt;0),1,0)</f>
        <v>1</v>
      </c>
      <c r="K2751" s="3" t="n">
        <f aca="false">IF(AND(H2751="United Kingdom",G2751&lt;&gt;"",COUNTIFS($G$2:G2751,G2751,$H$2:H2751,"United Kingdom")=1),1,0)</f>
        <v>0</v>
      </c>
    </row>
    <row r="2752" customFormat="false" ht="15" hidden="false" customHeight="false" outlineLevel="0" collapsed="false">
      <c r="A2752" s="0" t="s">
        <v>595</v>
      </c>
      <c r="B2752" s="0" t="s">
        <v>72</v>
      </c>
      <c r="C2752" s="0" t="s">
        <v>73</v>
      </c>
      <c r="D2752" s="0" t="n">
        <v>6</v>
      </c>
      <c r="E2752" s="2" t="n">
        <v>40802.5319444445</v>
      </c>
      <c r="F2752" s="0" t="n">
        <v>2.69</v>
      </c>
      <c r="G2752" s="0" t="n">
        <v>14887</v>
      </c>
      <c r="H2752" s="3" t="s">
        <v>14</v>
      </c>
      <c r="I2752" s="4" t="n">
        <f aca="false">D2752*F2752</f>
        <v>16.14</v>
      </c>
      <c r="J2752" s="3" t="n">
        <f aca="false">IF(AND(LEFT(A2752,1)&lt;&gt;"C",D2752&gt;0,F2752&gt;0),1,0)</f>
        <v>1</v>
      </c>
      <c r="K2752" s="3" t="n">
        <f aca="false">IF(AND(H2752="United Kingdom",G2752&lt;&gt;"",COUNTIFS($G$2:G2752,G2752,$H$2:H2752,"United Kingdom")=1),1,0)</f>
        <v>0</v>
      </c>
    </row>
    <row r="2753" customFormat="false" ht="15" hidden="false" customHeight="false" outlineLevel="0" collapsed="false">
      <c r="A2753" s="0" t="s">
        <v>595</v>
      </c>
      <c r="B2753" s="0" t="s">
        <v>113</v>
      </c>
      <c r="C2753" s="0" t="s">
        <v>114</v>
      </c>
      <c r="D2753" s="0" t="n">
        <v>12</v>
      </c>
      <c r="E2753" s="2" t="n">
        <v>40802.5319444445</v>
      </c>
      <c r="F2753" s="0" t="n">
        <v>3.57</v>
      </c>
      <c r="G2753" s="0" t="n">
        <v>14887</v>
      </c>
      <c r="H2753" s="3" t="s">
        <v>14</v>
      </c>
      <c r="I2753" s="4" t="n">
        <f aca="false">D2753*F2753</f>
        <v>42.84</v>
      </c>
      <c r="J2753" s="3" t="n">
        <f aca="false">IF(AND(LEFT(A2753,1)&lt;&gt;"C",D2753&gt;0,F2753&gt;0),1,0)</f>
        <v>1</v>
      </c>
      <c r="K2753" s="3" t="n">
        <f aca="false">IF(AND(H2753="United Kingdom",G2753&lt;&gt;"",COUNTIFS($G$2:G2753,G2753,$H$2:H2753,"United Kingdom")=1),1,0)</f>
        <v>0</v>
      </c>
    </row>
    <row r="2754" customFormat="false" ht="15" hidden="false" customHeight="false" outlineLevel="0" collapsed="false">
      <c r="A2754" s="0" t="s">
        <v>596</v>
      </c>
      <c r="B2754" s="0" t="s">
        <v>90</v>
      </c>
      <c r="C2754" s="0" t="s">
        <v>91</v>
      </c>
      <c r="D2754" s="0" t="n">
        <v>12</v>
      </c>
      <c r="E2754" s="2" t="n">
        <v>40802.6826388889</v>
      </c>
      <c r="F2754" s="0" t="n">
        <v>3.04</v>
      </c>
      <c r="G2754" s="0" t="n">
        <v>17203</v>
      </c>
      <c r="H2754" s="3" t="s">
        <v>14</v>
      </c>
      <c r="I2754" s="4" t="n">
        <f aca="false">D2754*F2754</f>
        <v>36.48</v>
      </c>
      <c r="J2754" s="3" t="n">
        <f aca="false">IF(AND(LEFT(A2754,1)&lt;&gt;"C",D2754&gt;0,F2754&gt;0),1,0)</f>
        <v>1</v>
      </c>
      <c r="K2754" s="3" t="n">
        <f aca="false">IF(AND(H2754="United Kingdom",G2754&lt;&gt;"",COUNTIFS($G$2:G2754,G2754,$H$2:H2754,"United Kingdom")=1),1,0)</f>
        <v>0</v>
      </c>
    </row>
    <row r="2755" customFormat="false" ht="15" hidden="false" customHeight="false" outlineLevel="0" collapsed="false">
      <c r="A2755" s="0" t="s">
        <v>596</v>
      </c>
      <c r="B2755" s="0" t="s">
        <v>50</v>
      </c>
      <c r="C2755" s="0" t="s">
        <v>51</v>
      </c>
      <c r="D2755" s="0" t="n">
        <v>2</v>
      </c>
      <c r="E2755" s="2" t="n">
        <v>40802.6826388889</v>
      </c>
      <c r="F2755" s="0" t="n">
        <v>5.41</v>
      </c>
      <c r="G2755" s="0" t="n">
        <v>17203</v>
      </c>
      <c r="H2755" s="3" t="s">
        <v>14</v>
      </c>
      <c r="I2755" s="4" t="n">
        <f aca="false">D2755*F2755</f>
        <v>10.82</v>
      </c>
      <c r="J2755" s="3" t="n">
        <f aca="false">IF(AND(LEFT(A2755,1)&lt;&gt;"C",D2755&gt;0,F2755&gt;0),1,0)</f>
        <v>1</v>
      </c>
      <c r="K2755" s="3" t="n">
        <f aca="false">IF(AND(H2755="United Kingdom",G2755&lt;&gt;"",COUNTIFS($G$2:G2755,G2755,$H$2:H2755,"United Kingdom")=1),1,0)</f>
        <v>0</v>
      </c>
    </row>
    <row r="2756" customFormat="false" ht="15" hidden="false" customHeight="false" outlineLevel="0" collapsed="false">
      <c r="A2756" s="0" t="s">
        <v>596</v>
      </c>
      <c r="B2756" s="0" t="s">
        <v>20</v>
      </c>
      <c r="C2756" s="0" t="s">
        <v>21</v>
      </c>
      <c r="D2756" s="0" t="n">
        <v>6</v>
      </c>
      <c r="E2756" s="2" t="n">
        <v>40802.6826388889</v>
      </c>
      <c r="F2756" s="0" t="n">
        <v>4.24</v>
      </c>
      <c r="G2756" s="0" t="n">
        <v>17203</v>
      </c>
      <c r="H2756" s="3" t="s">
        <v>14</v>
      </c>
      <c r="I2756" s="4" t="n">
        <f aca="false">D2756*F2756</f>
        <v>25.44</v>
      </c>
      <c r="J2756" s="3" t="n">
        <f aca="false">IF(AND(LEFT(A2756,1)&lt;&gt;"C",D2756&gt;0,F2756&gt;0),1,0)</f>
        <v>1</v>
      </c>
      <c r="K2756" s="3" t="n">
        <f aca="false">IF(AND(H2756="United Kingdom",G2756&lt;&gt;"",COUNTIFS($G$2:G2756,G2756,$H$2:H2756,"United Kingdom")=1),1,0)</f>
        <v>0</v>
      </c>
    </row>
    <row r="2757" customFormat="false" ht="15" hidden="false" customHeight="false" outlineLevel="0" collapsed="false">
      <c r="A2757" s="0" t="s">
        <v>596</v>
      </c>
      <c r="B2757" s="0" t="s">
        <v>68</v>
      </c>
      <c r="C2757" s="0" t="s">
        <v>69</v>
      </c>
      <c r="D2757" s="0" t="n">
        <v>24</v>
      </c>
      <c r="E2757" s="2" t="n">
        <v>40802.6826388889</v>
      </c>
      <c r="F2757" s="0" t="n">
        <v>1.26</v>
      </c>
      <c r="G2757" s="0" t="n">
        <v>17203</v>
      </c>
      <c r="H2757" s="3" t="s">
        <v>14</v>
      </c>
      <c r="I2757" s="4" t="n">
        <f aca="false">D2757*F2757</f>
        <v>30.24</v>
      </c>
      <c r="J2757" s="3" t="n">
        <f aca="false">IF(AND(LEFT(A2757,1)&lt;&gt;"C",D2757&gt;0,F2757&gt;0),1,0)</f>
        <v>1</v>
      </c>
      <c r="K2757" s="3" t="n">
        <f aca="false">IF(AND(H2757="United Kingdom",G2757&lt;&gt;"",COUNTIFS($G$2:G2757,G2757,$H$2:H2757,"United Kingdom")=1),1,0)</f>
        <v>0</v>
      </c>
    </row>
    <row r="2758" customFormat="false" ht="15" hidden="false" customHeight="false" outlineLevel="0" collapsed="false">
      <c r="A2758" s="0" t="s">
        <v>596</v>
      </c>
      <c r="B2758" s="0" t="s">
        <v>80</v>
      </c>
      <c r="C2758" s="0" t="s">
        <v>81</v>
      </c>
      <c r="D2758" s="0" t="n">
        <v>8</v>
      </c>
      <c r="E2758" s="2" t="n">
        <v>40802.6826388889</v>
      </c>
      <c r="F2758" s="0" t="n">
        <v>1.53</v>
      </c>
      <c r="G2758" s="0" t="n">
        <v>17203</v>
      </c>
      <c r="H2758" s="3" t="s">
        <v>14</v>
      </c>
      <c r="I2758" s="4" t="n">
        <f aca="false">D2758*F2758</f>
        <v>12.24</v>
      </c>
      <c r="J2758" s="3" t="n">
        <f aca="false">IF(AND(LEFT(A2758,1)&lt;&gt;"C",D2758&gt;0,F2758&gt;0),1,0)</f>
        <v>1</v>
      </c>
      <c r="K2758" s="3" t="n">
        <f aca="false">IF(AND(H2758="United Kingdom",G2758&lt;&gt;"",COUNTIFS($G$2:G2758,G2758,$H$2:H2758,"United Kingdom")=1),1,0)</f>
        <v>0</v>
      </c>
    </row>
    <row r="2759" customFormat="false" ht="15" hidden="false" customHeight="false" outlineLevel="0" collapsed="false">
      <c r="A2759" s="0" t="s">
        <v>597</v>
      </c>
      <c r="B2759" s="0" t="s">
        <v>113</v>
      </c>
      <c r="C2759" s="0" t="s">
        <v>114</v>
      </c>
      <c r="D2759" s="0" t="n">
        <v>3</v>
      </c>
      <c r="E2759" s="2" t="n">
        <v>40803.7597222222</v>
      </c>
      <c r="F2759" s="0" t="n">
        <v>3.57</v>
      </c>
      <c r="G2759" s="0" t="n">
        <v>16261</v>
      </c>
      <c r="H2759" s="3" t="s">
        <v>14</v>
      </c>
      <c r="I2759" s="4" t="n">
        <f aca="false">D2759*F2759</f>
        <v>10.71</v>
      </c>
      <c r="J2759" s="3" t="n">
        <f aca="false">IF(AND(LEFT(A2759,1)&lt;&gt;"C",D2759&gt;0,F2759&gt;0),1,0)</f>
        <v>1</v>
      </c>
      <c r="K2759" s="3" t="n">
        <f aca="false">IF(AND(H2759="United Kingdom",G2759&lt;&gt;"",COUNTIFS($G$2:G2759,G2759,$H$2:H2759,"United Kingdom")=1),1,0)</f>
        <v>0</v>
      </c>
    </row>
    <row r="2760" customFormat="false" ht="15" hidden="false" customHeight="false" outlineLevel="0" collapsed="false">
      <c r="A2760" s="0" t="s">
        <v>597</v>
      </c>
      <c r="B2760" s="0" t="s">
        <v>22</v>
      </c>
      <c r="C2760" s="0" t="s">
        <v>23</v>
      </c>
      <c r="D2760" s="0" t="n">
        <v>3</v>
      </c>
      <c r="E2760" s="2" t="n">
        <v>40803.7597222222</v>
      </c>
      <c r="F2760" s="0" t="n">
        <v>3.18</v>
      </c>
      <c r="G2760" s="0" t="n">
        <v>16261</v>
      </c>
      <c r="H2760" s="3" t="s">
        <v>14</v>
      </c>
      <c r="I2760" s="4" t="n">
        <f aca="false">D2760*F2760</f>
        <v>9.54</v>
      </c>
      <c r="J2760" s="3" t="n">
        <f aca="false">IF(AND(LEFT(A2760,1)&lt;&gt;"C",D2760&gt;0,F2760&gt;0),1,0)</f>
        <v>1</v>
      </c>
      <c r="K2760" s="3" t="n">
        <f aca="false">IF(AND(H2760="United Kingdom",G2760&lt;&gt;"",COUNTIFS($G$2:G2760,G2760,$H$2:H2760,"United Kingdom")=1),1,0)</f>
        <v>0</v>
      </c>
    </row>
    <row r="2761" customFormat="false" ht="15" hidden="false" customHeight="false" outlineLevel="0" collapsed="false">
      <c r="A2761" s="0" t="s">
        <v>597</v>
      </c>
      <c r="B2761" s="0" t="s">
        <v>54</v>
      </c>
      <c r="C2761" s="0" t="s">
        <v>55</v>
      </c>
      <c r="D2761" s="0" t="n">
        <v>4</v>
      </c>
      <c r="E2761" s="2" t="n">
        <v>40803.7597222222</v>
      </c>
      <c r="F2761" s="0" t="n">
        <v>0.99</v>
      </c>
      <c r="G2761" s="0" t="n">
        <v>16261</v>
      </c>
      <c r="H2761" s="3" t="s">
        <v>14</v>
      </c>
      <c r="I2761" s="4" t="n">
        <f aca="false">D2761*F2761</f>
        <v>3.96</v>
      </c>
      <c r="J2761" s="3" t="n">
        <f aca="false">IF(AND(LEFT(A2761,1)&lt;&gt;"C",D2761&gt;0,F2761&gt;0),1,0)</f>
        <v>1</v>
      </c>
      <c r="K2761" s="3" t="n">
        <f aca="false">IF(AND(H2761="United Kingdom",G2761&lt;&gt;"",COUNTIFS($G$2:G2761,G2761,$H$2:H2761,"United Kingdom")=1),1,0)</f>
        <v>0</v>
      </c>
    </row>
    <row r="2762" customFormat="false" ht="15" hidden="false" customHeight="false" outlineLevel="0" collapsed="false">
      <c r="A2762" s="0" t="s">
        <v>597</v>
      </c>
      <c r="B2762" s="0" t="s">
        <v>43</v>
      </c>
      <c r="C2762" s="0" t="s">
        <v>44</v>
      </c>
      <c r="D2762" s="0" t="n">
        <v>1</v>
      </c>
      <c r="E2762" s="2" t="n">
        <v>40803.7597222222</v>
      </c>
      <c r="F2762" s="0" t="n">
        <v>1.35</v>
      </c>
      <c r="G2762" s="0" t="n">
        <v>16261</v>
      </c>
      <c r="H2762" s="3" t="s">
        <v>14</v>
      </c>
      <c r="I2762" s="4" t="n">
        <f aca="false">D2762*F2762</f>
        <v>1.35</v>
      </c>
      <c r="J2762" s="3" t="n">
        <f aca="false">IF(AND(LEFT(A2762,1)&lt;&gt;"C",D2762&gt;0,F2762&gt;0),1,0)</f>
        <v>1</v>
      </c>
      <c r="K2762" s="3" t="n">
        <f aca="false">IF(AND(H2762="United Kingdom",G2762&lt;&gt;"",COUNTIFS($G$2:G2762,G2762,$H$2:H2762,"United Kingdom")=1),1,0)</f>
        <v>0</v>
      </c>
    </row>
    <row r="2763" customFormat="false" ht="15" hidden="false" customHeight="false" outlineLevel="0" collapsed="false">
      <c r="A2763" s="0" t="s">
        <v>597</v>
      </c>
      <c r="B2763" s="0" t="s">
        <v>80</v>
      </c>
      <c r="C2763" s="0" t="s">
        <v>81</v>
      </c>
      <c r="D2763" s="0" t="n">
        <v>16</v>
      </c>
      <c r="E2763" s="2" t="n">
        <v>40803.7597222222</v>
      </c>
      <c r="F2763" s="0" t="n">
        <v>1.53</v>
      </c>
      <c r="G2763" s="0" t="n">
        <v>16261</v>
      </c>
      <c r="H2763" s="3" t="s">
        <v>14</v>
      </c>
      <c r="I2763" s="4" t="n">
        <f aca="false">D2763*F2763</f>
        <v>24.48</v>
      </c>
      <c r="J2763" s="3" t="n">
        <f aca="false">IF(AND(LEFT(A2763,1)&lt;&gt;"C",D2763&gt;0,F2763&gt;0),1,0)</f>
        <v>1</v>
      </c>
      <c r="K2763" s="3" t="n">
        <f aca="false">IF(AND(H2763="United Kingdom",G2763&lt;&gt;"",COUNTIFS($G$2:G2763,G2763,$H$2:H2763,"United Kingdom")=1),1,0)</f>
        <v>0</v>
      </c>
    </row>
    <row r="2764" customFormat="false" ht="15" hidden="false" customHeight="false" outlineLevel="0" collapsed="false">
      <c r="A2764" s="0" t="s">
        <v>598</v>
      </c>
      <c r="B2764" s="0" t="s">
        <v>54</v>
      </c>
      <c r="C2764" s="0" t="s">
        <v>55</v>
      </c>
      <c r="D2764" s="0" t="n">
        <v>2</v>
      </c>
      <c r="E2764" s="2" t="n">
        <v>40803.8284722222</v>
      </c>
      <c r="F2764" s="0" t="n">
        <v>0.99</v>
      </c>
      <c r="G2764" s="0" t="n">
        <v>18211</v>
      </c>
      <c r="H2764" s="3" t="s">
        <v>14</v>
      </c>
      <c r="I2764" s="4" t="n">
        <f aca="false">D2764*F2764</f>
        <v>1.98</v>
      </c>
      <c r="J2764" s="3" t="n">
        <f aca="false">IF(AND(LEFT(A2764,1)&lt;&gt;"C",D2764&gt;0,F2764&gt;0),1,0)</f>
        <v>1</v>
      </c>
      <c r="K2764" s="3" t="n">
        <f aca="false">IF(AND(H2764="United Kingdom",G2764&lt;&gt;"",COUNTIFS($G$2:G2764,G2764,$H$2:H2764,"United Kingdom")=1),1,0)</f>
        <v>0</v>
      </c>
    </row>
    <row r="2765" customFormat="false" ht="15" hidden="false" customHeight="false" outlineLevel="0" collapsed="false">
      <c r="A2765" s="0" t="s">
        <v>598</v>
      </c>
      <c r="B2765" s="0" t="s">
        <v>68</v>
      </c>
      <c r="C2765" s="0" t="s">
        <v>69</v>
      </c>
      <c r="D2765" s="0" t="n">
        <v>16</v>
      </c>
      <c r="E2765" s="2" t="n">
        <v>40803.8284722222</v>
      </c>
      <c r="F2765" s="0" t="n">
        <v>1.26</v>
      </c>
      <c r="G2765" s="0" t="n">
        <v>18211</v>
      </c>
      <c r="H2765" s="3" t="s">
        <v>14</v>
      </c>
      <c r="I2765" s="4" t="n">
        <f aca="false">D2765*F2765</f>
        <v>20.16</v>
      </c>
      <c r="J2765" s="3" t="n">
        <f aca="false">IF(AND(LEFT(A2765,1)&lt;&gt;"C",D2765&gt;0,F2765&gt;0),1,0)</f>
        <v>1</v>
      </c>
      <c r="K2765" s="3" t="n">
        <f aca="false">IF(AND(H2765="United Kingdom",G2765&lt;&gt;"",COUNTIFS($G$2:G2765,G2765,$H$2:H2765,"United Kingdom")=1),1,0)</f>
        <v>0</v>
      </c>
    </row>
    <row r="2766" customFormat="false" ht="15" hidden="false" customHeight="false" outlineLevel="0" collapsed="false">
      <c r="A2766" s="0" t="s">
        <v>599</v>
      </c>
      <c r="B2766" s="0" t="s">
        <v>29</v>
      </c>
      <c r="C2766" s="0" t="s">
        <v>30</v>
      </c>
      <c r="D2766" s="0" t="n">
        <v>36</v>
      </c>
      <c r="E2766" s="2" t="n">
        <v>40804.4013888889</v>
      </c>
      <c r="F2766" s="0" t="n">
        <v>5.79</v>
      </c>
      <c r="G2766" s="0" t="n">
        <v>14001</v>
      </c>
      <c r="H2766" s="3" t="s">
        <v>14</v>
      </c>
      <c r="I2766" s="4" t="n">
        <f aca="false">D2766*F2766</f>
        <v>208.44</v>
      </c>
      <c r="J2766" s="3" t="n">
        <f aca="false">IF(AND(LEFT(A2766,1)&lt;&gt;"C",D2766&gt;0,F2766&gt;0),1,0)</f>
        <v>1</v>
      </c>
      <c r="K2766" s="3" t="n">
        <f aca="false">IF(AND(H2766="United Kingdom",G2766&lt;&gt;"",COUNTIFS($G$2:G2766,G2766,$H$2:H2766,"United Kingdom")=1),1,0)</f>
        <v>0</v>
      </c>
    </row>
    <row r="2767" customFormat="false" ht="15" hidden="false" customHeight="false" outlineLevel="0" collapsed="false">
      <c r="A2767" s="0" t="s">
        <v>599</v>
      </c>
      <c r="B2767" s="0" t="s">
        <v>60</v>
      </c>
      <c r="C2767" s="0" t="s">
        <v>61</v>
      </c>
      <c r="D2767" s="0" t="n">
        <v>288</v>
      </c>
      <c r="E2767" s="2" t="n">
        <v>40804.4013888889</v>
      </c>
      <c r="F2767" s="0" t="n">
        <v>0.63</v>
      </c>
      <c r="G2767" s="0" t="n">
        <v>14001</v>
      </c>
      <c r="H2767" s="3" t="s">
        <v>14</v>
      </c>
      <c r="I2767" s="4" t="n">
        <f aca="false">D2767*F2767</f>
        <v>181.44</v>
      </c>
      <c r="J2767" s="3" t="n">
        <f aca="false">IF(AND(LEFT(A2767,1)&lt;&gt;"C",D2767&gt;0,F2767&gt;0),1,0)</f>
        <v>1</v>
      </c>
      <c r="K2767" s="3" t="n">
        <f aca="false">IF(AND(H2767="United Kingdom",G2767&lt;&gt;"",COUNTIFS($G$2:G2767,G2767,$H$2:H2767,"United Kingdom")=1),1,0)</f>
        <v>0</v>
      </c>
    </row>
    <row r="2768" customFormat="false" ht="15" hidden="false" customHeight="false" outlineLevel="0" collapsed="false">
      <c r="A2768" s="0" t="s">
        <v>599</v>
      </c>
      <c r="B2768" s="0" t="s">
        <v>32</v>
      </c>
      <c r="C2768" s="0" t="s">
        <v>33</v>
      </c>
      <c r="D2768" s="0" t="n">
        <v>18</v>
      </c>
      <c r="E2768" s="2" t="n">
        <v>40804.4013888889</v>
      </c>
      <c r="F2768" s="0" t="n">
        <v>1.19</v>
      </c>
      <c r="G2768" s="0" t="n">
        <v>14001</v>
      </c>
      <c r="H2768" s="3" t="s">
        <v>14</v>
      </c>
      <c r="I2768" s="4" t="n">
        <f aca="false">D2768*F2768</f>
        <v>21.42</v>
      </c>
      <c r="J2768" s="3" t="n">
        <f aca="false">IF(AND(LEFT(A2768,1)&lt;&gt;"C",D2768&gt;0,F2768&gt;0),1,0)</f>
        <v>1</v>
      </c>
      <c r="K2768" s="3" t="n">
        <f aca="false">IF(AND(H2768="United Kingdom",G2768&lt;&gt;"",COUNTIFS($G$2:G2768,G2768,$H$2:H2768,"United Kingdom")=1),1,0)</f>
        <v>0</v>
      </c>
    </row>
    <row r="2769" customFormat="false" ht="15" hidden="false" customHeight="false" outlineLevel="0" collapsed="false">
      <c r="A2769" s="0" t="s">
        <v>599</v>
      </c>
      <c r="B2769" s="0" t="s">
        <v>77</v>
      </c>
      <c r="C2769" s="0" t="s">
        <v>78</v>
      </c>
      <c r="D2769" s="0" t="n">
        <v>36</v>
      </c>
      <c r="E2769" s="2" t="n">
        <v>40804.4013888889</v>
      </c>
      <c r="F2769" s="0" t="n">
        <v>3.41</v>
      </c>
      <c r="G2769" s="0" t="n">
        <v>14001</v>
      </c>
      <c r="H2769" s="3" t="s">
        <v>14</v>
      </c>
      <c r="I2769" s="4" t="n">
        <f aca="false">D2769*F2769</f>
        <v>122.76</v>
      </c>
      <c r="J2769" s="3" t="n">
        <f aca="false">IF(AND(LEFT(A2769,1)&lt;&gt;"C",D2769&gt;0,F2769&gt;0),1,0)</f>
        <v>1</v>
      </c>
      <c r="K2769" s="3" t="n">
        <f aca="false">IF(AND(H2769="United Kingdom",G2769&lt;&gt;"",COUNTIFS($G$2:G2769,G2769,$H$2:H2769,"United Kingdom")=1),1,0)</f>
        <v>0</v>
      </c>
    </row>
    <row r="2770" customFormat="false" ht="15" hidden="false" customHeight="false" outlineLevel="0" collapsed="false">
      <c r="A2770" s="0" t="s">
        <v>599</v>
      </c>
      <c r="B2770" s="0" t="s">
        <v>65</v>
      </c>
      <c r="C2770" s="0" t="s">
        <v>66</v>
      </c>
      <c r="D2770" s="0" t="n">
        <v>36</v>
      </c>
      <c r="E2770" s="2" t="n">
        <v>40804.4013888889</v>
      </c>
      <c r="F2770" s="0" t="n">
        <v>4.75</v>
      </c>
      <c r="G2770" s="0" t="n">
        <v>14001</v>
      </c>
      <c r="H2770" s="3" t="s">
        <v>14</v>
      </c>
      <c r="I2770" s="4" t="n">
        <f aca="false">D2770*F2770</f>
        <v>171</v>
      </c>
      <c r="J2770" s="3" t="n">
        <f aca="false">IF(AND(LEFT(A2770,1)&lt;&gt;"C",D2770&gt;0,F2770&gt;0),1,0)</f>
        <v>1</v>
      </c>
      <c r="K2770" s="3" t="n">
        <f aca="false">IF(AND(H2770="United Kingdom",G2770&lt;&gt;"",COUNTIFS($G$2:G2770,G2770,$H$2:H2770,"United Kingdom")=1),1,0)</f>
        <v>0</v>
      </c>
    </row>
    <row r="2771" customFormat="false" ht="15" hidden="false" customHeight="false" outlineLevel="0" collapsed="false">
      <c r="A2771" s="0" t="s">
        <v>599</v>
      </c>
      <c r="B2771" s="0" t="s">
        <v>17</v>
      </c>
      <c r="C2771" s="0" t="s">
        <v>18</v>
      </c>
      <c r="D2771" s="0" t="n">
        <v>144</v>
      </c>
      <c r="E2771" s="2" t="n">
        <v>40804.4013888889</v>
      </c>
      <c r="F2771" s="0" t="n">
        <v>1.92</v>
      </c>
      <c r="G2771" s="0" t="n">
        <v>14001</v>
      </c>
      <c r="H2771" s="3" t="s">
        <v>14</v>
      </c>
      <c r="I2771" s="4" t="n">
        <f aca="false">D2771*F2771</f>
        <v>276.48</v>
      </c>
      <c r="J2771" s="3" t="n">
        <f aca="false">IF(AND(LEFT(A2771,1)&lt;&gt;"C",D2771&gt;0,F2771&gt;0),1,0)</f>
        <v>1</v>
      </c>
      <c r="K2771" s="3" t="n">
        <f aca="false">IF(AND(H2771="United Kingdom",G2771&lt;&gt;"",COUNTIFS($G$2:G2771,G2771,$H$2:H2771,"United Kingdom")=1),1,0)</f>
        <v>0</v>
      </c>
    </row>
    <row r="2772" customFormat="false" ht="15" hidden="false" customHeight="false" outlineLevel="0" collapsed="false">
      <c r="A2772" s="0" t="s">
        <v>599</v>
      </c>
      <c r="B2772" s="0" t="s">
        <v>63</v>
      </c>
      <c r="C2772" s="0" t="s">
        <v>64</v>
      </c>
      <c r="D2772" s="0" t="n">
        <v>288</v>
      </c>
      <c r="E2772" s="2" t="n">
        <v>40804.4013888889</v>
      </c>
      <c r="F2772" s="0" t="n">
        <v>2.43</v>
      </c>
      <c r="G2772" s="0" t="n">
        <v>14001</v>
      </c>
      <c r="H2772" s="3" t="s">
        <v>14</v>
      </c>
      <c r="I2772" s="4" t="n">
        <f aca="false">D2772*F2772</f>
        <v>699.84</v>
      </c>
      <c r="J2772" s="3" t="n">
        <f aca="false">IF(AND(LEFT(A2772,1)&lt;&gt;"C",D2772&gt;0,F2772&gt;0),1,0)</f>
        <v>1</v>
      </c>
      <c r="K2772" s="3" t="n">
        <f aca="false">IF(AND(H2772="United Kingdom",G2772&lt;&gt;"",COUNTIFS($G$2:G2772,G2772,$H$2:H2772,"United Kingdom")=1),1,0)</f>
        <v>0</v>
      </c>
    </row>
    <row r="2773" customFormat="false" ht="15" hidden="false" customHeight="false" outlineLevel="0" collapsed="false">
      <c r="A2773" s="0" t="s">
        <v>599</v>
      </c>
      <c r="B2773" s="0" t="s">
        <v>27</v>
      </c>
      <c r="C2773" s="0" t="s">
        <v>28</v>
      </c>
      <c r="D2773" s="0" t="n">
        <v>48</v>
      </c>
      <c r="E2773" s="2" t="n">
        <v>40804.4013888889</v>
      </c>
      <c r="F2773" s="0" t="n">
        <v>4.55</v>
      </c>
      <c r="G2773" s="0" t="n">
        <v>14001</v>
      </c>
      <c r="H2773" s="3" t="s">
        <v>14</v>
      </c>
      <c r="I2773" s="4" t="n">
        <f aca="false">D2773*F2773</f>
        <v>218.4</v>
      </c>
      <c r="J2773" s="3" t="n">
        <f aca="false">IF(AND(LEFT(A2773,1)&lt;&gt;"C",D2773&gt;0,F2773&gt;0),1,0)</f>
        <v>1</v>
      </c>
      <c r="K2773" s="3" t="n">
        <f aca="false">IF(AND(H2773="United Kingdom",G2773&lt;&gt;"",COUNTIFS($G$2:G2773,G2773,$H$2:H2773,"United Kingdom")=1),1,0)</f>
        <v>0</v>
      </c>
    </row>
    <row r="2774" customFormat="false" ht="15" hidden="false" customHeight="false" outlineLevel="0" collapsed="false">
      <c r="A2774" s="0" t="s">
        <v>599</v>
      </c>
      <c r="B2774" s="0" t="s">
        <v>12</v>
      </c>
      <c r="C2774" s="0" t="s">
        <v>13</v>
      </c>
      <c r="D2774" s="0" t="n">
        <v>96</v>
      </c>
      <c r="E2774" s="2" t="n">
        <v>40804.4013888889</v>
      </c>
      <c r="F2774" s="0" t="n">
        <v>3.33</v>
      </c>
      <c r="G2774" s="0" t="n">
        <v>14001</v>
      </c>
      <c r="H2774" s="3" t="s">
        <v>14</v>
      </c>
      <c r="I2774" s="4" t="n">
        <f aca="false">D2774*F2774</f>
        <v>319.68</v>
      </c>
      <c r="J2774" s="3" t="n">
        <f aca="false">IF(AND(LEFT(A2774,1)&lt;&gt;"C",D2774&gt;0,F2774&gt;0),1,0)</f>
        <v>1</v>
      </c>
      <c r="K2774" s="3" t="n">
        <f aca="false">IF(AND(H2774="United Kingdom",G2774&lt;&gt;"",COUNTIFS($G$2:G2774,G2774,$H$2:H2774,"United Kingdom")=1),1,0)</f>
        <v>0</v>
      </c>
    </row>
    <row r="2775" customFormat="false" ht="15" hidden="false" customHeight="false" outlineLevel="0" collapsed="false">
      <c r="A2775" s="0" t="s">
        <v>599</v>
      </c>
      <c r="B2775" s="0" t="s">
        <v>34</v>
      </c>
      <c r="C2775" s="0" t="s">
        <v>35</v>
      </c>
      <c r="D2775" s="0" t="n">
        <v>12</v>
      </c>
      <c r="E2775" s="2" t="n">
        <v>40804.4013888889</v>
      </c>
      <c r="F2775" s="0" t="n">
        <v>2.38</v>
      </c>
      <c r="G2775" s="0" t="n">
        <v>14001</v>
      </c>
      <c r="H2775" s="3" t="s">
        <v>14</v>
      </c>
      <c r="I2775" s="4" t="n">
        <f aca="false">D2775*F2775</f>
        <v>28.56</v>
      </c>
      <c r="J2775" s="3" t="n">
        <f aca="false">IF(AND(LEFT(A2775,1)&lt;&gt;"C",D2775&gt;0,F2775&gt;0),1,0)</f>
        <v>1</v>
      </c>
      <c r="K2775" s="3" t="n">
        <f aca="false">IF(AND(H2775="United Kingdom",G2775&lt;&gt;"",COUNTIFS($G$2:G2775,G2775,$H$2:H2775,"United Kingdom")=1),1,0)</f>
        <v>0</v>
      </c>
    </row>
    <row r="2776" customFormat="false" ht="15" hidden="false" customHeight="false" outlineLevel="0" collapsed="false">
      <c r="A2776" s="0" t="s">
        <v>599</v>
      </c>
      <c r="B2776" s="0" t="s">
        <v>75</v>
      </c>
      <c r="C2776" s="0" t="s">
        <v>76</v>
      </c>
      <c r="D2776" s="0" t="n">
        <v>288</v>
      </c>
      <c r="E2776" s="2" t="n">
        <v>40804.4013888889</v>
      </c>
      <c r="F2776" s="0" t="n">
        <v>1.97</v>
      </c>
      <c r="G2776" s="0" t="n">
        <v>14001</v>
      </c>
      <c r="H2776" s="3" t="s">
        <v>14</v>
      </c>
      <c r="I2776" s="4" t="n">
        <f aca="false">D2776*F2776</f>
        <v>567.36</v>
      </c>
      <c r="J2776" s="3" t="n">
        <f aca="false">IF(AND(LEFT(A2776,1)&lt;&gt;"C",D2776&gt;0,F2776&gt;0),1,0)</f>
        <v>1</v>
      </c>
      <c r="K2776" s="3" t="n">
        <f aca="false">IF(AND(H2776="United Kingdom",G2776&lt;&gt;"",COUNTIFS($G$2:G2776,G2776,$H$2:H2776,"United Kingdom")=1),1,0)</f>
        <v>0</v>
      </c>
    </row>
    <row r="2777" customFormat="false" ht="15" hidden="false" customHeight="false" outlineLevel="0" collapsed="false">
      <c r="A2777" s="0" t="s">
        <v>599</v>
      </c>
      <c r="B2777" s="0" t="s">
        <v>90</v>
      </c>
      <c r="C2777" s="0" t="s">
        <v>91</v>
      </c>
      <c r="D2777" s="0" t="n">
        <v>36</v>
      </c>
      <c r="E2777" s="2" t="n">
        <v>40804.4013888889</v>
      </c>
      <c r="F2777" s="0" t="n">
        <v>3.04</v>
      </c>
      <c r="G2777" s="0" t="n">
        <v>14001</v>
      </c>
      <c r="H2777" s="3" t="s">
        <v>14</v>
      </c>
      <c r="I2777" s="4" t="n">
        <f aca="false">D2777*F2777</f>
        <v>109.44</v>
      </c>
      <c r="J2777" s="3" t="n">
        <f aca="false">IF(AND(LEFT(A2777,1)&lt;&gt;"C",D2777&gt;0,F2777&gt;0),1,0)</f>
        <v>1</v>
      </c>
      <c r="K2777" s="3" t="n">
        <f aca="false">IF(AND(H2777="United Kingdom",G2777&lt;&gt;"",COUNTIFS($G$2:G2777,G2777,$H$2:H2777,"United Kingdom")=1),1,0)</f>
        <v>0</v>
      </c>
    </row>
    <row r="2778" customFormat="false" ht="15" hidden="false" customHeight="false" outlineLevel="0" collapsed="false">
      <c r="A2778" s="0" t="s">
        <v>599</v>
      </c>
      <c r="B2778" s="0" t="s">
        <v>45</v>
      </c>
      <c r="C2778" s="0" t="s">
        <v>46</v>
      </c>
      <c r="D2778" s="0" t="n">
        <v>48</v>
      </c>
      <c r="E2778" s="2" t="n">
        <v>40804.4013888889</v>
      </c>
      <c r="F2778" s="0" t="n">
        <v>4.55</v>
      </c>
      <c r="G2778" s="0" t="n">
        <v>14001</v>
      </c>
      <c r="H2778" s="3" t="s">
        <v>14</v>
      </c>
      <c r="I2778" s="4" t="n">
        <f aca="false">D2778*F2778</f>
        <v>218.4</v>
      </c>
      <c r="J2778" s="3" t="n">
        <f aca="false">IF(AND(LEFT(A2778,1)&lt;&gt;"C",D2778&gt;0,F2778&gt;0),1,0)</f>
        <v>1</v>
      </c>
      <c r="K2778" s="3" t="n">
        <f aca="false">IF(AND(H2778="United Kingdom",G2778&lt;&gt;"",COUNTIFS($G$2:G2778,G2778,$H$2:H2778,"United Kingdom")=1),1,0)</f>
        <v>0</v>
      </c>
    </row>
    <row r="2779" customFormat="false" ht="15" hidden="false" customHeight="false" outlineLevel="0" collapsed="false">
      <c r="A2779" s="0" t="s">
        <v>599</v>
      </c>
      <c r="B2779" s="0" t="s">
        <v>22</v>
      </c>
      <c r="C2779" s="0" t="s">
        <v>23</v>
      </c>
      <c r="D2779" s="0" t="n">
        <v>24</v>
      </c>
      <c r="E2779" s="2" t="n">
        <v>40804.4013888889</v>
      </c>
      <c r="F2779" s="0" t="n">
        <v>3.18</v>
      </c>
      <c r="G2779" s="0" t="n">
        <v>14001</v>
      </c>
      <c r="H2779" s="3" t="s">
        <v>14</v>
      </c>
      <c r="I2779" s="4" t="n">
        <f aca="false">D2779*F2779</f>
        <v>76.32</v>
      </c>
      <c r="J2779" s="3" t="n">
        <f aca="false">IF(AND(LEFT(A2779,1)&lt;&gt;"C",D2779&gt;0,F2779&gt;0),1,0)</f>
        <v>1</v>
      </c>
      <c r="K2779" s="3" t="n">
        <f aca="false">IF(AND(H2779="United Kingdom",G2779&lt;&gt;"",COUNTIFS($G$2:G2779,G2779,$H$2:H2779,"United Kingdom")=1),1,0)</f>
        <v>0</v>
      </c>
    </row>
    <row r="2780" customFormat="false" ht="15" hidden="false" customHeight="false" outlineLevel="0" collapsed="false">
      <c r="A2780" s="0" t="s">
        <v>599</v>
      </c>
      <c r="B2780" s="0" t="s">
        <v>48</v>
      </c>
      <c r="C2780" s="0" t="s">
        <v>49</v>
      </c>
      <c r="D2780" s="0" t="n">
        <v>48</v>
      </c>
      <c r="E2780" s="2" t="n">
        <v>40804.4013888889</v>
      </c>
      <c r="F2780" s="0" t="n">
        <v>1.35</v>
      </c>
      <c r="G2780" s="0" t="n">
        <v>14001</v>
      </c>
      <c r="H2780" s="3" t="s">
        <v>14</v>
      </c>
      <c r="I2780" s="4" t="n">
        <f aca="false">D2780*F2780</f>
        <v>64.8</v>
      </c>
      <c r="J2780" s="3" t="n">
        <f aca="false">IF(AND(LEFT(A2780,1)&lt;&gt;"C",D2780&gt;0,F2780&gt;0),1,0)</f>
        <v>1</v>
      </c>
      <c r="K2780" s="3" t="n">
        <f aca="false">IF(AND(H2780="United Kingdom",G2780&lt;&gt;"",COUNTIFS($G$2:G2780,G2780,$H$2:H2780,"United Kingdom")=1),1,0)</f>
        <v>0</v>
      </c>
    </row>
    <row r="2781" customFormat="false" ht="15" hidden="false" customHeight="false" outlineLevel="0" collapsed="false">
      <c r="A2781" s="0" t="s">
        <v>599</v>
      </c>
      <c r="B2781" s="0" t="s">
        <v>54</v>
      </c>
      <c r="C2781" s="0" t="s">
        <v>55</v>
      </c>
      <c r="D2781" s="0" t="n">
        <v>12</v>
      </c>
      <c r="E2781" s="2" t="n">
        <v>40804.4013888889</v>
      </c>
      <c r="F2781" s="0" t="n">
        <v>0.99</v>
      </c>
      <c r="G2781" s="0" t="n">
        <v>14001</v>
      </c>
      <c r="H2781" s="3" t="s">
        <v>14</v>
      </c>
      <c r="I2781" s="4" t="n">
        <f aca="false">D2781*F2781</f>
        <v>11.88</v>
      </c>
      <c r="J2781" s="3" t="n">
        <f aca="false">IF(AND(LEFT(A2781,1)&lt;&gt;"C",D2781&gt;0,F2781&gt;0),1,0)</f>
        <v>1</v>
      </c>
      <c r="K2781" s="3" t="n">
        <f aca="false">IF(AND(H2781="United Kingdom",G2781&lt;&gt;"",COUNTIFS($G$2:G2781,G2781,$H$2:H2781,"United Kingdom")=1),1,0)</f>
        <v>0</v>
      </c>
    </row>
    <row r="2782" customFormat="false" ht="15" hidden="false" customHeight="false" outlineLevel="0" collapsed="false">
      <c r="A2782" s="0" t="s">
        <v>599</v>
      </c>
      <c r="B2782" s="0" t="s">
        <v>37</v>
      </c>
      <c r="C2782" s="0" t="s">
        <v>38</v>
      </c>
      <c r="D2782" s="0" t="n">
        <v>432</v>
      </c>
      <c r="E2782" s="2" t="n">
        <v>40804.4013888889</v>
      </c>
      <c r="F2782" s="0" t="n">
        <v>1.82</v>
      </c>
      <c r="G2782" s="0" t="n">
        <v>14001</v>
      </c>
      <c r="H2782" s="3" t="s">
        <v>14</v>
      </c>
      <c r="I2782" s="4" t="n">
        <f aca="false">D2782*F2782</f>
        <v>786.24</v>
      </c>
      <c r="J2782" s="3" t="n">
        <f aca="false">IF(AND(LEFT(A2782,1)&lt;&gt;"C",D2782&gt;0,F2782&gt;0),1,0)</f>
        <v>1</v>
      </c>
      <c r="K2782" s="3" t="n">
        <f aca="false">IF(AND(H2782="United Kingdom",G2782&lt;&gt;"",COUNTIFS($G$2:G2782,G2782,$H$2:H2782,"United Kingdom")=1),1,0)</f>
        <v>0</v>
      </c>
    </row>
    <row r="2783" customFormat="false" ht="15" hidden="false" customHeight="false" outlineLevel="0" collapsed="false">
      <c r="A2783" s="0" t="s">
        <v>599</v>
      </c>
      <c r="B2783" s="0" t="s">
        <v>39</v>
      </c>
      <c r="C2783" s="0" t="s">
        <v>40</v>
      </c>
      <c r="D2783" s="0" t="n">
        <v>24</v>
      </c>
      <c r="E2783" s="2" t="n">
        <v>40804.4013888889</v>
      </c>
      <c r="F2783" s="0" t="n">
        <v>2.58</v>
      </c>
      <c r="G2783" s="0" t="n">
        <v>14001</v>
      </c>
      <c r="H2783" s="3" t="s">
        <v>14</v>
      </c>
      <c r="I2783" s="4" t="n">
        <f aca="false">D2783*F2783</f>
        <v>61.92</v>
      </c>
      <c r="J2783" s="3" t="n">
        <f aca="false">IF(AND(LEFT(A2783,1)&lt;&gt;"C",D2783&gt;0,F2783&gt;0),1,0)</f>
        <v>1</v>
      </c>
      <c r="K2783" s="3" t="n">
        <f aca="false">IF(AND(H2783="United Kingdom",G2783&lt;&gt;"",COUNTIFS($G$2:G2783,G2783,$H$2:H2783,"United Kingdom")=1),1,0)</f>
        <v>0</v>
      </c>
    </row>
    <row r="2784" customFormat="false" ht="15" hidden="false" customHeight="false" outlineLevel="0" collapsed="false">
      <c r="A2784" s="0" t="s">
        <v>599</v>
      </c>
      <c r="B2784" s="0" t="s">
        <v>43</v>
      </c>
      <c r="C2784" s="0" t="s">
        <v>44</v>
      </c>
      <c r="D2784" s="0" t="n">
        <v>48</v>
      </c>
      <c r="E2784" s="2" t="n">
        <v>40804.4013888889</v>
      </c>
      <c r="F2784" s="0" t="n">
        <v>1.35</v>
      </c>
      <c r="G2784" s="0" t="n">
        <v>14001</v>
      </c>
      <c r="H2784" s="3" t="s">
        <v>14</v>
      </c>
      <c r="I2784" s="4" t="n">
        <f aca="false">D2784*F2784</f>
        <v>64.8</v>
      </c>
      <c r="J2784" s="3" t="n">
        <f aca="false">IF(AND(LEFT(A2784,1)&lt;&gt;"C",D2784&gt;0,F2784&gt;0),1,0)</f>
        <v>1</v>
      </c>
      <c r="K2784" s="3" t="n">
        <f aca="false">IF(AND(H2784="United Kingdom",G2784&lt;&gt;"",COUNTIFS($G$2:G2784,G2784,$H$2:H2784,"United Kingdom")=1),1,0)</f>
        <v>0</v>
      </c>
    </row>
    <row r="2785" customFormat="false" ht="15" hidden="false" customHeight="false" outlineLevel="0" collapsed="false">
      <c r="A2785" s="0" t="s">
        <v>600</v>
      </c>
      <c r="B2785" s="0" t="s">
        <v>15</v>
      </c>
      <c r="C2785" s="0" t="s">
        <v>16</v>
      </c>
      <c r="D2785" s="0" t="n">
        <v>2</v>
      </c>
      <c r="E2785" s="2" t="n">
        <v>40804.8270833333</v>
      </c>
      <c r="F2785" s="0" t="n">
        <v>3.18</v>
      </c>
      <c r="G2785" s="0" t="n">
        <v>18117</v>
      </c>
      <c r="H2785" s="3" t="s">
        <v>14</v>
      </c>
      <c r="I2785" s="4" t="n">
        <f aca="false">D2785*F2785</f>
        <v>6.36</v>
      </c>
      <c r="J2785" s="3" t="n">
        <f aca="false">IF(AND(LEFT(A2785,1)&lt;&gt;"C",D2785&gt;0,F2785&gt;0),1,0)</f>
        <v>1</v>
      </c>
      <c r="K2785" s="3" t="n">
        <f aca="false">IF(AND(H2785="United Kingdom",G2785&lt;&gt;"",COUNTIFS($G$2:G2785,G2785,$H$2:H2785,"United Kingdom")=1),1,0)</f>
        <v>0</v>
      </c>
    </row>
    <row r="2786" customFormat="false" ht="15" hidden="false" customHeight="false" outlineLevel="0" collapsed="false">
      <c r="A2786" s="0" t="s">
        <v>600</v>
      </c>
      <c r="B2786" s="0" t="s">
        <v>54</v>
      </c>
      <c r="C2786" s="0" t="s">
        <v>55</v>
      </c>
      <c r="D2786" s="0" t="n">
        <v>4</v>
      </c>
      <c r="E2786" s="2" t="n">
        <v>40804.8270833333</v>
      </c>
      <c r="F2786" s="0" t="n">
        <v>0.99</v>
      </c>
      <c r="G2786" s="0" t="n">
        <v>18117</v>
      </c>
      <c r="H2786" s="3" t="s">
        <v>14</v>
      </c>
      <c r="I2786" s="4" t="n">
        <f aca="false">D2786*F2786</f>
        <v>3.96</v>
      </c>
      <c r="J2786" s="3" t="n">
        <f aca="false">IF(AND(LEFT(A2786,1)&lt;&gt;"C",D2786&gt;0,F2786&gt;0),1,0)</f>
        <v>1</v>
      </c>
      <c r="K2786" s="3" t="n">
        <f aca="false">IF(AND(H2786="United Kingdom",G2786&lt;&gt;"",COUNTIFS($G$2:G2786,G2786,$H$2:H2786,"United Kingdom")=1),1,0)</f>
        <v>0</v>
      </c>
    </row>
    <row r="2787" customFormat="false" ht="15" hidden="false" customHeight="false" outlineLevel="0" collapsed="false">
      <c r="A2787" s="0" t="s">
        <v>600</v>
      </c>
      <c r="B2787" s="0" t="s">
        <v>17</v>
      </c>
      <c r="C2787" s="0" t="s">
        <v>18</v>
      </c>
      <c r="D2787" s="0" t="n">
        <v>6</v>
      </c>
      <c r="E2787" s="2" t="n">
        <v>40804.8270833333</v>
      </c>
      <c r="F2787" s="0" t="n">
        <v>1.92</v>
      </c>
      <c r="G2787" s="0" t="n">
        <v>18117</v>
      </c>
      <c r="H2787" s="3" t="s">
        <v>14</v>
      </c>
      <c r="I2787" s="4" t="n">
        <f aca="false">D2787*F2787</f>
        <v>11.52</v>
      </c>
      <c r="J2787" s="3" t="n">
        <f aca="false">IF(AND(LEFT(A2787,1)&lt;&gt;"C",D2787&gt;0,F2787&gt;0),1,0)</f>
        <v>1</v>
      </c>
      <c r="K2787" s="3" t="n">
        <f aca="false">IF(AND(H2787="United Kingdom",G2787&lt;&gt;"",COUNTIFS($G$2:G2787,G2787,$H$2:H2787,"United Kingdom")=1),1,0)</f>
        <v>0</v>
      </c>
    </row>
    <row r="2788" customFormat="false" ht="15" hidden="false" customHeight="false" outlineLevel="0" collapsed="false">
      <c r="A2788" s="0" t="s">
        <v>600</v>
      </c>
      <c r="B2788" s="0" t="s">
        <v>41</v>
      </c>
      <c r="C2788" s="0" t="s">
        <v>42</v>
      </c>
      <c r="D2788" s="0" t="n">
        <v>6</v>
      </c>
      <c r="E2788" s="2" t="n">
        <v>40804.8270833333</v>
      </c>
      <c r="F2788" s="0" t="n">
        <v>3.28</v>
      </c>
      <c r="G2788" s="0" t="n">
        <v>18117</v>
      </c>
      <c r="H2788" s="3" t="s">
        <v>14</v>
      </c>
      <c r="I2788" s="4" t="n">
        <f aca="false">D2788*F2788</f>
        <v>19.68</v>
      </c>
      <c r="J2788" s="3" t="n">
        <f aca="false">IF(AND(LEFT(A2788,1)&lt;&gt;"C",D2788&gt;0,F2788&gt;0),1,0)</f>
        <v>1</v>
      </c>
      <c r="K2788" s="3" t="n">
        <f aca="false">IF(AND(H2788="United Kingdom",G2788&lt;&gt;"",COUNTIFS($G$2:G2788,G2788,$H$2:H2788,"United Kingdom")=1),1,0)</f>
        <v>0</v>
      </c>
    </row>
    <row r="2789" customFormat="false" ht="15" hidden="false" customHeight="false" outlineLevel="0" collapsed="false">
      <c r="A2789" s="0" t="s">
        <v>600</v>
      </c>
      <c r="B2789" s="0" t="s">
        <v>45</v>
      </c>
      <c r="C2789" s="0" t="s">
        <v>46</v>
      </c>
      <c r="D2789" s="0" t="n">
        <v>4</v>
      </c>
      <c r="E2789" s="2" t="n">
        <v>40804.8270833333</v>
      </c>
      <c r="F2789" s="0" t="n">
        <v>4.55</v>
      </c>
      <c r="G2789" s="0" t="n">
        <v>18117</v>
      </c>
      <c r="H2789" s="3" t="s">
        <v>14</v>
      </c>
      <c r="I2789" s="4" t="n">
        <f aca="false">D2789*F2789</f>
        <v>18.2</v>
      </c>
      <c r="J2789" s="3" t="n">
        <f aca="false">IF(AND(LEFT(A2789,1)&lt;&gt;"C",D2789&gt;0,F2789&gt;0),1,0)</f>
        <v>1</v>
      </c>
      <c r="K2789" s="3" t="n">
        <f aca="false">IF(AND(H2789="United Kingdom",G2789&lt;&gt;"",COUNTIFS($G$2:G2789,G2789,$H$2:H2789,"United Kingdom")=1),1,0)</f>
        <v>0</v>
      </c>
    </row>
    <row r="2790" customFormat="false" ht="15" hidden="false" customHeight="false" outlineLevel="0" collapsed="false">
      <c r="A2790" s="0" t="s">
        <v>600</v>
      </c>
      <c r="B2790" s="0" t="s">
        <v>37</v>
      </c>
      <c r="C2790" s="0" t="s">
        <v>38</v>
      </c>
      <c r="D2790" s="0" t="n">
        <v>3</v>
      </c>
      <c r="E2790" s="2" t="n">
        <v>40804.8270833333</v>
      </c>
      <c r="F2790" s="0" t="n">
        <v>1.82</v>
      </c>
      <c r="G2790" s="0" t="n">
        <v>18117</v>
      </c>
      <c r="H2790" s="3" t="s">
        <v>14</v>
      </c>
      <c r="I2790" s="4" t="n">
        <f aca="false">D2790*F2790</f>
        <v>5.46</v>
      </c>
      <c r="J2790" s="3" t="n">
        <f aca="false">IF(AND(LEFT(A2790,1)&lt;&gt;"C",D2790&gt;0,F2790&gt;0),1,0)</f>
        <v>1</v>
      </c>
      <c r="K2790" s="3" t="n">
        <f aca="false">IF(AND(H2790="United Kingdom",G2790&lt;&gt;"",COUNTIFS($G$2:G2790,G2790,$H$2:H2790,"United Kingdom")=1),1,0)</f>
        <v>0</v>
      </c>
    </row>
    <row r="2791" customFormat="false" ht="15" hidden="false" customHeight="false" outlineLevel="0" collapsed="false">
      <c r="A2791" s="0" t="s">
        <v>601</v>
      </c>
      <c r="B2791" s="0" t="s">
        <v>27</v>
      </c>
      <c r="C2791" s="0" t="s">
        <v>28</v>
      </c>
      <c r="D2791" s="0" t="n">
        <v>2</v>
      </c>
      <c r="E2791" s="2" t="n">
        <v>40805.4229166667</v>
      </c>
      <c r="F2791" s="0" t="n">
        <v>4.55</v>
      </c>
      <c r="H2791" s="3" t="s">
        <v>14</v>
      </c>
      <c r="I2791" s="4" t="n">
        <f aca="false">D2791*F2791</f>
        <v>9.1</v>
      </c>
      <c r="J2791" s="3" t="n">
        <f aca="false">IF(AND(LEFT(A2791,1)&lt;&gt;"C",D2791&gt;0,F2791&gt;0),1,0)</f>
        <v>1</v>
      </c>
      <c r="K2791" s="3" t="n">
        <f aca="false">IF(AND(H2791="United Kingdom",G2791&lt;&gt;"",COUNTIFS($G$2:G2791,G2791,$H$2:H2791,"United Kingdom")=1),1,0)</f>
        <v>0</v>
      </c>
    </row>
    <row r="2792" customFormat="false" ht="15" hidden="false" customHeight="false" outlineLevel="0" collapsed="false">
      <c r="A2792" s="0" t="s">
        <v>601</v>
      </c>
      <c r="B2792" s="0" t="s">
        <v>58</v>
      </c>
      <c r="C2792" s="0" t="s">
        <v>59</v>
      </c>
      <c r="D2792" s="0" t="n">
        <v>4</v>
      </c>
      <c r="E2792" s="2" t="n">
        <v>40805.4229166667</v>
      </c>
      <c r="F2792" s="0" t="n">
        <v>2.16</v>
      </c>
      <c r="H2792" s="3" t="s">
        <v>14</v>
      </c>
      <c r="I2792" s="4" t="n">
        <f aca="false">D2792*F2792</f>
        <v>8.64</v>
      </c>
      <c r="J2792" s="3" t="n">
        <f aca="false">IF(AND(LEFT(A2792,1)&lt;&gt;"C",D2792&gt;0,F2792&gt;0),1,0)</f>
        <v>1</v>
      </c>
      <c r="K2792" s="3" t="n">
        <f aca="false">IF(AND(H2792="United Kingdom",G2792&lt;&gt;"",COUNTIFS($G$2:G2792,G2792,$H$2:H2792,"United Kingdom")=1),1,0)</f>
        <v>0</v>
      </c>
    </row>
    <row r="2793" customFormat="false" ht="15" hidden="false" customHeight="false" outlineLevel="0" collapsed="false">
      <c r="A2793" s="0" t="s">
        <v>601</v>
      </c>
      <c r="B2793" s="0" t="s">
        <v>113</v>
      </c>
      <c r="C2793" s="0" t="s">
        <v>114</v>
      </c>
      <c r="D2793" s="0" t="n">
        <v>24</v>
      </c>
      <c r="E2793" s="2" t="n">
        <v>40805.4229166667</v>
      </c>
      <c r="F2793" s="0" t="n">
        <v>3.57</v>
      </c>
      <c r="H2793" s="3" t="s">
        <v>14</v>
      </c>
      <c r="I2793" s="4" t="n">
        <f aca="false">D2793*F2793</f>
        <v>85.68</v>
      </c>
      <c r="J2793" s="3" t="n">
        <f aca="false">IF(AND(LEFT(A2793,1)&lt;&gt;"C",D2793&gt;0,F2793&gt;0),1,0)</f>
        <v>1</v>
      </c>
      <c r="K2793" s="3" t="n">
        <f aca="false">IF(AND(H2793="United Kingdom",G2793&lt;&gt;"",COUNTIFS($G$2:G2793,G2793,$H$2:H2793,"United Kingdom")=1),1,0)</f>
        <v>0</v>
      </c>
    </row>
    <row r="2794" customFormat="false" ht="15" hidden="false" customHeight="false" outlineLevel="0" collapsed="false">
      <c r="A2794" s="0" t="s">
        <v>601</v>
      </c>
      <c r="B2794" s="0" t="s">
        <v>54</v>
      </c>
      <c r="C2794" s="0" t="s">
        <v>55</v>
      </c>
      <c r="D2794" s="0" t="n">
        <v>16</v>
      </c>
      <c r="E2794" s="2" t="n">
        <v>40805.4229166667</v>
      </c>
      <c r="F2794" s="0" t="n">
        <v>0.99</v>
      </c>
      <c r="H2794" s="3" t="s">
        <v>14</v>
      </c>
      <c r="I2794" s="4" t="n">
        <f aca="false">D2794*F2794</f>
        <v>15.84</v>
      </c>
      <c r="J2794" s="3" t="n">
        <f aca="false">IF(AND(LEFT(A2794,1)&lt;&gt;"C",D2794&gt;0,F2794&gt;0),1,0)</f>
        <v>1</v>
      </c>
      <c r="K2794" s="3" t="n">
        <f aca="false">IF(AND(H2794="United Kingdom",G2794&lt;&gt;"",COUNTIFS($G$2:G2794,G2794,$H$2:H2794,"United Kingdom")=1),1,0)</f>
        <v>0</v>
      </c>
    </row>
    <row r="2795" customFormat="false" ht="15" hidden="false" customHeight="false" outlineLevel="0" collapsed="false">
      <c r="A2795" s="0" t="s">
        <v>602</v>
      </c>
      <c r="B2795" s="0" t="s">
        <v>63</v>
      </c>
      <c r="C2795" s="0" t="s">
        <v>64</v>
      </c>
      <c r="D2795" s="0" t="n">
        <v>-8</v>
      </c>
      <c r="E2795" s="2" t="n">
        <v>40805.6055555556</v>
      </c>
      <c r="F2795" s="0" t="n">
        <v>2.43</v>
      </c>
      <c r="G2795" s="0" t="n">
        <v>16461</v>
      </c>
      <c r="H2795" s="3" t="s">
        <v>14</v>
      </c>
      <c r="I2795" s="4" t="n">
        <f aca="false">D2795*F2795</f>
        <v>-19.44</v>
      </c>
      <c r="J2795" s="3" t="n">
        <f aca="false">IF(AND(LEFT(A2795,1)&lt;&gt;"C",D2795&gt;0,F2795&gt;0),1,0)</f>
        <v>0</v>
      </c>
      <c r="K2795" s="3" t="n">
        <f aca="false">IF(AND(H2795="United Kingdom",G2795&lt;&gt;"",COUNTIFS($G$2:G2795,G2795,$H$2:H2795,"United Kingdom")=1),1,0)</f>
        <v>0</v>
      </c>
    </row>
    <row r="2796" customFormat="false" ht="15" hidden="false" customHeight="false" outlineLevel="0" collapsed="false">
      <c r="A2796" s="0" t="s">
        <v>603</v>
      </c>
      <c r="B2796" s="0" t="s">
        <v>75</v>
      </c>
      <c r="C2796" s="0" t="s">
        <v>76</v>
      </c>
      <c r="D2796" s="0" t="n">
        <v>6</v>
      </c>
      <c r="E2796" s="2" t="n">
        <v>40805.6597222222</v>
      </c>
      <c r="F2796" s="0" t="n">
        <v>1.97</v>
      </c>
      <c r="G2796" s="0" t="n">
        <v>17650</v>
      </c>
      <c r="H2796" s="3" t="s">
        <v>57</v>
      </c>
      <c r="I2796" s="4" t="n">
        <f aca="false">D2796*F2796</f>
        <v>11.82</v>
      </c>
      <c r="J2796" s="3" t="n">
        <f aca="false">IF(AND(LEFT(A2796,1)&lt;&gt;"C",D2796&gt;0,F2796&gt;0),1,0)</f>
        <v>1</v>
      </c>
      <c r="K2796" s="3" t="n">
        <f aca="false">IF(AND(H2796="United Kingdom",G2796&lt;&gt;"",COUNTIFS($G$2:G2796,G2796,$H$2:H2796,"United Kingdom")=1),1,0)</f>
        <v>0</v>
      </c>
    </row>
    <row r="2797" customFormat="false" ht="15" hidden="false" customHeight="false" outlineLevel="0" collapsed="false">
      <c r="A2797" s="0" t="s">
        <v>603</v>
      </c>
      <c r="B2797" s="0" t="s">
        <v>80</v>
      </c>
      <c r="C2797" s="0" t="s">
        <v>81</v>
      </c>
      <c r="D2797" s="0" t="n">
        <v>4</v>
      </c>
      <c r="E2797" s="2" t="n">
        <v>40805.6597222222</v>
      </c>
      <c r="F2797" s="0" t="n">
        <v>1.53</v>
      </c>
      <c r="G2797" s="0" t="n">
        <v>17650</v>
      </c>
      <c r="H2797" s="3" t="s">
        <v>57</v>
      </c>
      <c r="I2797" s="4" t="n">
        <f aca="false">D2797*F2797</f>
        <v>6.12</v>
      </c>
      <c r="J2797" s="3" t="n">
        <f aca="false">IF(AND(LEFT(A2797,1)&lt;&gt;"C",D2797&gt;0,F2797&gt;0),1,0)</f>
        <v>1</v>
      </c>
      <c r="K2797" s="3" t="n">
        <f aca="false">IF(AND(H2797="United Kingdom",G2797&lt;&gt;"",COUNTIFS($G$2:G2797,G2797,$H$2:H2797,"United Kingdom")=1),1,0)</f>
        <v>0</v>
      </c>
    </row>
    <row r="2798" customFormat="false" ht="15" hidden="false" customHeight="false" outlineLevel="0" collapsed="false">
      <c r="A2798" s="0" t="s">
        <v>603</v>
      </c>
      <c r="B2798" s="0" t="s">
        <v>52</v>
      </c>
      <c r="C2798" s="0" t="s">
        <v>53</v>
      </c>
      <c r="D2798" s="0" t="n">
        <v>3</v>
      </c>
      <c r="E2798" s="2" t="n">
        <v>40805.6597222222</v>
      </c>
      <c r="F2798" s="0" t="n">
        <v>4.16</v>
      </c>
      <c r="G2798" s="0" t="n">
        <v>17650</v>
      </c>
      <c r="H2798" s="3" t="s">
        <v>57</v>
      </c>
      <c r="I2798" s="4" t="n">
        <f aca="false">D2798*F2798</f>
        <v>12.48</v>
      </c>
      <c r="J2798" s="3" t="n">
        <f aca="false">IF(AND(LEFT(A2798,1)&lt;&gt;"C",D2798&gt;0,F2798&gt;0),1,0)</f>
        <v>1</v>
      </c>
      <c r="K2798" s="3" t="n">
        <f aca="false">IF(AND(H2798="United Kingdom",G2798&lt;&gt;"",COUNTIFS($G$2:G2798,G2798,$H$2:H2798,"United Kingdom")=1),1,0)</f>
        <v>0</v>
      </c>
    </row>
    <row r="2799" customFormat="false" ht="15" hidden="false" customHeight="false" outlineLevel="0" collapsed="false">
      <c r="A2799" s="0" t="s">
        <v>603</v>
      </c>
      <c r="B2799" s="0" t="s">
        <v>25</v>
      </c>
      <c r="C2799" s="0" t="s">
        <v>26</v>
      </c>
      <c r="D2799" s="0" t="n">
        <v>1</v>
      </c>
      <c r="E2799" s="2" t="n">
        <v>40805.6597222222</v>
      </c>
      <c r="F2799" s="0" t="n">
        <v>2.21</v>
      </c>
      <c r="G2799" s="0" t="n">
        <v>17650</v>
      </c>
      <c r="H2799" s="3" t="s">
        <v>57</v>
      </c>
      <c r="I2799" s="4" t="n">
        <f aca="false">D2799*F2799</f>
        <v>2.21</v>
      </c>
      <c r="J2799" s="3" t="n">
        <f aca="false">IF(AND(LEFT(A2799,1)&lt;&gt;"C",D2799&gt;0,F2799&gt;0),1,0)</f>
        <v>1</v>
      </c>
      <c r="K2799" s="3" t="n">
        <f aca="false">IF(AND(H2799="United Kingdom",G2799&lt;&gt;"",COUNTIFS($G$2:G2799,G2799,$H$2:H2799,"United Kingdom")=1),1,0)</f>
        <v>0</v>
      </c>
    </row>
    <row r="2800" customFormat="false" ht="15" hidden="false" customHeight="false" outlineLevel="0" collapsed="false">
      <c r="A2800" s="0" t="s">
        <v>603</v>
      </c>
      <c r="B2800" s="0" t="s">
        <v>45</v>
      </c>
      <c r="C2800" s="0" t="s">
        <v>46</v>
      </c>
      <c r="D2800" s="0" t="n">
        <v>6</v>
      </c>
      <c r="E2800" s="2" t="n">
        <v>40805.6597222222</v>
      </c>
      <c r="F2800" s="0" t="n">
        <v>4.55</v>
      </c>
      <c r="G2800" s="0" t="n">
        <v>17650</v>
      </c>
      <c r="H2800" s="3" t="s">
        <v>57</v>
      </c>
      <c r="I2800" s="4" t="n">
        <f aca="false">D2800*F2800</f>
        <v>27.3</v>
      </c>
      <c r="J2800" s="3" t="n">
        <f aca="false">IF(AND(LEFT(A2800,1)&lt;&gt;"C",D2800&gt;0,F2800&gt;0),1,0)</f>
        <v>1</v>
      </c>
      <c r="K2800" s="3" t="n">
        <f aca="false">IF(AND(H2800="United Kingdom",G2800&lt;&gt;"",COUNTIFS($G$2:G2800,G2800,$H$2:H2800,"United Kingdom")=1),1,0)</f>
        <v>0</v>
      </c>
    </row>
    <row r="2801" customFormat="false" ht="15" hidden="false" customHeight="false" outlineLevel="0" collapsed="false">
      <c r="A2801" s="0" t="s">
        <v>603</v>
      </c>
      <c r="B2801" s="0" t="s">
        <v>17</v>
      </c>
      <c r="C2801" s="0" t="s">
        <v>18</v>
      </c>
      <c r="D2801" s="0" t="n">
        <v>6</v>
      </c>
      <c r="E2801" s="2" t="n">
        <v>40805.6597222222</v>
      </c>
      <c r="F2801" s="0" t="n">
        <v>1.92</v>
      </c>
      <c r="G2801" s="0" t="n">
        <v>17650</v>
      </c>
      <c r="H2801" s="3" t="s">
        <v>57</v>
      </c>
      <c r="I2801" s="4" t="n">
        <f aca="false">D2801*F2801</f>
        <v>11.52</v>
      </c>
      <c r="J2801" s="3" t="n">
        <f aca="false">IF(AND(LEFT(A2801,1)&lt;&gt;"C",D2801&gt;0,F2801&gt;0),1,0)</f>
        <v>1</v>
      </c>
      <c r="K2801" s="3" t="n">
        <f aca="false">IF(AND(H2801="United Kingdom",G2801&lt;&gt;"",COUNTIFS($G$2:G2801,G2801,$H$2:H2801,"United Kingdom")=1),1,0)</f>
        <v>0</v>
      </c>
    </row>
    <row r="2802" customFormat="false" ht="15" hidden="false" customHeight="false" outlineLevel="0" collapsed="false">
      <c r="A2802" s="0" t="s">
        <v>603</v>
      </c>
      <c r="B2802" s="0" t="s">
        <v>20</v>
      </c>
      <c r="C2802" s="0" t="s">
        <v>21</v>
      </c>
      <c r="D2802" s="0" t="n">
        <v>9</v>
      </c>
      <c r="E2802" s="2" t="n">
        <v>40805.6597222222</v>
      </c>
      <c r="F2802" s="0" t="n">
        <v>4.24</v>
      </c>
      <c r="G2802" s="0" t="n">
        <v>17650</v>
      </c>
      <c r="H2802" s="3" t="s">
        <v>57</v>
      </c>
      <c r="I2802" s="4" t="n">
        <f aca="false">D2802*F2802</f>
        <v>38.16</v>
      </c>
      <c r="J2802" s="3" t="n">
        <f aca="false">IF(AND(LEFT(A2802,1)&lt;&gt;"C",D2802&gt;0,F2802&gt;0),1,0)</f>
        <v>1</v>
      </c>
      <c r="K2802" s="3" t="n">
        <f aca="false">IF(AND(H2802="United Kingdom",G2802&lt;&gt;"",COUNTIFS($G$2:G2802,G2802,$H$2:H2802,"United Kingdom")=1),1,0)</f>
        <v>0</v>
      </c>
    </row>
    <row r="2803" customFormat="false" ht="15" hidden="false" customHeight="false" outlineLevel="0" collapsed="false">
      <c r="A2803" s="0" t="s">
        <v>603</v>
      </c>
      <c r="B2803" s="0" t="s">
        <v>12</v>
      </c>
      <c r="C2803" s="0" t="s">
        <v>13</v>
      </c>
      <c r="D2803" s="0" t="n">
        <v>6</v>
      </c>
      <c r="E2803" s="2" t="n">
        <v>40805.6597222222</v>
      </c>
      <c r="F2803" s="0" t="n">
        <v>3.33</v>
      </c>
      <c r="G2803" s="0" t="n">
        <v>17650</v>
      </c>
      <c r="H2803" s="3" t="s">
        <v>57</v>
      </c>
      <c r="I2803" s="4" t="n">
        <f aca="false">D2803*F2803</f>
        <v>19.98</v>
      </c>
      <c r="J2803" s="3" t="n">
        <f aca="false">IF(AND(LEFT(A2803,1)&lt;&gt;"C",D2803&gt;0,F2803&gt;0),1,0)</f>
        <v>1</v>
      </c>
      <c r="K2803" s="3" t="n">
        <f aca="false">IF(AND(H2803="United Kingdom",G2803&lt;&gt;"",COUNTIFS($G$2:G2803,G2803,$H$2:H2803,"United Kingdom")=1),1,0)</f>
        <v>0</v>
      </c>
    </row>
    <row r="2804" customFormat="false" ht="15" hidden="false" customHeight="false" outlineLevel="0" collapsed="false">
      <c r="A2804" s="0" t="s">
        <v>603</v>
      </c>
      <c r="B2804" s="0" t="s">
        <v>90</v>
      </c>
      <c r="C2804" s="0" t="s">
        <v>91</v>
      </c>
      <c r="D2804" s="0" t="n">
        <v>38</v>
      </c>
      <c r="E2804" s="2" t="n">
        <v>40805.6597222222</v>
      </c>
      <c r="F2804" s="0" t="n">
        <v>3.04</v>
      </c>
      <c r="G2804" s="0" t="n">
        <v>17650</v>
      </c>
      <c r="H2804" s="3" t="s">
        <v>57</v>
      </c>
      <c r="I2804" s="4" t="n">
        <f aca="false">D2804*F2804</f>
        <v>115.52</v>
      </c>
      <c r="J2804" s="3" t="n">
        <f aca="false">IF(AND(LEFT(A2804,1)&lt;&gt;"C",D2804&gt;0,F2804&gt;0),1,0)</f>
        <v>1</v>
      </c>
      <c r="K2804" s="3" t="n">
        <f aca="false">IF(AND(H2804="United Kingdom",G2804&lt;&gt;"",COUNTIFS($G$2:G2804,G2804,$H$2:H2804,"United Kingdom")=1),1,0)</f>
        <v>0</v>
      </c>
    </row>
    <row r="2805" customFormat="false" ht="15" hidden="false" customHeight="false" outlineLevel="0" collapsed="false">
      <c r="A2805" s="0" t="s">
        <v>603</v>
      </c>
      <c r="B2805" s="0" t="s">
        <v>22</v>
      </c>
      <c r="C2805" s="0" t="s">
        <v>23</v>
      </c>
      <c r="D2805" s="0" t="n">
        <v>6</v>
      </c>
      <c r="E2805" s="2" t="n">
        <v>40805.6597222222</v>
      </c>
      <c r="F2805" s="0" t="n">
        <v>3.18</v>
      </c>
      <c r="G2805" s="0" t="n">
        <v>17650</v>
      </c>
      <c r="H2805" s="3" t="s">
        <v>57</v>
      </c>
      <c r="I2805" s="4" t="n">
        <f aca="false">D2805*F2805</f>
        <v>19.08</v>
      </c>
      <c r="J2805" s="3" t="n">
        <f aca="false">IF(AND(LEFT(A2805,1)&lt;&gt;"C",D2805&gt;0,F2805&gt;0),1,0)</f>
        <v>1</v>
      </c>
      <c r="K2805" s="3" t="n">
        <f aca="false">IF(AND(H2805="United Kingdom",G2805&lt;&gt;"",COUNTIFS($G$2:G2805,G2805,$H$2:H2805,"United Kingdom")=1),1,0)</f>
        <v>0</v>
      </c>
    </row>
    <row r="2806" customFormat="false" ht="15" hidden="false" customHeight="false" outlineLevel="0" collapsed="false">
      <c r="A2806" s="0" t="s">
        <v>603</v>
      </c>
      <c r="B2806" s="0" t="s">
        <v>15</v>
      </c>
      <c r="C2806" s="0" t="s">
        <v>16</v>
      </c>
      <c r="D2806" s="0" t="n">
        <v>4</v>
      </c>
      <c r="E2806" s="2" t="n">
        <v>40805.6597222222</v>
      </c>
      <c r="F2806" s="0" t="n">
        <v>3.18</v>
      </c>
      <c r="G2806" s="0" t="n">
        <v>17650</v>
      </c>
      <c r="H2806" s="3" t="s">
        <v>57</v>
      </c>
      <c r="I2806" s="4" t="n">
        <f aca="false">D2806*F2806</f>
        <v>12.72</v>
      </c>
      <c r="J2806" s="3" t="n">
        <f aca="false">IF(AND(LEFT(A2806,1)&lt;&gt;"C",D2806&gt;0,F2806&gt;0),1,0)</f>
        <v>1</v>
      </c>
      <c r="K2806" s="3" t="n">
        <f aca="false">IF(AND(H2806="United Kingdom",G2806&lt;&gt;"",COUNTIFS($G$2:G2806,G2806,$H$2:H2806,"United Kingdom")=1),1,0)</f>
        <v>0</v>
      </c>
    </row>
    <row r="2807" customFormat="false" ht="15" hidden="false" customHeight="false" outlineLevel="0" collapsed="false">
      <c r="A2807" s="0" t="s">
        <v>603</v>
      </c>
      <c r="B2807" s="0" t="s">
        <v>72</v>
      </c>
      <c r="C2807" s="0" t="s">
        <v>73</v>
      </c>
      <c r="D2807" s="0" t="n">
        <v>9</v>
      </c>
      <c r="E2807" s="2" t="n">
        <v>40805.6597222222</v>
      </c>
      <c r="F2807" s="0" t="n">
        <v>2.69</v>
      </c>
      <c r="G2807" s="0" t="n">
        <v>17650</v>
      </c>
      <c r="H2807" s="3" t="s">
        <v>57</v>
      </c>
      <c r="I2807" s="4" t="n">
        <f aca="false">D2807*F2807</f>
        <v>24.21</v>
      </c>
      <c r="J2807" s="3" t="n">
        <f aca="false">IF(AND(LEFT(A2807,1)&lt;&gt;"C",D2807&gt;0,F2807&gt;0),1,0)</f>
        <v>1</v>
      </c>
      <c r="K2807" s="3" t="n">
        <f aca="false">IF(AND(H2807="United Kingdom",G2807&lt;&gt;"",COUNTIFS($G$2:G2807,G2807,$H$2:H2807,"United Kingdom")=1),1,0)</f>
        <v>0</v>
      </c>
    </row>
    <row r="2808" customFormat="false" ht="15" hidden="false" customHeight="false" outlineLevel="0" collapsed="false">
      <c r="A2808" s="0" t="s">
        <v>604</v>
      </c>
      <c r="B2808" s="0" t="s">
        <v>65</v>
      </c>
      <c r="C2808" s="0" t="s">
        <v>66</v>
      </c>
      <c r="D2808" s="0" t="n">
        <v>2</v>
      </c>
      <c r="E2808" s="2" t="n">
        <v>40806.5291666667</v>
      </c>
      <c r="F2808" s="0" t="n">
        <v>4.75</v>
      </c>
      <c r="G2808" s="0" t="n">
        <v>18034</v>
      </c>
      <c r="H2808" s="3" t="s">
        <v>14</v>
      </c>
      <c r="I2808" s="4" t="n">
        <f aca="false">D2808*F2808</f>
        <v>9.5</v>
      </c>
      <c r="J2808" s="3" t="n">
        <f aca="false">IF(AND(LEFT(A2808,1)&lt;&gt;"C",D2808&gt;0,F2808&gt;0),1,0)</f>
        <v>1</v>
      </c>
      <c r="K2808" s="3" t="n">
        <f aca="false">IF(AND(H2808="United Kingdom",G2808&lt;&gt;"",COUNTIFS($G$2:G2808,G2808,$H$2:H2808,"United Kingdom")=1),1,0)</f>
        <v>0</v>
      </c>
    </row>
    <row r="2809" customFormat="false" ht="15" hidden="false" customHeight="false" outlineLevel="0" collapsed="false">
      <c r="A2809" s="0" t="s">
        <v>604</v>
      </c>
      <c r="B2809" s="0" t="s">
        <v>29</v>
      </c>
      <c r="C2809" s="0" t="s">
        <v>30</v>
      </c>
      <c r="D2809" s="0" t="n">
        <v>6</v>
      </c>
      <c r="E2809" s="2" t="n">
        <v>40806.5291666667</v>
      </c>
      <c r="F2809" s="0" t="n">
        <v>5.79</v>
      </c>
      <c r="G2809" s="0" t="n">
        <v>18034</v>
      </c>
      <c r="H2809" s="3" t="s">
        <v>14</v>
      </c>
      <c r="I2809" s="4" t="n">
        <f aca="false">D2809*F2809</f>
        <v>34.74</v>
      </c>
      <c r="J2809" s="3" t="n">
        <f aca="false">IF(AND(LEFT(A2809,1)&lt;&gt;"C",D2809&gt;0,F2809&gt;0),1,0)</f>
        <v>1</v>
      </c>
      <c r="K2809" s="3" t="n">
        <f aca="false">IF(AND(H2809="United Kingdom",G2809&lt;&gt;"",COUNTIFS($G$2:G2809,G2809,$H$2:H2809,"United Kingdom")=1),1,0)</f>
        <v>0</v>
      </c>
    </row>
    <row r="2810" customFormat="false" ht="15" hidden="false" customHeight="false" outlineLevel="0" collapsed="false">
      <c r="A2810" s="0" t="s">
        <v>604</v>
      </c>
      <c r="B2810" s="0" t="s">
        <v>113</v>
      </c>
      <c r="C2810" s="0" t="s">
        <v>114</v>
      </c>
      <c r="D2810" s="0" t="n">
        <v>8</v>
      </c>
      <c r="E2810" s="2" t="n">
        <v>40806.5291666667</v>
      </c>
      <c r="F2810" s="0" t="n">
        <v>3.57</v>
      </c>
      <c r="G2810" s="0" t="n">
        <v>18034</v>
      </c>
      <c r="H2810" s="3" t="s">
        <v>14</v>
      </c>
      <c r="I2810" s="4" t="n">
        <f aca="false">D2810*F2810</f>
        <v>28.56</v>
      </c>
      <c r="J2810" s="3" t="n">
        <f aca="false">IF(AND(LEFT(A2810,1)&lt;&gt;"C",D2810&gt;0,F2810&gt;0),1,0)</f>
        <v>1</v>
      </c>
      <c r="K2810" s="3" t="n">
        <f aca="false">IF(AND(H2810="United Kingdom",G2810&lt;&gt;"",COUNTIFS($G$2:G2810,G2810,$H$2:H2810,"United Kingdom")=1),1,0)</f>
        <v>0</v>
      </c>
    </row>
    <row r="2811" customFormat="false" ht="15" hidden="false" customHeight="false" outlineLevel="0" collapsed="false">
      <c r="A2811" s="0" t="s">
        <v>604</v>
      </c>
      <c r="B2811" s="0" t="s">
        <v>77</v>
      </c>
      <c r="C2811" s="0" t="s">
        <v>78</v>
      </c>
      <c r="D2811" s="0" t="n">
        <v>8</v>
      </c>
      <c r="E2811" s="2" t="n">
        <v>40806.5291666667</v>
      </c>
      <c r="F2811" s="0" t="n">
        <v>3.41</v>
      </c>
      <c r="G2811" s="0" t="n">
        <v>18034</v>
      </c>
      <c r="H2811" s="3" t="s">
        <v>14</v>
      </c>
      <c r="I2811" s="4" t="n">
        <f aca="false">D2811*F2811</f>
        <v>27.28</v>
      </c>
      <c r="J2811" s="3" t="n">
        <f aca="false">IF(AND(LEFT(A2811,1)&lt;&gt;"C",D2811&gt;0,F2811&gt;0),1,0)</f>
        <v>1</v>
      </c>
      <c r="K2811" s="3" t="n">
        <f aca="false">IF(AND(H2811="United Kingdom",G2811&lt;&gt;"",COUNTIFS($G$2:G2811,G2811,$H$2:H2811,"United Kingdom")=1),1,0)</f>
        <v>0</v>
      </c>
    </row>
    <row r="2812" customFormat="false" ht="15" hidden="false" customHeight="false" outlineLevel="0" collapsed="false">
      <c r="A2812" s="0" t="s">
        <v>605</v>
      </c>
      <c r="B2812" s="0" t="s">
        <v>32</v>
      </c>
      <c r="C2812" s="0" t="s">
        <v>33</v>
      </c>
      <c r="D2812" s="0" t="n">
        <v>3</v>
      </c>
      <c r="E2812" s="2" t="n">
        <v>40806.5576388889</v>
      </c>
      <c r="F2812" s="0" t="n">
        <v>1.19</v>
      </c>
      <c r="G2812" s="0" t="n">
        <v>13965</v>
      </c>
      <c r="H2812" s="3" t="s">
        <v>14</v>
      </c>
      <c r="I2812" s="4" t="n">
        <f aca="false">D2812*F2812</f>
        <v>3.57</v>
      </c>
      <c r="J2812" s="3" t="n">
        <f aca="false">IF(AND(LEFT(A2812,1)&lt;&gt;"C",D2812&gt;0,F2812&gt;0),1,0)</f>
        <v>1</v>
      </c>
      <c r="K2812" s="3" t="n">
        <f aca="false">IF(AND(H2812="United Kingdom",G2812&lt;&gt;"",COUNTIFS($G$2:G2812,G2812,$H$2:H2812,"United Kingdom")=1),1,0)</f>
        <v>0</v>
      </c>
    </row>
    <row r="2813" customFormat="false" ht="15" hidden="false" customHeight="false" outlineLevel="0" collapsed="false">
      <c r="A2813" s="0" t="s">
        <v>605</v>
      </c>
      <c r="B2813" s="0" t="s">
        <v>58</v>
      </c>
      <c r="C2813" s="0" t="s">
        <v>59</v>
      </c>
      <c r="D2813" s="0" t="n">
        <v>6</v>
      </c>
      <c r="E2813" s="2" t="n">
        <v>40806.5576388889</v>
      </c>
      <c r="F2813" s="0" t="n">
        <v>2.16</v>
      </c>
      <c r="G2813" s="0" t="n">
        <v>13965</v>
      </c>
      <c r="H2813" s="3" t="s">
        <v>14</v>
      </c>
      <c r="I2813" s="4" t="n">
        <f aca="false">D2813*F2813</f>
        <v>12.96</v>
      </c>
      <c r="J2813" s="3" t="n">
        <f aca="false">IF(AND(LEFT(A2813,1)&lt;&gt;"C",D2813&gt;0,F2813&gt;0),1,0)</f>
        <v>1</v>
      </c>
      <c r="K2813" s="3" t="n">
        <f aca="false">IF(AND(H2813="United Kingdom",G2813&lt;&gt;"",COUNTIFS($G$2:G2813,G2813,$H$2:H2813,"United Kingdom")=1),1,0)</f>
        <v>0</v>
      </c>
    </row>
    <row r="2814" customFormat="false" ht="15" hidden="false" customHeight="false" outlineLevel="0" collapsed="false">
      <c r="A2814" s="0" t="s">
        <v>605</v>
      </c>
      <c r="B2814" s="0" t="s">
        <v>22</v>
      </c>
      <c r="C2814" s="0" t="s">
        <v>23</v>
      </c>
      <c r="D2814" s="0" t="n">
        <v>1</v>
      </c>
      <c r="E2814" s="2" t="n">
        <v>40806.5576388889</v>
      </c>
      <c r="F2814" s="0" t="n">
        <v>3.18</v>
      </c>
      <c r="G2814" s="0" t="n">
        <v>13965</v>
      </c>
      <c r="H2814" s="3" t="s">
        <v>14</v>
      </c>
      <c r="I2814" s="4" t="n">
        <f aca="false">D2814*F2814</f>
        <v>3.18</v>
      </c>
      <c r="J2814" s="3" t="n">
        <f aca="false">IF(AND(LEFT(A2814,1)&lt;&gt;"C",D2814&gt;0,F2814&gt;0),1,0)</f>
        <v>1</v>
      </c>
      <c r="K2814" s="3" t="n">
        <f aca="false">IF(AND(H2814="United Kingdom",G2814&lt;&gt;"",COUNTIFS($G$2:G2814,G2814,$H$2:H2814,"United Kingdom")=1),1,0)</f>
        <v>0</v>
      </c>
    </row>
    <row r="2815" customFormat="false" ht="15" hidden="false" customHeight="false" outlineLevel="0" collapsed="false">
      <c r="A2815" s="0" t="s">
        <v>605</v>
      </c>
      <c r="B2815" s="0" t="s">
        <v>25</v>
      </c>
      <c r="C2815" s="0" t="s">
        <v>26</v>
      </c>
      <c r="D2815" s="0" t="n">
        <v>8</v>
      </c>
      <c r="E2815" s="2" t="n">
        <v>40806.5576388889</v>
      </c>
      <c r="F2815" s="0" t="n">
        <v>2.21</v>
      </c>
      <c r="G2815" s="0" t="n">
        <v>13965</v>
      </c>
      <c r="H2815" s="3" t="s">
        <v>14</v>
      </c>
      <c r="I2815" s="4" t="n">
        <f aca="false">D2815*F2815</f>
        <v>17.68</v>
      </c>
      <c r="J2815" s="3" t="n">
        <f aca="false">IF(AND(LEFT(A2815,1)&lt;&gt;"C",D2815&gt;0,F2815&gt;0),1,0)</f>
        <v>1</v>
      </c>
      <c r="K2815" s="3" t="n">
        <f aca="false">IF(AND(H2815="United Kingdom",G2815&lt;&gt;"",COUNTIFS($G$2:G2815,G2815,$H$2:H2815,"United Kingdom")=1),1,0)</f>
        <v>0</v>
      </c>
    </row>
    <row r="2816" customFormat="false" ht="15" hidden="false" customHeight="false" outlineLevel="0" collapsed="false">
      <c r="A2816" s="0" t="s">
        <v>605</v>
      </c>
      <c r="B2816" s="0" t="s">
        <v>72</v>
      </c>
      <c r="C2816" s="0" t="s">
        <v>73</v>
      </c>
      <c r="D2816" s="0" t="n">
        <v>8</v>
      </c>
      <c r="E2816" s="2" t="n">
        <v>40806.5576388889</v>
      </c>
      <c r="F2816" s="0" t="n">
        <v>2.69</v>
      </c>
      <c r="G2816" s="0" t="n">
        <v>13965</v>
      </c>
      <c r="H2816" s="3" t="s">
        <v>14</v>
      </c>
      <c r="I2816" s="4" t="n">
        <f aca="false">D2816*F2816</f>
        <v>21.52</v>
      </c>
      <c r="J2816" s="3" t="n">
        <f aca="false">IF(AND(LEFT(A2816,1)&lt;&gt;"C",D2816&gt;0,F2816&gt;0),1,0)</f>
        <v>1</v>
      </c>
      <c r="K2816" s="3" t="n">
        <f aca="false">IF(AND(H2816="United Kingdom",G2816&lt;&gt;"",COUNTIFS($G$2:G2816,G2816,$H$2:H2816,"United Kingdom")=1),1,0)</f>
        <v>0</v>
      </c>
    </row>
    <row r="2817" customFormat="false" ht="15" hidden="false" customHeight="false" outlineLevel="0" collapsed="false">
      <c r="A2817" s="0" t="s">
        <v>605</v>
      </c>
      <c r="B2817" s="0" t="s">
        <v>60</v>
      </c>
      <c r="C2817" s="0" t="s">
        <v>61</v>
      </c>
      <c r="D2817" s="0" t="n">
        <v>2</v>
      </c>
      <c r="E2817" s="2" t="n">
        <v>40806.5576388889</v>
      </c>
      <c r="F2817" s="0" t="n">
        <v>0.63</v>
      </c>
      <c r="G2817" s="0" t="n">
        <v>13965</v>
      </c>
      <c r="H2817" s="3" t="s">
        <v>14</v>
      </c>
      <c r="I2817" s="4" t="n">
        <f aca="false">D2817*F2817</f>
        <v>1.26</v>
      </c>
      <c r="J2817" s="3" t="n">
        <f aca="false">IF(AND(LEFT(A2817,1)&lt;&gt;"C",D2817&gt;0,F2817&gt;0),1,0)</f>
        <v>1</v>
      </c>
      <c r="K2817" s="3" t="n">
        <f aca="false">IF(AND(H2817="United Kingdom",G2817&lt;&gt;"",COUNTIFS($G$2:G2817,G2817,$H$2:H2817,"United Kingdom")=1),1,0)</f>
        <v>0</v>
      </c>
    </row>
    <row r="2818" customFormat="false" ht="15" hidden="false" customHeight="false" outlineLevel="0" collapsed="false">
      <c r="A2818" s="0" t="s">
        <v>606</v>
      </c>
      <c r="B2818" s="0" t="s">
        <v>90</v>
      </c>
      <c r="C2818" s="0" t="s">
        <v>91</v>
      </c>
      <c r="D2818" s="0" t="n">
        <v>1</v>
      </c>
      <c r="E2818" s="2" t="n">
        <v>40806.7916666667</v>
      </c>
      <c r="F2818" s="0" t="n">
        <v>3.04</v>
      </c>
      <c r="G2818" s="0" t="n">
        <v>16371</v>
      </c>
      <c r="H2818" s="3" t="s">
        <v>459</v>
      </c>
      <c r="I2818" s="4" t="n">
        <f aca="false">D2818*F2818</f>
        <v>3.04</v>
      </c>
      <c r="J2818" s="3" t="n">
        <f aca="false">IF(AND(LEFT(A2818,1)&lt;&gt;"C",D2818&gt;0,F2818&gt;0),1,0)</f>
        <v>1</v>
      </c>
      <c r="K2818" s="3" t="n">
        <f aca="false">IF(AND(H2818="United Kingdom",G2818&lt;&gt;"",COUNTIFS($G$2:G2818,G2818,$H$2:H2818,"United Kingdom")=1),1,0)</f>
        <v>0</v>
      </c>
    </row>
    <row r="2819" customFormat="false" ht="15" hidden="false" customHeight="false" outlineLevel="0" collapsed="false">
      <c r="A2819" s="0" t="s">
        <v>606</v>
      </c>
      <c r="B2819" s="0" t="s">
        <v>65</v>
      </c>
      <c r="C2819" s="0" t="s">
        <v>66</v>
      </c>
      <c r="D2819" s="0" t="n">
        <v>6</v>
      </c>
      <c r="E2819" s="2" t="n">
        <v>40806.7916666667</v>
      </c>
      <c r="F2819" s="0" t="n">
        <v>4.75</v>
      </c>
      <c r="G2819" s="0" t="n">
        <v>16371</v>
      </c>
      <c r="H2819" s="3" t="s">
        <v>459</v>
      </c>
      <c r="I2819" s="4" t="n">
        <f aca="false">D2819*F2819</f>
        <v>28.5</v>
      </c>
      <c r="J2819" s="3" t="n">
        <f aca="false">IF(AND(LEFT(A2819,1)&lt;&gt;"C",D2819&gt;0,F2819&gt;0),1,0)</f>
        <v>1</v>
      </c>
      <c r="K2819" s="3" t="n">
        <f aca="false">IF(AND(H2819="United Kingdom",G2819&lt;&gt;"",COUNTIFS($G$2:G2819,G2819,$H$2:H2819,"United Kingdom")=1),1,0)</f>
        <v>0</v>
      </c>
    </row>
    <row r="2820" customFormat="false" ht="15" hidden="false" customHeight="false" outlineLevel="0" collapsed="false">
      <c r="A2820" s="0" t="s">
        <v>607</v>
      </c>
      <c r="B2820" s="0" t="s">
        <v>63</v>
      </c>
      <c r="C2820" s="0" t="s">
        <v>64</v>
      </c>
      <c r="D2820" s="0" t="n">
        <v>19</v>
      </c>
      <c r="E2820" s="2" t="n">
        <v>40807.425</v>
      </c>
      <c r="F2820" s="0" t="n">
        <v>2.43</v>
      </c>
      <c r="G2820" s="0" t="n">
        <v>17650</v>
      </c>
      <c r="H2820" s="3" t="s">
        <v>57</v>
      </c>
      <c r="I2820" s="4" t="n">
        <f aca="false">D2820*F2820</f>
        <v>46.17</v>
      </c>
      <c r="J2820" s="3" t="n">
        <f aca="false">IF(AND(LEFT(A2820,1)&lt;&gt;"C",D2820&gt;0,F2820&gt;0),1,0)</f>
        <v>1</v>
      </c>
      <c r="K2820" s="3" t="n">
        <f aca="false">IF(AND(H2820="United Kingdom",G2820&lt;&gt;"",COUNTIFS($G$2:G2820,G2820,$H$2:H2820,"United Kingdom")=1),1,0)</f>
        <v>0</v>
      </c>
    </row>
    <row r="2821" customFormat="false" ht="15" hidden="false" customHeight="false" outlineLevel="0" collapsed="false">
      <c r="A2821" s="0" t="s">
        <v>607</v>
      </c>
      <c r="B2821" s="0" t="s">
        <v>25</v>
      </c>
      <c r="C2821" s="0" t="s">
        <v>26</v>
      </c>
      <c r="D2821" s="0" t="n">
        <v>1</v>
      </c>
      <c r="E2821" s="2" t="n">
        <v>40807.425</v>
      </c>
      <c r="F2821" s="0" t="n">
        <v>2.21</v>
      </c>
      <c r="G2821" s="0" t="n">
        <v>17650</v>
      </c>
      <c r="H2821" s="3" t="s">
        <v>57</v>
      </c>
      <c r="I2821" s="4" t="n">
        <f aca="false">D2821*F2821</f>
        <v>2.21</v>
      </c>
      <c r="J2821" s="3" t="n">
        <f aca="false">IF(AND(LEFT(A2821,1)&lt;&gt;"C",D2821&gt;0,F2821&gt;0),1,0)</f>
        <v>1</v>
      </c>
      <c r="K2821" s="3" t="n">
        <f aca="false">IF(AND(H2821="United Kingdom",G2821&lt;&gt;"",COUNTIFS($G$2:G2821,G2821,$H$2:H2821,"United Kingdom")=1),1,0)</f>
        <v>0</v>
      </c>
    </row>
    <row r="2822" customFormat="false" ht="15" hidden="false" customHeight="false" outlineLevel="0" collapsed="false">
      <c r="A2822" s="0" t="s">
        <v>607</v>
      </c>
      <c r="B2822" s="0" t="s">
        <v>29</v>
      </c>
      <c r="C2822" s="0" t="s">
        <v>30</v>
      </c>
      <c r="D2822" s="0" t="n">
        <v>6</v>
      </c>
      <c r="E2822" s="2" t="n">
        <v>40807.425</v>
      </c>
      <c r="F2822" s="0" t="n">
        <v>5.79</v>
      </c>
      <c r="G2822" s="0" t="n">
        <v>17650</v>
      </c>
      <c r="H2822" s="3" t="s">
        <v>57</v>
      </c>
      <c r="I2822" s="4" t="n">
        <f aca="false">D2822*F2822</f>
        <v>34.74</v>
      </c>
      <c r="J2822" s="3" t="n">
        <f aca="false">IF(AND(LEFT(A2822,1)&lt;&gt;"C",D2822&gt;0,F2822&gt;0),1,0)</f>
        <v>1</v>
      </c>
      <c r="K2822" s="3" t="n">
        <f aca="false">IF(AND(H2822="United Kingdom",G2822&lt;&gt;"",COUNTIFS($G$2:G2822,G2822,$H$2:H2822,"United Kingdom")=1),1,0)</f>
        <v>0</v>
      </c>
    </row>
    <row r="2823" customFormat="false" ht="15" hidden="false" customHeight="false" outlineLevel="0" collapsed="false">
      <c r="A2823" s="0" t="s">
        <v>607</v>
      </c>
      <c r="B2823" s="0" t="s">
        <v>77</v>
      </c>
      <c r="C2823" s="0" t="s">
        <v>78</v>
      </c>
      <c r="D2823" s="0" t="n">
        <v>19</v>
      </c>
      <c r="E2823" s="2" t="n">
        <v>40807.425</v>
      </c>
      <c r="F2823" s="0" t="n">
        <v>3.41</v>
      </c>
      <c r="G2823" s="0" t="n">
        <v>17650</v>
      </c>
      <c r="H2823" s="3" t="s">
        <v>57</v>
      </c>
      <c r="I2823" s="4" t="n">
        <f aca="false">D2823*F2823</f>
        <v>64.79</v>
      </c>
      <c r="J2823" s="3" t="n">
        <f aca="false">IF(AND(LEFT(A2823,1)&lt;&gt;"C",D2823&gt;0,F2823&gt;0),1,0)</f>
        <v>1</v>
      </c>
      <c r="K2823" s="3" t="n">
        <f aca="false">IF(AND(H2823="United Kingdom",G2823&lt;&gt;"",COUNTIFS($G$2:G2823,G2823,$H$2:H2823,"United Kingdom")=1),1,0)</f>
        <v>0</v>
      </c>
    </row>
    <row r="2824" customFormat="false" ht="15" hidden="false" customHeight="false" outlineLevel="0" collapsed="false">
      <c r="A2824" s="0" t="s">
        <v>607</v>
      </c>
      <c r="B2824" s="0" t="s">
        <v>45</v>
      </c>
      <c r="C2824" s="0" t="s">
        <v>46</v>
      </c>
      <c r="D2824" s="0" t="n">
        <v>9</v>
      </c>
      <c r="E2824" s="2" t="n">
        <v>40807.425</v>
      </c>
      <c r="F2824" s="0" t="n">
        <v>4.55</v>
      </c>
      <c r="G2824" s="0" t="n">
        <v>17650</v>
      </c>
      <c r="H2824" s="3" t="s">
        <v>57</v>
      </c>
      <c r="I2824" s="4" t="n">
        <f aca="false">D2824*F2824</f>
        <v>40.95</v>
      </c>
      <c r="J2824" s="3" t="n">
        <f aca="false">IF(AND(LEFT(A2824,1)&lt;&gt;"C",D2824&gt;0,F2824&gt;0),1,0)</f>
        <v>1</v>
      </c>
      <c r="K2824" s="3" t="n">
        <f aca="false">IF(AND(H2824="United Kingdom",G2824&lt;&gt;"",COUNTIFS($G$2:G2824,G2824,$H$2:H2824,"United Kingdom")=1),1,0)</f>
        <v>0</v>
      </c>
    </row>
    <row r="2825" customFormat="false" ht="15" hidden="false" customHeight="false" outlineLevel="0" collapsed="false">
      <c r="A2825" s="0" t="s">
        <v>607</v>
      </c>
      <c r="B2825" s="0" t="s">
        <v>80</v>
      </c>
      <c r="C2825" s="0" t="s">
        <v>81</v>
      </c>
      <c r="D2825" s="0" t="n">
        <v>1</v>
      </c>
      <c r="E2825" s="2" t="n">
        <v>40807.425</v>
      </c>
      <c r="F2825" s="0" t="n">
        <v>1.53</v>
      </c>
      <c r="G2825" s="0" t="n">
        <v>17650</v>
      </c>
      <c r="H2825" s="3" t="s">
        <v>57</v>
      </c>
      <c r="I2825" s="4" t="n">
        <f aca="false">D2825*F2825</f>
        <v>1.53</v>
      </c>
      <c r="J2825" s="3" t="n">
        <f aca="false">IF(AND(LEFT(A2825,1)&lt;&gt;"C",D2825&gt;0,F2825&gt;0),1,0)</f>
        <v>1</v>
      </c>
      <c r="K2825" s="3" t="n">
        <f aca="false">IF(AND(H2825="United Kingdom",G2825&lt;&gt;"",COUNTIFS($G$2:G2825,G2825,$H$2:H2825,"United Kingdom")=1),1,0)</f>
        <v>0</v>
      </c>
    </row>
    <row r="2826" customFormat="false" ht="15" hidden="false" customHeight="false" outlineLevel="0" collapsed="false">
      <c r="A2826" s="0" t="s">
        <v>607</v>
      </c>
      <c r="B2826" s="0" t="s">
        <v>58</v>
      </c>
      <c r="C2826" s="0" t="s">
        <v>59</v>
      </c>
      <c r="D2826" s="0" t="n">
        <v>12</v>
      </c>
      <c r="E2826" s="2" t="n">
        <v>40807.425</v>
      </c>
      <c r="F2826" s="0" t="n">
        <v>2.16</v>
      </c>
      <c r="G2826" s="0" t="n">
        <v>17650</v>
      </c>
      <c r="H2826" s="3" t="s">
        <v>57</v>
      </c>
      <c r="I2826" s="4" t="n">
        <f aca="false">D2826*F2826</f>
        <v>25.92</v>
      </c>
      <c r="J2826" s="3" t="n">
        <f aca="false">IF(AND(LEFT(A2826,1)&lt;&gt;"C",D2826&gt;0,F2826&gt;0),1,0)</f>
        <v>1</v>
      </c>
      <c r="K2826" s="3" t="n">
        <f aca="false">IF(AND(H2826="United Kingdom",G2826&lt;&gt;"",COUNTIFS($G$2:G2826,G2826,$H$2:H2826,"United Kingdom")=1),1,0)</f>
        <v>0</v>
      </c>
    </row>
    <row r="2827" customFormat="false" ht="15" hidden="false" customHeight="false" outlineLevel="0" collapsed="false">
      <c r="A2827" s="0" t="s">
        <v>607</v>
      </c>
      <c r="B2827" s="0" t="s">
        <v>41</v>
      </c>
      <c r="C2827" s="0" t="s">
        <v>42</v>
      </c>
      <c r="D2827" s="0" t="n">
        <v>25</v>
      </c>
      <c r="E2827" s="2" t="n">
        <v>40807.425</v>
      </c>
      <c r="F2827" s="0" t="n">
        <v>3.28</v>
      </c>
      <c r="G2827" s="0" t="n">
        <v>17650</v>
      </c>
      <c r="H2827" s="3" t="s">
        <v>57</v>
      </c>
      <c r="I2827" s="4" t="n">
        <f aca="false">D2827*F2827</f>
        <v>82</v>
      </c>
      <c r="J2827" s="3" t="n">
        <f aca="false">IF(AND(LEFT(A2827,1)&lt;&gt;"C",D2827&gt;0,F2827&gt;0),1,0)</f>
        <v>1</v>
      </c>
      <c r="K2827" s="3" t="n">
        <f aca="false">IF(AND(H2827="United Kingdom",G2827&lt;&gt;"",COUNTIFS($G$2:G2827,G2827,$H$2:H2827,"United Kingdom")=1),1,0)</f>
        <v>0</v>
      </c>
    </row>
    <row r="2828" customFormat="false" ht="15" hidden="false" customHeight="false" outlineLevel="0" collapsed="false">
      <c r="A2828" s="0" t="s">
        <v>608</v>
      </c>
      <c r="B2828" s="0" t="s">
        <v>75</v>
      </c>
      <c r="C2828" s="0" t="s">
        <v>76</v>
      </c>
      <c r="D2828" s="0" t="n">
        <v>1</v>
      </c>
      <c r="E2828" s="2" t="n">
        <v>40808.7708333333</v>
      </c>
      <c r="F2828" s="0" t="n">
        <v>1.97</v>
      </c>
      <c r="G2828" s="0" t="n">
        <v>15108</v>
      </c>
      <c r="H2828" s="3" t="s">
        <v>14</v>
      </c>
      <c r="I2828" s="4" t="n">
        <f aca="false">D2828*F2828</f>
        <v>1.97</v>
      </c>
      <c r="J2828" s="3" t="n">
        <f aca="false">IF(AND(LEFT(A2828,1)&lt;&gt;"C",D2828&gt;0,F2828&gt;0),1,0)</f>
        <v>1</v>
      </c>
      <c r="K2828" s="3" t="n">
        <f aca="false">IF(AND(H2828="United Kingdom",G2828&lt;&gt;"",COUNTIFS($G$2:G2828,G2828,$H$2:H2828,"United Kingdom")=1),1,0)</f>
        <v>0</v>
      </c>
    </row>
    <row r="2829" customFormat="false" ht="15" hidden="false" customHeight="false" outlineLevel="0" collapsed="false">
      <c r="A2829" s="0" t="s">
        <v>608</v>
      </c>
      <c r="B2829" s="0" t="s">
        <v>27</v>
      </c>
      <c r="C2829" s="0" t="s">
        <v>28</v>
      </c>
      <c r="D2829" s="0" t="n">
        <v>1</v>
      </c>
      <c r="E2829" s="2" t="n">
        <v>40808.7708333333</v>
      </c>
      <c r="F2829" s="0" t="n">
        <v>4.55</v>
      </c>
      <c r="G2829" s="0" t="n">
        <v>15108</v>
      </c>
      <c r="H2829" s="3" t="s">
        <v>14</v>
      </c>
      <c r="I2829" s="4" t="n">
        <f aca="false">D2829*F2829</f>
        <v>4.55</v>
      </c>
      <c r="J2829" s="3" t="n">
        <f aca="false">IF(AND(LEFT(A2829,1)&lt;&gt;"C",D2829&gt;0,F2829&gt;0),1,0)</f>
        <v>1</v>
      </c>
      <c r="K2829" s="3" t="n">
        <f aca="false">IF(AND(H2829="United Kingdom",G2829&lt;&gt;"",COUNTIFS($G$2:G2829,G2829,$H$2:H2829,"United Kingdom")=1),1,0)</f>
        <v>0</v>
      </c>
    </row>
    <row r="2830" customFormat="false" ht="15" hidden="false" customHeight="false" outlineLevel="0" collapsed="false">
      <c r="A2830" s="0" t="s">
        <v>609</v>
      </c>
      <c r="B2830" s="0" t="s">
        <v>52</v>
      </c>
      <c r="C2830" s="0" t="s">
        <v>53</v>
      </c>
      <c r="D2830" s="0" t="n">
        <v>2</v>
      </c>
      <c r="E2830" s="2" t="n">
        <v>40808.8097222222</v>
      </c>
      <c r="F2830" s="0" t="n">
        <v>4.16</v>
      </c>
      <c r="G2830" s="0" t="n">
        <v>16465</v>
      </c>
      <c r="H2830" s="3" t="s">
        <v>14</v>
      </c>
      <c r="I2830" s="4" t="n">
        <f aca="false">D2830*F2830</f>
        <v>8.32</v>
      </c>
      <c r="J2830" s="3" t="n">
        <f aca="false">IF(AND(LEFT(A2830,1)&lt;&gt;"C",D2830&gt;0,F2830&gt;0),1,0)</f>
        <v>1</v>
      </c>
      <c r="K2830" s="3" t="n">
        <f aca="false">IF(AND(H2830="United Kingdom",G2830&lt;&gt;"",COUNTIFS($G$2:G2830,G2830,$H$2:H2830,"United Kingdom")=1),1,0)</f>
        <v>0</v>
      </c>
    </row>
    <row r="2831" customFormat="false" ht="15" hidden="false" customHeight="false" outlineLevel="0" collapsed="false">
      <c r="A2831" s="0" t="s">
        <v>609</v>
      </c>
      <c r="B2831" s="0" t="s">
        <v>20</v>
      </c>
      <c r="C2831" s="0" t="s">
        <v>21</v>
      </c>
      <c r="D2831" s="0" t="n">
        <v>2</v>
      </c>
      <c r="E2831" s="2" t="n">
        <v>40808.8097222222</v>
      </c>
      <c r="F2831" s="0" t="n">
        <v>4.24</v>
      </c>
      <c r="G2831" s="0" t="n">
        <v>16465</v>
      </c>
      <c r="H2831" s="3" t="s">
        <v>14</v>
      </c>
      <c r="I2831" s="4" t="n">
        <f aca="false">D2831*F2831</f>
        <v>8.48</v>
      </c>
      <c r="J2831" s="3" t="n">
        <f aca="false">IF(AND(LEFT(A2831,1)&lt;&gt;"C",D2831&gt;0,F2831&gt;0),1,0)</f>
        <v>1</v>
      </c>
      <c r="K2831" s="3" t="n">
        <f aca="false">IF(AND(H2831="United Kingdom",G2831&lt;&gt;"",COUNTIFS($G$2:G2831,G2831,$H$2:H2831,"United Kingdom")=1),1,0)</f>
        <v>0</v>
      </c>
    </row>
    <row r="2832" customFormat="false" ht="15" hidden="false" customHeight="false" outlineLevel="0" collapsed="false">
      <c r="A2832" s="0" t="s">
        <v>609</v>
      </c>
      <c r="B2832" s="0" t="s">
        <v>29</v>
      </c>
      <c r="C2832" s="0" t="s">
        <v>30</v>
      </c>
      <c r="D2832" s="0" t="n">
        <v>2</v>
      </c>
      <c r="E2832" s="2" t="n">
        <v>40808.8097222222</v>
      </c>
      <c r="F2832" s="0" t="n">
        <v>5.79</v>
      </c>
      <c r="G2832" s="0" t="n">
        <v>16465</v>
      </c>
      <c r="H2832" s="3" t="s">
        <v>14</v>
      </c>
      <c r="I2832" s="4" t="n">
        <f aca="false">D2832*F2832</f>
        <v>11.58</v>
      </c>
      <c r="J2832" s="3" t="n">
        <f aca="false">IF(AND(LEFT(A2832,1)&lt;&gt;"C",D2832&gt;0,F2832&gt;0),1,0)</f>
        <v>1</v>
      </c>
      <c r="K2832" s="3" t="n">
        <f aca="false">IF(AND(H2832="United Kingdom",G2832&lt;&gt;"",COUNTIFS($G$2:G2832,G2832,$H$2:H2832,"United Kingdom")=1),1,0)</f>
        <v>0</v>
      </c>
    </row>
    <row r="2833" customFormat="false" ht="15" hidden="false" customHeight="false" outlineLevel="0" collapsed="false">
      <c r="A2833" s="0" t="s">
        <v>609</v>
      </c>
      <c r="B2833" s="0" t="s">
        <v>63</v>
      </c>
      <c r="C2833" s="0" t="s">
        <v>64</v>
      </c>
      <c r="D2833" s="0" t="n">
        <v>2</v>
      </c>
      <c r="E2833" s="2" t="n">
        <v>40808.8097222222</v>
      </c>
      <c r="F2833" s="0" t="n">
        <v>2.43</v>
      </c>
      <c r="G2833" s="0" t="n">
        <v>16465</v>
      </c>
      <c r="H2833" s="3" t="s">
        <v>14</v>
      </c>
      <c r="I2833" s="4" t="n">
        <f aca="false">D2833*F2833</f>
        <v>4.86</v>
      </c>
      <c r="J2833" s="3" t="n">
        <f aca="false">IF(AND(LEFT(A2833,1)&lt;&gt;"C",D2833&gt;0,F2833&gt;0),1,0)</f>
        <v>1</v>
      </c>
      <c r="K2833" s="3" t="n">
        <f aca="false">IF(AND(H2833="United Kingdom",G2833&lt;&gt;"",COUNTIFS($G$2:G2833,G2833,$H$2:H2833,"United Kingdom")=1),1,0)</f>
        <v>0</v>
      </c>
    </row>
    <row r="2834" customFormat="false" ht="15" hidden="false" customHeight="false" outlineLevel="0" collapsed="false">
      <c r="A2834" s="0" t="s">
        <v>609</v>
      </c>
      <c r="B2834" s="0" t="s">
        <v>37</v>
      </c>
      <c r="C2834" s="0" t="s">
        <v>38</v>
      </c>
      <c r="D2834" s="0" t="n">
        <v>2</v>
      </c>
      <c r="E2834" s="2" t="n">
        <v>40808.8097222222</v>
      </c>
      <c r="F2834" s="0" t="n">
        <v>1.82</v>
      </c>
      <c r="G2834" s="0" t="n">
        <v>16465</v>
      </c>
      <c r="H2834" s="3" t="s">
        <v>14</v>
      </c>
      <c r="I2834" s="4" t="n">
        <f aca="false">D2834*F2834</f>
        <v>3.64</v>
      </c>
      <c r="J2834" s="3" t="n">
        <f aca="false">IF(AND(LEFT(A2834,1)&lt;&gt;"C",D2834&gt;0,F2834&gt;0),1,0)</f>
        <v>1</v>
      </c>
      <c r="K2834" s="3" t="n">
        <f aca="false">IF(AND(H2834="United Kingdom",G2834&lt;&gt;"",COUNTIFS($G$2:G2834,G2834,$H$2:H2834,"United Kingdom")=1),1,0)</f>
        <v>0</v>
      </c>
    </row>
    <row r="2835" customFormat="false" ht="15" hidden="false" customHeight="false" outlineLevel="0" collapsed="false">
      <c r="A2835" s="0" t="s">
        <v>609</v>
      </c>
      <c r="B2835" s="0" t="s">
        <v>113</v>
      </c>
      <c r="C2835" s="0" t="s">
        <v>114</v>
      </c>
      <c r="D2835" s="0" t="n">
        <v>4</v>
      </c>
      <c r="E2835" s="2" t="n">
        <v>40808.8097222222</v>
      </c>
      <c r="F2835" s="0" t="n">
        <v>3.57</v>
      </c>
      <c r="G2835" s="0" t="n">
        <v>16465</v>
      </c>
      <c r="H2835" s="3" t="s">
        <v>14</v>
      </c>
      <c r="I2835" s="4" t="n">
        <f aca="false">D2835*F2835</f>
        <v>14.28</v>
      </c>
      <c r="J2835" s="3" t="n">
        <f aca="false">IF(AND(LEFT(A2835,1)&lt;&gt;"C",D2835&gt;0,F2835&gt;0),1,0)</f>
        <v>1</v>
      </c>
      <c r="K2835" s="3" t="n">
        <f aca="false">IF(AND(H2835="United Kingdom",G2835&lt;&gt;"",COUNTIFS($G$2:G2835,G2835,$H$2:H2835,"United Kingdom")=1),1,0)</f>
        <v>0</v>
      </c>
    </row>
    <row r="2836" customFormat="false" ht="15" hidden="false" customHeight="false" outlineLevel="0" collapsed="false">
      <c r="A2836" s="0" t="s">
        <v>609</v>
      </c>
      <c r="B2836" s="0" t="s">
        <v>75</v>
      </c>
      <c r="C2836" s="0" t="s">
        <v>76</v>
      </c>
      <c r="D2836" s="0" t="n">
        <v>4</v>
      </c>
      <c r="E2836" s="2" t="n">
        <v>40808.8097222222</v>
      </c>
      <c r="F2836" s="0" t="n">
        <v>1.97</v>
      </c>
      <c r="G2836" s="0" t="n">
        <v>16465</v>
      </c>
      <c r="H2836" s="3" t="s">
        <v>14</v>
      </c>
      <c r="I2836" s="4" t="n">
        <f aca="false">D2836*F2836</f>
        <v>7.88</v>
      </c>
      <c r="J2836" s="3" t="n">
        <f aca="false">IF(AND(LEFT(A2836,1)&lt;&gt;"C",D2836&gt;0,F2836&gt;0),1,0)</f>
        <v>1</v>
      </c>
      <c r="K2836" s="3" t="n">
        <f aca="false">IF(AND(H2836="United Kingdom",G2836&lt;&gt;"",COUNTIFS($G$2:G2836,G2836,$H$2:H2836,"United Kingdom")=1),1,0)</f>
        <v>0</v>
      </c>
    </row>
    <row r="2837" customFormat="false" ht="15" hidden="false" customHeight="false" outlineLevel="0" collapsed="false">
      <c r="A2837" s="0" t="s">
        <v>610</v>
      </c>
      <c r="B2837" s="0" t="s">
        <v>45</v>
      </c>
      <c r="C2837" s="0" t="s">
        <v>46</v>
      </c>
      <c r="D2837" s="0" t="n">
        <v>8</v>
      </c>
      <c r="E2837" s="2" t="n">
        <v>40808.8111111111</v>
      </c>
      <c r="F2837" s="0" t="n">
        <v>4.55</v>
      </c>
      <c r="G2837" s="0" t="n">
        <v>18261</v>
      </c>
      <c r="H2837" s="3" t="s">
        <v>14</v>
      </c>
      <c r="I2837" s="4" t="n">
        <f aca="false">D2837*F2837</f>
        <v>36.4</v>
      </c>
      <c r="J2837" s="3" t="n">
        <f aca="false">IF(AND(LEFT(A2837,1)&lt;&gt;"C",D2837&gt;0,F2837&gt;0),1,0)</f>
        <v>1</v>
      </c>
      <c r="K2837" s="3" t="n">
        <f aca="false">IF(AND(H2837="United Kingdom",G2837&lt;&gt;"",COUNTIFS($G$2:G2837,G2837,$H$2:H2837,"United Kingdom")=1),1,0)</f>
        <v>0</v>
      </c>
    </row>
    <row r="2838" customFormat="false" ht="15" hidden="false" customHeight="false" outlineLevel="0" collapsed="false">
      <c r="A2838" s="0" t="s">
        <v>611</v>
      </c>
      <c r="B2838" s="0" t="s">
        <v>41</v>
      </c>
      <c r="C2838" s="0" t="s">
        <v>42</v>
      </c>
      <c r="D2838" s="0" t="n">
        <v>96</v>
      </c>
      <c r="E2838" s="2" t="n">
        <v>40808.8208333333</v>
      </c>
      <c r="F2838" s="0" t="n">
        <v>3.28</v>
      </c>
      <c r="G2838" s="0" t="n">
        <v>15070</v>
      </c>
      <c r="H2838" s="3" t="s">
        <v>14</v>
      </c>
      <c r="I2838" s="4" t="n">
        <f aca="false">D2838*F2838</f>
        <v>314.88</v>
      </c>
      <c r="J2838" s="3" t="n">
        <f aca="false">IF(AND(LEFT(A2838,1)&lt;&gt;"C",D2838&gt;0,F2838&gt;0),1,0)</f>
        <v>1</v>
      </c>
      <c r="K2838" s="3" t="n">
        <f aca="false">IF(AND(H2838="United Kingdom",G2838&lt;&gt;"",COUNTIFS($G$2:G2838,G2838,$H$2:H2838,"United Kingdom")=1),1,0)</f>
        <v>0</v>
      </c>
    </row>
    <row r="2839" customFormat="false" ht="15" hidden="false" customHeight="false" outlineLevel="0" collapsed="false">
      <c r="A2839" s="0" t="s">
        <v>611</v>
      </c>
      <c r="B2839" s="0" t="s">
        <v>77</v>
      </c>
      <c r="C2839" s="0" t="s">
        <v>78</v>
      </c>
      <c r="D2839" s="0" t="n">
        <v>48</v>
      </c>
      <c r="E2839" s="2" t="n">
        <v>40808.8208333333</v>
      </c>
      <c r="F2839" s="0" t="n">
        <v>3.41</v>
      </c>
      <c r="G2839" s="0" t="n">
        <v>15070</v>
      </c>
      <c r="H2839" s="3" t="s">
        <v>14</v>
      </c>
      <c r="I2839" s="4" t="n">
        <f aca="false">D2839*F2839</f>
        <v>163.68</v>
      </c>
      <c r="J2839" s="3" t="n">
        <f aca="false">IF(AND(LEFT(A2839,1)&lt;&gt;"C",D2839&gt;0,F2839&gt;0),1,0)</f>
        <v>1</v>
      </c>
      <c r="K2839" s="3" t="n">
        <f aca="false">IF(AND(H2839="United Kingdom",G2839&lt;&gt;"",COUNTIFS($G$2:G2839,G2839,$H$2:H2839,"United Kingdom")=1),1,0)</f>
        <v>0</v>
      </c>
    </row>
    <row r="2840" customFormat="false" ht="15" hidden="false" customHeight="false" outlineLevel="0" collapsed="false">
      <c r="A2840" s="0" t="s">
        <v>612</v>
      </c>
      <c r="B2840" s="0" t="s">
        <v>25</v>
      </c>
      <c r="C2840" s="0" t="s">
        <v>26</v>
      </c>
      <c r="D2840" s="0" t="n">
        <v>36</v>
      </c>
      <c r="E2840" s="2" t="n">
        <v>40809.4291666667</v>
      </c>
      <c r="F2840" s="0" t="n">
        <v>2.21</v>
      </c>
      <c r="G2840" s="0" t="n">
        <v>16228</v>
      </c>
      <c r="H2840" s="3" t="s">
        <v>14</v>
      </c>
      <c r="I2840" s="4" t="n">
        <f aca="false">D2840*F2840</f>
        <v>79.56</v>
      </c>
      <c r="J2840" s="3" t="n">
        <f aca="false">IF(AND(LEFT(A2840,1)&lt;&gt;"C",D2840&gt;0,F2840&gt;0),1,0)</f>
        <v>1</v>
      </c>
      <c r="K2840" s="3" t="n">
        <f aca="false">IF(AND(H2840="United Kingdom",G2840&lt;&gt;"",COUNTIFS($G$2:G2840,G2840,$H$2:H2840,"United Kingdom")=1),1,0)</f>
        <v>0</v>
      </c>
    </row>
    <row r="2841" customFormat="false" ht="15" hidden="false" customHeight="false" outlineLevel="0" collapsed="false">
      <c r="A2841" s="0" t="s">
        <v>612</v>
      </c>
      <c r="B2841" s="0" t="s">
        <v>77</v>
      </c>
      <c r="C2841" s="0" t="s">
        <v>78</v>
      </c>
      <c r="D2841" s="0" t="n">
        <v>96</v>
      </c>
      <c r="E2841" s="2" t="n">
        <v>40809.4291666667</v>
      </c>
      <c r="F2841" s="0" t="n">
        <v>3.41</v>
      </c>
      <c r="G2841" s="0" t="n">
        <v>16228</v>
      </c>
      <c r="H2841" s="3" t="s">
        <v>14</v>
      </c>
      <c r="I2841" s="4" t="n">
        <f aca="false">D2841*F2841</f>
        <v>327.36</v>
      </c>
      <c r="J2841" s="3" t="n">
        <f aca="false">IF(AND(LEFT(A2841,1)&lt;&gt;"C",D2841&gt;0,F2841&gt;0),1,0)</f>
        <v>1</v>
      </c>
      <c r="K2841" s="3" t="n">
        <f aca="false">IF(AND(H2841="United Kingdom",G2841&lt;&gt;"",COUNTIFS($G$2:G2841,G2841,$H$2:H2841,"United Kingdom")=1),1,0)</f>
        <v>0</v>
      </c>
    </row>
    <row r="2842" customFormat="false" ht="15" hidden="false" customHeight="false" outlineLevel="0" collapsed="false">
      <c r="A2842" s="0" t="s">
        <v>612</v>
      </c>
      <c r="B2842" s="0" t="s">
        <v>45</v>
      </c>
      <c r="C2842" s="0" t="s">
        <v>46</v>
      </c>
      <c r="D2842" s="0" t="n">
        <v>24</v>
      </c>
      <c r="E2842" s="2" t="n">
        <v>40809.4291666667</v>
      </c>
      <c r="F2842" s="0" t="n">
        <v>4.55</v>
      </c>
      <c r="G2842" s="0" t="n">
        <v>16228</v>
      </c>
      <c r="H2842" s="3" t="s">
        <v>14</v>
      </c>
      <c r="I2842" s="4" t="n">
        <f aca="false">D2842*F2842</f>
        <v>109.2</v>
      </c>
      <c r="J2842" s="3" t="n">
        <f aca="false">IF(AND(LEFT(A2842,1)&lt;&gt;"C",D2842&gt;0,F2842&gt;0),1,0)</f>
        <v>1</v>
      </c>
      <c r="K2842" s="3" t="n">
        <f aca="false">IF(AND(H2842="United Kingdom",G2842&lt;&gt;"",COUNTIFS($G$2:G2842,G2842,$H$2:H2842,"United Kingdom")=1),1,0)</f>
        <v>0</v>
      </c>
    </row>
    <row r="2843" customFormat="false" ht="15" hidden="false" customHeight="false" outlineLevel="0" collapsed="false">
      <c r="A2843" s="0" t="s">
        <v>612</v>
      </c>
      <c r="B2843" s="0" t="s">
        <v>65</v>
      </c>
      <c r="C2843" s="0" t="s">
        <v>66</v>
      </c>
      <c r="D2843" s="0" t="n">
        <v>108</v>
      </c>
      <c r="E2843" s="2" t="n">
        <v>40809.4291666667</v>
      </c>
      <c r="F2843" s="0" t="n">
        <v>4.75</v>
      </c>
      <c r="G2843" s="0" t="n">
        <v>16228</v>
      </c>
      <c r="H2843" s="3" t="s">
        <v>14</v>
      </c>
      <c r="I2843" s="4" t="n">
        <f aca="false">D2843*F2843</f>
        <v>513</v>
      </c>
      <c r="J2843" s="3" t="n">
        <f aca="false">IF(AND(LEFT(A2843,1)&lt;&gt;"C",D2843&gt;0,F2843&gt;0),1,0)</f>
        <v>1</v>
      </c>
      <c r="K2843" s="3" t="n">
        <f aca="false">IF(AND(H2843="United Kingdom",G2843&lt;&gt;"",COUNTIFS($G$2:G2843,G2843,$H$2:H2843,"United Kingdom")=1),1,0)</f>
        <v>0</v>
      </c>
    </row>
    <row r="2844" customFormat="false" ht="15" hidden="false" customHeight="false" outlineLevel="0" collapsed="false">
      <c r="A2844" s="0" t="s">
        <v>612</v>
      </c>
      <c r="B2844" s="0" t="s">
        <v>15</v>
      </c>
      <c r="C2844" s="0" t="s">
        <v>16</v>
      </c>
      <c r="D2844" s="0" t="n">
        <v>48</v>
      </c>
      <c r="E2844" s="2" t="n">
        <v>40809.4291666667</v>
      </c>
      <c r="F2844" s="0" t="n">
        <v>3.18</v>
      </c>
      <c r="G2844" s="0" t="n">
        <v>16228</v>
      </c>
      <c r="H2844" s="3" t="s">
        <v>14</v>
      </c>
      <c r="I2844" s="4" t="n">
        <f aca="false">D2844*F2844</f>
        <v>152.64</v>
      </c>
      <c r="J2844" s="3" t="n">
        <f aca="false">IF(AND(LEFT(A2844,1)&lt;&gt;"C",D2844&gt;0,F2844&gt;0),1,0)</f>
        <v>1</v>
      </c>
      <c r="K2844" s="3" t="n">
        <f aca="false">IF(AND(H2844="United Kingdom",G2844&lt;&gt;"",COUNTIFS($G$2:G2844,G2844,$H$2:H2844,"United Kingdom")=1),1,0)</f>
        <v>0</v>
      </c>
    </row>
    <row r="2845" customFormat="false" ht="15" hidden="false" customHeight="false" outlineLevel="0" collapsed="false">
      <c r="A2845" s="0" t="s">
        <v>613</v>
      </c>
      <c r="B2845" s="0" t="s">
        <v>39</v>
      </c>
      <c r="C2845" s="0" t="s">
        <v>40</v>
      </c>
      <c r="D2845" s="0" t="n">
        <v>4</v>
      </c>
      <c r="E2845" s="2" t="n">
        <v>40809.5604166667</v>
      </c>
      <c r="F2845" s="0" t="n">
        <v>2.58</v>
      </c>
      <c r="H2845" s="3" t="s">
        <v>14</v>
      </c>
      <c r="I2845" s="4" t="n">
        <f aca="false">D2845*F2845</f>
        <v>10.32</v>
      </c>
      <c r="J2845" s="3" t="n">
        <f aca="false">IF(AND(LEFT(A2845,1)&lt;&gt;"C",D2845&gt;0,F2845&gt;0),1,0)</f>
        <v>1</v>
      </c>
      <c r="K2845" s="3" t="n">
        <f aca="false">IF(AND(H2845="United Kingdom",G2845&lt;&gt;"",COUNTIFS($G$2:G2845,G2845,$H$2:H2845,"United Kingdom")=1),1,0)</f>
        <v>0</v>
      </c>
    </row>
    <row r="2846" customFormat="false" ht="15" hidden="false" customHeight="false" outlineLevel="0" collapsed="false">
      <c r="A2846" s="0" t="s">
        <v>613</v>
      </c>
      <c r="B2846" s="0" t="s">
        <v>15</v>
      </c>
      <c r="C2846" s="0" t="s">
        <v>16</v>
      </c>
      <c r="D2846" s="0" t="n">
        <v>8</v>
      </c>
      <c r="E2846" s="2" t="n">
        <v>40809.5604166667</v>
      </c>
      <c r="F2846" s="0" t="n">
        <v>3.18</v>
      </c>
      <c r="H2846" s="3" t="s">
        <v>14</v>
      </c>
      <c r="I2846" s="4" t="n">
        <f aca="false">D2846*F2846</f>
        <v>25.44</v>
      </c>
      <c r="J2846" s="3" t="n">
        <f aca="false">IF(AND(LEFT(A2846,1)&lt;&gt;"C",D2846&gt;0,F2846&gt;0),1,0)</f>
        <v>1</v>
      </c>
      <c r="K2846" s="3" t="n">
        <f aca="false">IF(AND(H2846="United Kingdom",G2846&lt;&gt;"",COUNTIFS($G$2:G2846,G2846,$H$2:H2846,"United Kingdom")=1),1,0)</f>
        <v>0</v>
      </c>
    </row>
    <row r="2847" customFormat="false" ht="15" hidden="false" customHeight="false" outlineLevel="0" collapsed="false">
      <c r="A2847" s="0" t="s">
        <v>613</v>
      </c>
      <c r="B2847" s="0" t="s">
        <v>63</v>
      </c>
      <c r="C2847" s="0" t="s">
        <v>64</v>
      </c>
      <c r="D2847" s="0" t="n">
        <v>8</v>
      </c>
      <c r="E2847" s="2" t="n">
        <v>40809.5604166667</v>
      </c>
      <c r="F2847" s="0" t="n">
        <v>2.43</v>
      </c>
      <c r="H2847" s="3" t="s">
        <v>14</v>
      </c>
      <c r="I2847" s="4" t="n">
        <f aca="false">D2847*F2847</f>
        <v>19.44</v>
      </c>
      <c r="J2847" s="3" t="n">
        <f aca="false">IF(AND(LEFT(A2847,1)&lt;&gt;"C",D2847&gt;0,F2847&gt;0),1,0)</f>
        <v>1</v>
      </c>
      <c r="K2847" s="3" t="n">
        <f aca="false">IF(AND(H2847="United Kingdom",G2847&lt;&gt;"",COUNTIFS($G$2:G2847,G2847,$H$2:H2847,"United Kingdom")=1),1,0)</f>
        <v>0</v>
      </c>
    </row>
    <row r="2848" customFormat="false" ht="15" hidden="false" customHeight="false" outlineLevel="0" collapsed="false">
      <c r="A2848" s="0" t="s">
        <v>614</v>
      </c>
      <c r="B2848" s="0" t="s">
        <v>58</v>
      </c>
      <c r="C2848" s="0" t="s">
        <v>59</v>
      </c>
      <c r="D2848" s="0" t="n">
        <v>2</v>
      </c>
      <c r="E2848" s="2" t="n">
        <v>40809.6416666667</v>
      </c>
      <c r="F2848" s="0" t="n">
        <v>2.16</v>
      </c>
      <c r="G2848" s="0" t="n">
        <v>16461</v>
      </c>
      <c r="H2848" s="3" t="s">
        <v>14</v>
      </c>
      <c r="I2848" s="4" t="n">
        <f aca="false">D2848*F2848</f>
        <v>4.32</v>
      </c>
      <c r="J2848" s="3" t="n">
        <f aca="false">IF(AND(LEFT(A2848,1)&lt;&gt;"C",D2848&gt;0,F2848&gt;0),1,0)</f>
        <v>1</v>
      </c>
      <c r="K2848" s="3" t="n">
        <f aca="false">IF(AND(H2848="United Kingdom",G2848&lt;&gt;"",COUNTIFS($G$2:G2848,G2848,$H$2:H2848,"United Kingdom")=1),1,0)</f>
        <v>0</v>
      </c>
    </row>
    <row r="2849" customFormat="false" ht="15" hidden="false" customHeight="false" outlineLevel="0" collapsed="false">
      <c r="A2849" s="0" t="s">
        <v>614</v>
      </c>
      <c r="B2849" s="0" t="s">
        <v>29</v>
      </c>
      <c r="C2849" s="0" t="s">
        <v>30</v>
      </c>
      <c r="D2849" s="0" t="n">
        <v>6</v>
      </c>
      <c r="E2849" s="2" t="n">
        <v>40809.6416666667</v>
      </c>
      <c r="F2849" s="0" t="n">
        <v>5.79</v>
      </c>
      <c r="G2849" s="0" t="n">
        <v>16461</v>
      </c>
      <c r="H2849" s="3" t="s">
        <v>14</v>
      </c>
      <c r="I2849" s="4" t="n">
        <f aca="false">D2849*F2849</f>
        <v>34.74</v>
      </c>
      <c r="J2849" s="3" t="n">
        <f aca="false">IF(AND(LEFT(A2849,1)&lt;&gt;"C",D2849&gt;0,F2849&gt;0),1,0)</f>
        <v>1</v>
      </c>
      <c r="K2849" s="3" t="n">
        <f aca="false">IF(AND(H2849="United Kingdom",G2849&lt;&gt;"",COUNTIFS($G$2:G2849,G2849,$H$2:H2849,"United Kingdom")=1),1,0)</f>
        <v>0</v>
      </c>
    </row>
    <row r="2850" customFormat="false" ht="15" hidden="false" customHeight="false" outlineLevel="0" collapsed="false">
      <c r="A2850" s="0" t="s">
        <v>614</v>
      </c>
      <c r="B2850" s="0" t="s">
        <v>39</v>
      </c>
      <c r="C2850" s="0" t="s">
        <v>40</v>
      </c>
      <c r="D2850" s="0" t="n">
        <v>2</v>
      </c>
      <c r="E2850" s="2" t="n">
        <v>40809.6416666667</v>
      </c>
      <c r="F2850" s="0" t="n">
        <v>2.58</v>
      </c>
      <c r="G2850" s="0" t="n">
        <v>16461</v>
      </c>
      <c r="H2850" s="3" t="s">
        <v>14</v>
      </c>
      <c r="I2850" s="4" t="n">
        <f aca="false">D2850*F2850</f>
        <v>5.16</v>
      </c>
      <c r="J2850" s="3" t="n">
        <f aca="false">IF(AND(LEFT(A2850,1)&lt;&gt;"C",D2850&gt;0,F2850&gt;0),1,0)</f>
        <v>1</v>
      </c>
      <c r="K2850" s="3" t="n">
        <f aca="false">IF(AND(H2850="United Kingdom",G2850&lt;&gt;"",COUNTIFS($G$2:G2850,G2850,$H$2:H2850,"United Kingdom")=1),1,0)</f>
        <v>0</v>
      </c>
    </row>
    <row r="2851" customFormat="false" ht="15" hidden="false" customHeight="false" outlineLevel="0" collapsed="false">
      <c r="A2851" s="0" t="s">
        <v>614</v>
      </c>
      <c r="B2851" s="0" t="s">
        <v>52</v>
      </c>
      <c r="C2851" s="0" t="s">
        <v>53</v>
      </c>
      <c r="D2851" s="0" t="n">
        <v>6</v>
      </c>
      <c r="E2851" s="2" t="n">
        <v>40809.6416666667</v>
      </c>
      <c r="F2851" s="0" t="n">
        <v>4.16</v>
      </c>
      <c r="G2851" s="0" t="n">
        <v>16461</v>
      </c>
      <c r="H2851" s="3" t="s">
        <v>14</v>
      </c>
      <c r="I2851" s="4" t="n">
        <f aca="false">D2851*F2851</f>
        <v>24.96</v>
      </c>
      <c r="J2851" s="3" t="n">
        <f aca="false">IF(AND(LEFT(A2851,1)&lt;&gt;"C",D2851&gt;0,F2851&gt;0),1,0)</f>
        <v>1</v>
      </c>
      <c r="K2851" s="3" t="n">
        <f aca="false">IF(AND(H2851="United Kingdom",G2851&lt;&gt;"",COUNTIFS($G$2:G2851,G2851,$H$2:H2851,"United Kingdom")=1),1,0)</f>
        <v>0</v>
      </c>
    </row>
    <row r="2852" customFormat="false" ht="15" hidden="false" customHeight="false" outlineLevel="0" collapsed="false">
      <c r="A2852" s="0" t="s">
        <v>614</v>
      </c>
      <c r="B2852" s="0" t="s">
        <v>54</v>
      </c>
      <c r="C2852" s="0" t="s">
        <v>55</v>
      </c>
      <c r="D2852" s="0" t="n">
        <v>24</v>
      </c>
      <c r="E2852" s="2" t="n">
        <v>40809.6416666667</v>
      </c>
      <c r="F2852" s="0" t="n">
        <v>0.99</v>
      </c>
      <c r="G2852" s="0" t="n">
        <v>16461</v>
      </c>
      <c r="H2852" s="3" t="s">
        <v>14</v>
      </c>
      <c r="I2852" s="4" t="n">
        <f aca="false">D2852*F2852</f>
        <v>23.76</v>
      </c>
      <c r="J2852" s="3" t="n">
        <f aca="false">IF(AND(LEFT(A2852,1)&lt;&gt;"C",D2852&gt;0,F2852&gt;0),1,0)</f>
        <v>1</v>
      </c>
      <c r="K2852" s="3" t="n">
        <f aca="false">IF(AND(H2852="United Kingdom",G2852&lt;&gt;"",COUNTIFS($G$2:G2852,G2852,$H$2:H2852,"United Kingdom")=1),1,0)</f>
        <v>0</v>
      </c>
    </row>
    <row r="2853" customFormat="false" ht="15" hidden="false" customHeight="false" outlineLevel="0" collapsed="false">
      <c r="A2853" s="0" t="s">
        <v>615</v>
      </c>
      <c r="B2853" s="0" t="s">
        <v>54</v>
      </c>
      <c r="C2853" s="0" t="s">
        <v>55</v>
      </c>
      <c r="D2853" s="0" t="n">
        <v>432</v>
      </c>
      <c r="E2853" s="2" t="n">
        <v>40809.7694444444</v>
      </c>
      <c r="F2853" s="0" t="n">
        <v>0.99</v>
      </c>
      <c r="G2853" s="0" t="n">
        <v>14601</v>
      </c>
      <c r="H2853" s="3" t="s">
        <v>14</v>
      </c>
      <c r="I2853" s="4" t="n">
        <f aca="false">D2853*F2853</f>
        <v>427.68</v>
      </c>
      <c r="J2853" s="3" t="n">
        <f aca="false">IF(AND(LEFT(A2853,1)&lt;&gt;"C",D2853&gt;0,F2853&gt;0),1,0)</f>
        <v>1</v>
      </c>
      <c r="K2853" s="3" t="n">
        <f aca="false">IF(AND(H2853="United Kingdom",G2853&lt;&gt;"",COUNTIFS($G$2:G2853,G2853,$H$2:H2853,"United Kingdom")=1),1,0)</f>
        <v>0</v>
      </c>
    </row>
    <row r="2854" customFormat="false" ht="15" hidden="false" customHeight="false" outlineLevel="0" collapsed="false">
      <c r="A2854" s="0" t="s">
        <v>615</v>
      </c>
      <c r="B2854" s="0" t="s">
        <v>72</v>
      </c>
      <c r="C2854" s="0" t="s">
        <v>73</v>
      </c>
      <c r="D2854" s="0" t="n">
        <v>72</v>
      </c>
      <c r="E2854" s="2" t="n">
        <v>40809.7694444444</v>
      </c>
      <c r="F2854" s="0" t="n">
        <v>2.69</v>
      </c>
      <c r="G2854" s="0" t="n">
        <v>14601</v>
      </c>
      <c r="H2854" s="3" t="s">
        <v>14</v>
      </c>
      <c r="I2854" s="4" t="n">
        <f aca="false">D2854*F2854</f>
        <v>193.68</v>
      </c>
      <c r="J2854" s="3" t="n">
        <f aca="false">IF(AND(LEFT(A2854,1)&lt;&gt;"C",D2854&gt;0,F2854&gt;0),1,0)</f>
        <v>1</v>
      </c>
      <c r="K2854" s="3" t="n">
        <f aca="false">IF(AND(H2854="United Kingdom",G2854&lt;&gt;"",COUNTIFS($G$2:G2854,G2854,$H$2:H2854,"United Kingdom")=1),1,0)</f>
        <v>0</v>
      </c>
    </row>
    <row r="2855" customFormat="false" ht="15" hidden="false" customHeight="false" outlineLevel="0" collapsed="false">
      <c r="A2855" s="0" t="s">
        <v>615</v>
      </c>
      <c r="B2855" s="0" t="s">
        <v>58</v>
      </c>
      <c r="C2855" s="0" t="s">
        <v>59</v>
      </c>
      <c r="D2855" s="0" t="n">
        <v>24</v>
      </c>
      <c r="E2855" s="2" t="n">
        <v>40809.7694444444</v>
      </c>
      <c r="F2855" s="0" t="n">
        <v>2.16</v>
      </c>
      <c r="G2855" s="0" t="n">
        <v>14601</v>
      </c>
      <c r="H2855" s="3" t="s">
        <v>14</v>
      </c>
      <c r="I2855" s="4" t="n">
        <f aca="false">D2855*F2855</f>
        <v>51.84</v>
      </c>
      <c r="J2855" s="3" t="n">
        <f aca="false">IF(AND(LEFT(A2855,1)&lt;&gt;"C",D2855&gt;0,F2855&gt;0),1,0)</f>
        <v>1</v>
      </c>
      <c r="K2855" s="3" t="n">
        <f aca="false">IF(AND(H2855="United Kingdom",G2855&lt;&gt;"",COUNTIFS($G$2:G2855,G2855,$H$2:H2855,"United Kingdom")=1),1,0)</f>
        <v>0</v>
      </c>
    </row>
    <row r="2856" customFormat="false" ht="15" hidden="false" customHeight="false" outlineLevel="0" collapsed="false">
      <c r="A2856" s="0" t="s">
        <v>615</v>
      </c>
      <c r="B2856" s="0" t="s">
        <v>75</v>
      </c>
      <c r="C2856" s="0" t="s">
        <v>76</v>
      </c>
      <c r="D2856" s="0" t="n">
        <v>192</v>
      </c>
      <c r="E2856" s="2" t="n">
        <v>40809.7694444444</v>
      </c>
      <c r="F2856" s="0" t="n">
        <v>1.97</v>
      </c>
      <c r="G2856" s="0" t="n">
        <v>14601</v>
      </c>
      <c r="H2856" s="3" t="s">
        <v>14</v>
      </c>
      <c r="I2856" s="4" t="n">
        <f aca="false">D2856*F2856</f>
        <v>378.24</v>
      </c>
      <c r="J2856" s="3" t="n">
        <f aca="false">IF(AND(LEFT(A2856,1)&lt;&gt;"C",D2856&gt;0,F2856&gt;0),1,0)</f>
        <v>1</v>
      </c>
      <c r="K2856" s="3" t="n">
        <f aca="false">IF(AND(H2856="United Kingdom",G2856&lt;&gt;"",COUNTIFS($G$2:G2856,G2856,$H$2:H2856,"United Kingdom")=1),1,0)</f>
        <v>0</v>
      </c>
    </row>
    <row r="2857" customFormat="false" ht="15" hidden="false" customHeight="false" outlineLevel="0" collapsed="false">
      <c r="A2857" s="0" t="s">
        <v>615</v>
      </c>
      <c r="B2857" s="0" t="s">
        <v>32</v>
      </c>
      <c r="C2857" s="0" t="s">
        <v>33</v>
      </c>
      <c r="D2857" s="0" t="n">
        <v>72</v>
      </c>
      <c r="E2857" s="2" t="n">
        <v>40809.7694444444</v>
      </c>
      <c r="F2857" s="0" t="n">
        <v>1.19</v>
      </c>
      <c r="G2857" s="0" t="n">
        <v>14601</v>
      </c>
      <c r="H2857" s="3" t="s">
        <v>14</v>
      </c>
      <c r="I2857" s="4" t="n">
        <f aca="false">D2857*F2857</f>
        <v>85.68</v>
      </c>
      <c r="J2857" s="3" t="n">
        <f aca="false">IF(AND(LEFT(A2857,1)&lt;&gt;"C",D2857&gt;0,F2857&gt;0),1,0)</f>
        <v>1</v>
      </c>
      <c r="K2857" s="3" t="n">
        <f aca="false">IF(AND(H2857="United Kingdom",G2857&lt;&gt;"",COUNTIFS($G$2:G2857,G2857,$H$2:H2857,"United Kingdom")=1),1,0)</f>
        <v>0</v>
      </c>
    </row>
    <row r="2858" customFormat="false" ht="15" hidden="false" customHeight="false" outlineLevel="0" collapsed="false">
      <c r="A2858" s="0" t="s">
        <v>615</v>
      </c>
      <c r="B2858" s="0" t="s">
        <v>12</v>
      </c>
      <c r="C2858" s="0" t="s">
        <v>13</v>
      </c>
      <c r="D2858" s="0" t="n">
        <v>72</v>
      </c>
      <c r="E2858" s="2" t="n">
        <v>40809.7694444444</v>
      </c>
      <c r="F2858" s="0" t="n">
        <v>3.33</v>
      </c>
      <c r="G2858" s="0" t="n">
        <v>14601</v>
      </c>
      <c r="H2858" s="3" t="s">
        <v>14</v>
      </c>
      <c r="I2858" s="4" t="n">
        <f aca="false">D2858*F2858</f>
        <v>239.76</v>
      </c>
      <c r="J2858" s="3" t="n">
        <f aca="false">IF(AND(LEFT(A2858,1)&lt;&gt;"C",D2858&gt;0,F2858&gt;0),1,0)</f>
        <v>1</v>
      </c>
      <c r="K2858" s="3" t="n">
        <f aca="false">IF(AND(H2858="United Kingdom",G2858&lt;&gt;"",COUNTIFS($G$2:G2858,G2858,$H$2:H2858,"United Kingdom")=1),1,0)</f>
        <v>0</v>
      </c>
    </row>
    <row r="2859" customFormat="false" ht="15" hidden="false" customHeight="false" outlineLevel="0" collapsed="false">
      <c r="A2859" s="0" t="s">
        <v>615</v>
      </c>
      <c r="B2859" s="0" t="s">
        <v>45</v>
      </c>
      <c r="C2859" s="0" t="s">
        <v>46</v>
      </c>
      <c r="D2859" s="0" t="n">
        <v>36</v>
      </c>
      <c r="E2859" s="2" t="n">
        <v>40809.7694444444</v>
      </c>
      <c r="F2859" s="0" t="n">
        <v>4.55</v>
      </c>
      <c r="G2859" s="0" t="n">
        <v>14601</v>
      </c>
      <c r="H2859" s="3" t="s">
        <v>14</v>
      </c>
      <c r="I2859" s="4" t="n">
        <f aca="false">D2859*F2859</f>
        <v>163.8</v>
      </c>
      <c r="J2859" s="3" t="n">
        <f aca="false">IF(AND(LEFT(A2859,1)&lt;&gt;"C",D2859&gt;0,F2859&gt;0),1,0)</f>
        <v>1</v>
      </c>
      <c r="K2859" s="3" t="n">
        <f aca="false">IF(AND(H2859="United Kingdom",G2859&lt;&gt;"",COUNTIFS($G$2:G2859,G2859,$H$2:H2859,"United Kingdom")=1),1,0)</f>
        <v>0</v>
      </c>
    </row>
    <row r="2860" customFormat="false" ht="15" hidden="false" customHeight="false" outlineLevel="0" collapsed="false">
      <c r="A2860" s="0" t="s">
        <v>615</v>
      </c>
      <c r="B2860" s="0" t="s">
        <v>41</v>
      </c>
      <c r="C2860" s="0" t="s">
        <v>42</v>
      </c>
      <c r="D2860" s="0" t="n">
        <v>72</v>
      </c>
      <c r="E2860" s="2" t="n">
        <v>40809.7694444444</v>
      </c>
      <c r="F2860" s="0" t="n">
        <v>3.28</v>
      </c>
      <c r="G2860" s="0" t="n">
        <v>14601</v>
      </c>
      <c r="H2860" s="3" t="s">
        <v>14</v>
      </c>
      <c r="I2860" s="4" t="n">
        <f aca="false">D2860*F2860</f>
        <v>236.16</v>
      </c>
      <c r="J2860" s="3" t="n">
        <f aca="false">IF(AND(LEFT(A2860,1)&lt;&gt;"C",D2860&gt;0,F2860&gt;0),1,0)</f>
        <v>1</v>
      </c>
      <c r="K2860" s="3" t="n">
        <f aca="false">IF(AND(H2860="United Kingdom",G2860&lt;&gt;"",COUNTIFS($G$2:G2860,G2860,$H$2:H2860,"United Kingdom")=1),1,0)</f>
        <v>0</v>
      </c>
    </row>
    <row r="2861" customFormat="false" ht="15" hidden="false" customHeight="false" outlineLevel="0" collapsed="false">
      <c r="A2861" s="0" t="s">
        <v>615</v>
      </c>
      <c r="B2861" s="0" t="s">
        <v>15</v>
      </c>
      <c r="C2861" s="0" t="s">
        <v>16</v>
      </c>
      <c r="D2861" s="0" t="n">
        <v>216</v>
      </c>
      <c r="E2861" s="2" t="n">
        <v>40809.7694444444</v>
      </c>
      <c r="F2861" s="0" t="n">
        <v>3.18</v>
      </c>
      <c r="G2861" s="0" t="n">
        <v>14601</v>
      </c>
      <c r="H2861" s="3" t="s">
        <v>14</v>
      </c>
      <c r="I2861" s="4" t="n">
        <f aca="false">D2861*F2861</f>
        <v>686.88</v>
      </c>
      <c r="J2861" s="3" t="n">
        <f aca="false">IF(AND(LEFT(A2861,1)&lt;&gt;"C",D2861&gt;0,F2861&gt;0),1,0)</f>
        <v>1</v>
      </c>
      <c r="K2861" s="3" t="n">
        <f aca="false">IF(AND(H2861="United Kingdom",G2861&lt;&gt;"",COUNTIFS($G$2:G2861,G2861,$H$2:H2861,"United Kingdom")=1),1,0)</f>
        <v>0</v>
      </c>
    </row>
    <row r="2862" customFormat="false" ht="15" hidden="false" customHeight="false" outlineLevel="0" collapsed="false">
      <c r="A2862" s="0" t="s">
        <v>615</v>
      </c>
      <c r="B2862" s="0" t="s">
        <v>60</v>
      </c>
      <c r="C2862" s="0" t="s">
        <v>61</v>
      </c>
      <c r="D2862" s="0" t="n">
        <v>96</v>
      </c>
      <c r="E2862" s="2" t="n">
        <v>40809.7694444444</v>
      </c>
      <c r="F2862" s="0" t="n">
        <v>0.63</v>
      </c>
      <c r="G2862" s="0" t="n">
        <v>14601</v>
      </c>
      <c r="H2862" s="3" t="s">
        <v>14</v>
      </c>
      <c r="I2862" s="4" t="n">
        <f aca="false">D2862*F2862</f>
        <v>60.48</v>
      </c>
      <c r="J2862" s="3" t="n">
        <f aca="false">IF(AND(LEFT(A2862,1)&lt;&gt;"C",D2862&gt;0,F2862&gt;0),1,0)</f>
        <v>1</v>
      </c>
      <c r="K2862" s="3" t="n">
        <f aca="false">IF(AND(H2862="United Kingdom",G2862&lt;&gt;"",COUNTIFS($G$2:G2862,G2862,$H$2:H2862,"United Kingdom")=1),1,0)</f>
        <v>0</v>
      </c>
    </row>
    <row r="2863" customFormat="false" ht="15" hidden="false" customHeight="false" outlineLevel="0" collapsed="false">
      <c r="A2863" s="0" t="s">
        <v>615</v>
      </c>
      <c r="B2863" s="0" t="s">
        <v>65</v>
      </c>
      <c r="C2863" s="0" t="s">
        <v>66</v>
      </c>
      <c r="D2863" s="0" t="n">
        <v>72</v>
      </c>
      <c r="E2863" s="2" t="n">
        <v>40809.7694444444</v>
      </c>
      <c r="F2863" s="0" t="n">
        <v>4.75</v>
      </c>
      <c r="G2863" s="0" t="n">
        <v>14601</v>
      </c>
      <c r="H2863" s="3" t="s">
        <v>14</v>
      </c>
      <c r="I2863" s="4" t="n">
        <f aca="false">D2863*F2863</f>
        <v>342</v>
      </c>
      <c r="J2863" s="3" t="n">
        <f aca="false">IF(AND(LEFT(A2863,1)&lt;&gt;"C",D2863&gt;0,F2863&gt;0),1,0)</f>
        <v>1</v>
      </c>
      <c r="K2863" s="3" t="n">
        <f aca="false">IF(AND(H2863="United Kingdom",G2863&lt;&gt;"",COUNTIFS($G$2:G2863,G2863,$H$2:H2863,"United Kingdom")=1),1,0)</f>
        <v>0</v>
      </c>
    </row>
    <row r="2864" customFormat="false" ht="15" hidden="false" customHeight="false" outlineLevel="0" collapsed="false">
      <c r="A2864" s="0" t="s">
        <v>615</v>
      </c>
      <c r="B2864" s="0" t="s">
        <v>90</v>
      </c>
      <c r="C2864" s="0" t="s">
        <v>91</v>
      </c>
      <c r="D2864" s="0" t="n">
        <v>6</v>
      </c>
      <c r="E2864" s="2" t="n">
        <v>40809.7694444444</v>
      </c>
      <c r="F2864" s="0" t="n">
        <v>3.04</v>
      </c>
      <c r="G2864" s="0" t="n">
        <v>14601</v>
      </c>
      <c r="H2864" s="3" t="s">
        <v>14</v>
      </c>
      <c r="I2864" s="4" t="n">
        <f aca="false">D2864*F2864</f>
        <v>18.24</v>
      </c>
      <c r="J2864" s="3" t="n">
        <f aca="false">IF(AND(LEFT(A2864,1)&lt;&gt;"C",D2864&gt;0,F2864&gt;0),1,0)</f>
        <v>1</v>
      </c>
      <c r="K2864" s="3" t="n">
        <f aca="false">IF(AND(H2864="United Kingdom",G2864&lt;&gt;"",COUNTIFS($G$2:G2864,G2864,$H$2:H2864,"United Kingdom")=1),1,0)</f>
        <v>0</v>
      </c>
    </row>
    <row r="2865" customFormat="false" ht="15" hidden="false" customHeight="false" outlineLevel="0" collapsed="false">
      <c r="A2865" s="0" t="s">
        <v>615</v>
      </c>
      <c r="B2865" s="0" t="s">
        <v>37</v>
      </c>
      <c r="C2865" s="0" t="s">
        <v>38</v>
      </c>
      <c r="D2865" s="0" t="n">
        <v>48</v>
      </c>
      <c r="E2865" s="2" t="n">
        <v>40809.7694444444</v>
      </c>
      <c r="F2865" s="0" t="n">
        <v>1.82</v>
      </c>
      <c r="G2865" s="0" t="n">
        <v>14601</v>
      </c>
      <c r="H2865" s="3" t="s">
        <v>14</v>
      </c>
      <c r="I2865" s="4" t="n">
        <f aca="false">D2865*F2865</f>
        <v>87.36</v>
      </c>
      <c r="J2865" s="3" t="n">
        <f aca="false">IF(AND(LEFT(A2865,1)&lt;&gt;"C",D2865&gt;0,F2865&gt;0),1,0)</f>
        <v>1</v>
      </c>
      <c r="K2865" s="3" t="n">
        <f aca="false">IF(AND(H2865="United Kingdom",G2865&lt;&gt;"",COUNTIFS($G$2:G2865,G2865,$H$2:H2865,"United Kingdom")=1),1,0)</f>
        <v>0</v>
      </c>
    </row>
    <row r="2866" customFormat="false" ht="15" hidden="false" customHeight="false" outlineLevel="0" collapsed="false">
      <c r="A2866" s="0" t="s">
        <v>615</v>
      </c>
      <c r="B2866" s="0" t="s">
        <v>68</v>
      </c>
      <c r="C2866" s="0" t="s">
        <v>69</v>
      </c>
      <c r="D2866" s="0" t="n">
        <v>72</v>
      </c>
      <c r="E2866" s="2" t="n">
        <v>40809.7694444444</v>
      </c>
      <c r="F2866" s="0" t="n">
        <v>1.26</v>
      </c>
      <c r="G2866" s="0" t="n">
        <v>14601</v>
      </c>
      <c r="H2866" s="3" t="s">
        <v>14</v>
      </c>
      <c r="I2866" s="4" t="n">
        <f aca="false">D2866*F2866</f>
        <v>90.72</v>
      </c>
      <c r="J2866" s="3" t="n">
        <f aca="false">IF(AND(LEFT(A2866,1)&lt;&gt;"C",D2866&gt;0,F2866&gt;0),1,0)</f>
        <v>1</v>
      </c>
      <c r="K2866" s="3" t="n">
        <f aca="false">IF(AND(H2866="United Kingdom",G2866&lt;&gt;"",COUNTIFS($G$2:G2866,G2866,$H$2:H2866,"United Kingdom")=1),1,0)</f>
        <v>0</v>
      </c>
    </row>
    <row r="2867" customFormat="false" ht="15" hidden="false" customHeight="false" outlineLevel="0" collapsed="false">
      <c r="A2867" s="0" t="s">
        <v>615</v>
      </c>
      <c r="B2867" s="0" t="s">
        <v>77</v>
      </c>
      <c r="C2867" s="0" t="s">
        <v>78</v>
      </c>
      <c r="D2867" s="0" t="n">
        <v>24</v>
      </c>
      <c r="E2867" s="2" t="n">
        <v>40809.7694444444</v>
      </c>
      <c r="F2867" s="0" t="n">
        <v>3.41</v>
      </c>
      <c r="G2867" s="0" t="n">
        <v>14601</v>
      </c>
      <c r="H2867" s="3" t="s">
        <v>14</v>
      </c>
      <c r="I2867" s="4" t="n">
        <f aca="false">D2867*F2867</f>
        <v>81.84</v>
      </c>
      <c r="J2867" s="3" t="n">
        <f aca="false">IF(AND(LEFT(A2867,1)&lt;&gt;"C",D2867&gt;0,F2867&gt;0),1,0)</f>
        <v>1</v>
      </c>
      <c r="K2867" s="3" t="n">
        <f aca="false">IF(AND(H2867="United Kingdom",G2867&lt;&gt;"",COUNTIFS($G$2:G2867,G2867,$H$2:H2867,"United Kingdom")=1),1,0)</f>
        <v>0</v>
      </c>
    </row>
    <row r="2868" customFormat="false" ht="15" hidden="false" customHeight="false" outlineLevel="0" collapsed="false">
      <c r="A2868" s="0" t="s">
        <v>615</v>
      </c>
      <c r="B2868" s="0" t="s">
        <v>113</v>
      </c>
      <c r="C2868" s="0" t="s">
        <v>114</v>
      </c>
      <c r="D2868" s="0" t="n">
        <v>432</v>
      </c>
      <c r="E2868" s="2" t="n">
        <v>40809.7694444444</v>
      </c>
      <c r="F2868" s="0" t="n">
        <v>3.57</v>
      </c>
      <c r="G2868" s="0" t="n">
        <v>14601</v>
      </c>
      <c r="H2868" s="3" t="s">
        <v>14</v>
      </c>
      <c r="I2868" s="4" t="n">
        <f aca="false">D2868*F2868</f>
        <v>1542.24</v>
      </c>
      <c r="J2868" s="3" t="n">
        <f aca="false">IF(AND(LEFT(A2868,1)&lt;&gt;"C",D2868&gt;0,F2868&gt;0),1,0)</f>
        <v>1</v>
      </c>
      <c r="K2868" s="3" t="n">
        <f aca="false">IF(AND(H2868="United Kingdom",G2868&lt;&gt;"",COUNTIFS($G$2:G2868,G2868,$H$2:H2868,"United Kingdom")=1),1,0)</f>
        <v>0</v>
      </c>
    </row>
    <row r="2869" customFormat="false" ht="15" hidden="false" customHeight="false" outlineLevel="0" collapsed="false">
      <c r="A2869" s="0" t="s">
        <v>615</v>
      </c>
      <c r="B2869" s="0" t="s">
        <v>39</v>
      </c>
      <c r="C2869" s="0" t="s">
        <v>40</v>
      </c>
      <c r="D2869" s="0" t="n">
        <v>288</v>
      </c>
      <c r="E2869" s="2" t="n">
        <v>40809.7694444444</v>
      </c>
      <c r="F2869" s="0" t="n">
        <v>2.58</v>
      </c>
      <c r="G2869" s="0" t="n">
        <v>14601</v>
      </c>
      <c r="H2869" s="3" t="s">
        <v>14</v>
      </c>
      <c r="I2869" s="4" t="n">
        <f aca="false">D2869*F2869</f>
        <v>743.04</v>
      </c>
      <c r="J2869" s="3" t="n">
        <f aca="false">IF(AND(LEFT(A2869,1)&lt;&gt;"C",D2869&gt;0,F2869&gt;0),1,0)</f>
        <v>1</v>
      </c>
      <c r="K2869" s="3" t="n">
        <f aca="false">IF(AND(H2869="United Kingdom",G2869&lt;&gt;"",COUNTIFS($G$2:G2869,G2869,$H$2:H2869,"United Kingdom")=1),1,0)</f>
        <v>0</v>
      </c>
    </row>
    <row r="2870" customFormat="false" ht="15" hidden="false" customHeight="false" outlineLevel="0" collapsed="false">
      <c r="A2870" s="0" t="s">
        <v>615</v>
      </c>
      <c r="B2870" s="0" t="s">
        <v>63</v>
      </c>
      <c r="C2870" s="0" t="s">
        <v>64</v>
      </c>
      <c r="D2870" s="0" t="n">
        <v>36</v>
      </c>
      <c r="E2870" s="2" t="n">
        <v>40809.7694444444</v>
      </c>
      <c r="F2870" s="0" t="n">
        <v>2.43</v>
      </c>
      <c r="G2870" s="0" t="n">
        <v>14601</v>
      </c>
      <c r="H2870" s="3" t="s">
        <v>14</v>
      </c>
      <c r="I2870" s="4" t="n">
        <f aca="false">D2870*F2870</f>
        <v>87.48</v>
      </c>
      <c r="J2870" s="3" t="n">
        <f aca="false">IF(AND(LEFT(A2870,1)&lt;&gt;"C",D2870&gt;0,F2870&gt;0),1,0)</f>
        <v>1</v>
      </c>
      <c r="K2870" s="3" t="n">
        <f aca="false">IF(AND(H2870="United Kingdom",G2870&lt;&gt;"",COUNTIFS($G$2:G2870,G2870,$H$2:H2870,"United Kingdom")=1),1,0)</f>
        <v>0</v>
      </c>
    </row>
    <row r="2871" customFormat="false" ht="15" hidden="false" customHeight="false" outlineLevel="0" collapsed="false">
      <c r="A2871" s="0" t="s">
        <v>615</v>
      </c>
      <c r="B2871" s="0" t="s">
        <v>17</v>
      </c>
      <c r="C2871" s="0" t="s">
        <v>18</v>
      </c>
      <c r="D2871" s="0" t="n">
        <v>72</v>
      </c>
      <c r="E2871" s="2" t="n">
        <v>40809.7694444444</v>
      </c>
      <c r="F2871" s="0" t="n">
        <v>1.92</v>
      </c>
      <c r="G2871" s="0" t="n">
        <v>14601</v>
      </c>
      <c r="H2871" s="3" t="s">
        <v>14</v>
      </c>
      <c r="I2871" s="4" t="n">
        <f aca="false">D2871*F2871</f>
        <v>138.24</v>
      </c>
      <c r="J2871" s="3" t="n">
        <f aca="false">IF(AND(LEFT(A2871,1)&lt;&gt;"C",D2871&gt;0,F2871&gt;0),1,0)</f>
        <v>1</v>
      </c>
      <c r="K2871" s="3" t="n">
        <f aca="false">IF(AND(H2871="United Kingdom",G2871&lt;&gt;"",COUNTIFS($G$2:G2871,G2871,$H$2:H2871,"United Kingdom")=1),1,0)</f>
        <v>0</v>
      </c>
    </row>
    <row r="2872" customFormat="false" ht="15" hidden="false" customHeight="false" outlineLevel="0" collapsed="false">
      <c r="A2872" s="0" t="s">
        <v>615</v>
      </c>
      <c r="B2872" s="0" t="s">
        <v>50</v>
      </c>
      <c r="C2872" s="0" t="s">
        <v>51</v>
      </c>
      <c r="D2872" s="0" t="n">
        <v>12</v>
      </c>
      <c r="E2872" s="2" t="n">
        <v>40809.7694444444</v>
      </c>
      <c r="F2872" s="0" t="n">
        <v>5.41</v>
      </c>
      <c r="G2872" s="0" t="n">
        <v>14601</v>
      </c>
      <c r="H2872" s="3" t="s">
        <v>14</v>
      </c>
      <c r="I2872" s="4" t="n">
        <f aca="false">D2872*F2872</f>
        <v>64.92</v>
      </c>
      <c r="J2872" s="3" t="n">
        <f aca="false">IF(AND(LEFT(A2872,1)&lt;&gt;"C",D2872&gt;0,F2872&gt;0),1,0)</f>
        <v>1</v>
      </c>
      <c r="K2872" s="3" t="n">
        <f aca="false">IF(AND(H2872="United Kingdom",G2872&lt;&gt;"",COUNTIFS($G$2:G2872,G2872,$H$2:H2872,"United Kingdom")=1),1,0)</f>
        <v>0</v>
      </c>
    </row>
    <row r="2873" customFormat="false" ht="15" hidden="false" customHeight="false" outlineLevel="0" collapsed="false">
      <c r="A2873" s="0" t="s">
        <v>615</v>
      </c>
      <c r="B2873" s="0" t="s">
        <v>20</v>
      </c>
      <c r="C2873" s="0" t="s">
        <v>21</v>
      </c>
      <c r="D2873" s="0" t="n">
        <v>144</v>
      </c>
      <c r="E2873" s="2" t="n">
        <v>40809.7694444444</v>
      </c>
      <c r="F2873" s="0" t="n">
        <v>4.24</v>
      </c>
      <c r="G2873" s="0" t="n">
        <v>14601</v>
      </c>
      <c r="H2873" s="3" t="s">
        <v>14</v>
      </c>
      <c r="I2873" s="4" t="n">
        <f aca="false">D2873*F2873</f>
        <v>610.56</v>
      </c>
      <c r="J2873" s="3" t="n">
        <f aca="false">IF(AND(LEFT(A2873,1)&lt;&gt;"C",D2873&gt;0,F2873&gt;0),1,0)</f>
        <v>1</v>
      </c>
      <c r="K2873" s="3" t="n">
        <f aca="false">IF(AND(H2873="United Kingdom",G2873&lt;&gt;"",COUNTIFS($G$2:G2873,G2873,$H$2:H2873,"United Kingdom")=1),1,0)</f>
        <v>0</v>
      </c>
    </row>
    <row r="2874" customFormat="false" ht="15" hidden="false" customHeight="false" outlineLevel="0" collapsed="false">
      <c r="A2874" s="0" t="s">
        <v>615</v>
      </c>
      <c r="B2874" s="0" t="s">
        <v>27</v>
      </c>
      <c r="C2874" s="0" t="s">
        <v>28</v>
      </c>
      <c r="D2874" s="0" t="n">
        <v>144</v>
      </c>
      <c r="E2874" s="2" t="n">
        <v>40809.7694444444</v>
      </c>
      <c r="F2874" s="0" t="n">
        <v>4.55</v>
      </c>
      <c r="G2874" s="0" t="n">
        <v>14601</v>
      </c>
      <c r="H2874" s="3" t="s">
        <v>14</v>
      </c>
      <c r="I2874" s="4" t="n">
        <f aca="false">D2874*F2874</f>
        <v>655.2</v>
      </c>
      <c r="J2874" s="3" t="n">
        <f aca="false">IF(AND(LEFT(A2874,1)&lt;&gt;"C",D2874&gt;0,F2874&gt;0),1,0)</f>
        <v>1</v>
      </c>
      <c r="K2874" s="3" t="n">
        <f aca="false">IF(AND(H2874="United Kingdom",G2874&lt;&gt;"",COUNTIFS($G$2:G2874,G2874,$H$2:H2874,"United Kingdom")=1),1,0)</f>
        <v>0</v>
      </c>
    </row>
    <row r="2875" customFormat="false" ht="15" hidden="false" customHeight="false" outlineLevel="0" collapsed="false">
      <c r="A2875" s="0" t="s">
        <v>616</v>
      </c>
      <c r="B2875" s="0" t="s">
        <v>113</v>
      </c>
      <c r="C2875" s="0" t="s">
        <v>114</v>
      </c>
      <c r="D2875" s="0" t="n">
        <v>38</v>
      </c>
      <c r="E2875" s="2" t="n">
        <v>40810.4430555556</v>
      </c>
      <c r="F2875" s="0" t="n">
        <v>3.57</v>
      </c>
      <c r="G2875" s="0" t="n">
        <v>15135</v>
      </c>
      <c r="H2875" s="3" t="s">
        <v>57</v>
      </c>
      <c r="I2875" s="4" t="n">
        <f aca="false">D2875*F2875</f>
        <v>135.66</v>
      </c>
      <c r="J2875" s="3" t="n">
        <f aca="false">IF(AND(LEFT(A2875,1)&lt;&gt;"C",D2875&gt;0,F2875&gt;0),1,0)</f>
        <v>1</v>
      </c>
      <c r="K2875" s="3" t="n">
        <f aca="false">IF(AND(H2875="United Kingdom",G2875&lt;&gt;"",COUNTIFS($G$2:G2875,G2875,$H$2:H2875,"United Kingdom")=1),1,0)</f>
        <v>0</v>
      </c>
    </row>
    <row r="2876" customFormat="false" ht="15" hidden="false" customHeight="false" outlineLevel="0" collapsed="false">
      <c r="A2876" s="0" t="s">
        <v>616</v>
      </c>
      <c r="B2876" s="0" t="s">
        <v>45</v>
      </c>
      <c r="C2876" s="0" t="s">
        <v>46</v>
      </c>
      <c r="D2876" s="0" t="n">
        <v>153</v>
      </c>
      <c r="E2876" s="2" t="n">
        <v>40810.4430555556</v>
      </c>
      <c r="F2876" s="0" t="n">
        <v>4.55</v>
      </c>
      <c r="G2876" s="0" t="n">
        <v>15135</v>
      </c>
      <c r="H2876" s="3" t="s">
        <v>57</v>
      </c>
      <c r="I2876" s="4" t="n">
        <f aca="false">D2876*F2876</f>
        <v>696.15</v>
      </c>
      <c r="J2876" s="3" t="n">
        <f aca="false">IF(AND(LEFT(A2876,1)&lt;&gt;"C",D2876&gt;0,F2876&gt;0),1,0)</f>
        <v>1</v>
      </c>
      <c r="K2876" s="3" t="n">
        <f aca="false">IF(AND(H2876="United Kingdom",G2876&lt;&gt;"",COUNTIFS($G$2:G2876,G2876,$H$2:H2876,"United Kingdom")=1),1,0)</f>
        <v>0</v>
      </c>
    </row>
    <row r="2877" customFormat="false" ht="15" hidden="false" customHeight="false" outlineLevel="0" collapsed="false">
      <c r="A2877" s="0" t="s">
        <v>616</v>
      </c>
      <c r="B2877" s="0" t="s">
        <v>63</v>
      </c>
      <c r="C2877" s="0" t="s">
        <v>64</v>
      </c>
      <c r="D2877" s="0" t="n">
        <v>115</v>
      </c>
      <c r="E2877" s="2" t="n">
        <v>40810.4430555556</v>
      </c>
      <c r="F2877" s="0" t="n">
        <v>2.43</v>
      </c>
      <c r="G2877" s="0" t="n">
        <v>15135</v>
      </c>
      <c r="H2877" s="3" t="s">
        <v>57</v>
      </c>
      <c r="I2877" s="4" t="n">
        <f aca="false">D2877*F2877</f>
        <v>279.45</v>
      </c>
      <c r="J2877" s="3" t="n">
        <f aca="false">IF(AND(LEFT(A2877,1)&lt;&gt;"C",D2877&gt;0,F2877&gt;0),1,0)</f>
        <v>1</v>
      </c>
      <c r="K2877" s="3" t="n">
        <f aca="false">IF(AND(H2877="United Kingdom",G2877&lt;&gt;"",COUNTIFS($G$2:G2877,G2877,$H$2:H2877,"United Kingdom")=1),1,0)</f>
        <v>0</v>
      </c>
    </row>
    <row r="2878" customFormat="false" ht="15" hidden="false" customHeight="false" outlineLevel="0" collapsed="false">
      <c r="A2878" s="0" t="s">
        <v>617</v>
      </c>
      <c r="B2878" s="0" t="s">
        <v>20</v>
      </c>
      <c r="C2878" s="0" t="s">
        <v>21</v>
      </c>
      <c r="D2878" s="0" t="n">
        <v>1</v>
      </c>
      <c r="E2878" s="2" t="n">
        <v>40810.5694444445</v>
      </c>
      <c r="F2878" s="0" t="n">
        <v>4.24</v>
      </c>
      <c r="G2878" s="0" t="n">
        <v>16902</v>
      </c>
      <c r="H2878" s="3" t="s">
        <v>14</v>
      </c>
      <c r="I2878" s="4" t="n">
        <f aca="false">D2878*F2878</f>
        <v>4.24</v>
      </c>
      <c r="J2878" s="3" t="n">
        <f aca="false">IF(AND(LEFT(A2878,1)&lt;&gt;"C",D2878&gt;0,F2878&gt;0),1,0)</f>
        <v>1</v>
      </c>
      <c r="K2878" s="3" t="n">
        <f aca="false">IF(AND(H2878="United Kingdom",G2878&lt;&gt;"",COUNTIFS($G$2:G2878,G2878,$H$2:H2878,"United Kingdom")=1),1,0)</f>
        <v>0</v>
      </c>
    </row>
    <row r="2879" customFormat="false" ht="15" hidden="false" customHeight="false" outlineLevel="0" collapsed="false">
      <c r="A2879" s="0" t="s">
        <v>617</v>
      </c>
      <c r="B2879" s="0" t="s">
        <v>113</v>
      </c>
      <c r="C2879" s="0" t="s">
        <v>114</v>
      </c>
      <c r="D2879" s="0" t="n">
        <v>2</v>
      </c>
      <c r="E2879" s="2" t="n">
        <v>40810.5694444445</v>
      </c>
      <c r="F2879" s="0" t="n">
        <v>3.57</v>
      </c>
      <c r="G2879" s="0" t="n">
        <v>16902</v>
      </c>
      <c r="H2879" s="3" t="s">
        <v>14</v>
      </c>
      <c r="I2879" s="4" t="n">
        <f aca="false">D2879*F2879</f>
        <v>7.14</v>
      </c>
      <c r="J2879" s="3" t="n">
        <f aca="false">IF(AND(LEFT(A2879,1)&lt;&gt;"C",D2879&gt;0,F2879&gt;0),1,0)</f>
        <v>1</v>
      </c>
      <c r="K2879" s="3" t="n">
        <f aca="false">IF(AND(H2879="United Kingdom",G2879&lt;&gt;"",COUNTIFS($G$2:G2879,G2879,$H$2:H2879,"United Kingdom")=1),1,0)</f>
        <v>0</v>
      </c>
    </row>
    <row r="2880" customFormat="false" ht="15" hidden="false" customHeight="false" outlineLevel="0" collapsed="false">
      <c r="A2880" s="0" t="s">
        <v>617</v>
      </c>
      <c r="B2880" s="0" t="s">
        <v>60</v>
      </c>
      <c r="C2880" s="0" t="s">
        <v>61</v>
      </c>
      <c r="D2880" s="0" t="n">
        <v>8</v>
      </c>
      <c r="E2880" s="2" t="n">
        <v>40810.5694444445</v>
      </c>
      <c r="F2880" s="0" t="n">
        <v>0.63</v>
      </c>
      <c r="G2880" s="0" t="n">
        <v>16902</v>
      </c>
      <c r="H2880" s="3" t="s">
        <v>14</v>
      </c>
      <c r="I2880" s="4" t="n">
        <f aca="false">D2880*F2880</f>
        <v>5.04</v>
      </c>
      <c r="J2880" s="3" t="n">
        <f aca="false">IF(AND(LEFT(A2880,1)&lt;&gt;"C",D2880&gt;0,F2880&gt;0),1,0)</f>
        <v>1</v>
      </c>
      <c r="K2880" s="3" t="n">
        <f aca="false">IF(AND(H2880="United Kingdom",G2880&lt;&gt;"",COUNTIFS($G$2:G2880,G2880,$H$2:H2880,"United Kingdom")=1),1,0)</f>
        <v>0</v>
      </c>
    </row>
    <row r="2881" customFormat="false" ht="15" hidden="false" customHeight="false" outlineLevel="0" collapsed="false">
      <c r="A2881" s="0" t="s">
        <v>617</v>
      </c>
      <c r="B2881" s="0" t="s">
        <v>68</v>
      </c>
      <c r="C2881" s="0" t="s">
        <v>69</v>
      </c>
      <c r="D2881" s="0" t="n">
        <v>6</v>
      </c>
      <c r="E2881" s="2" t="n">
        <v>40810.5694444445</v>
      </c>
      <c r="F2881" s="0" t="n">
        <v>1.26</v>
      </c>
      <c r="G2881" s="0" t="n">
        <v>16902</v>
      </c>
      <c r="H2881" s="3" t="s">
        <v>14</v>
      </c>
      <c r="I2881" s="4" t="n">
        <f aca="false">D2881*F2881</f>
        <v>7.56</v>
      </c>
      <c r="J2881" s="3" t="n">
        <f aca="false">IF(AND(LEFT(A2881,1)&lt;&gt;"C",D2881&gt;0,F2881&gt;0),1,0)</f>
        <v>1</v>
      </c>
      <c r="K2881" s="3" t="n">
        <f aca="false">IF(AND(H2881="United Kingdom",G2881&lt;&gt;"",COUNTIFS($G$2:G2881,G2881,$H$2:H2881,"United Kingdom")=1),1,0)</f>
        <v>0</v>
      </c>
    </row>
    <row r="2882" customFormat="false" ht="15" hidden="false" customHeight="false" outlineLevel="0" collapsed="false">
      <c r="A2882" s="0" t="s">
        <v>617</v>
      </c>
      <c r="B2882" s="0" t="s">
        <v>32</v>
      </c>
      <c r="C2882" s="0" t="s">
        <v>33</v>
      </c>
      <c r="D2882" s="0" t="n">
        <v>16</v>
      </c>
      <c r="E2882" s="2" t="n">
        <v>40810.5694444445</v>
      </c>
      <c r="F2882" s="0" t="n">
        <v>1.19</v>
      </c>
      <c r="G2882" s="0" t="n">
        <v>16902</v>
      </c>
      <c r="H2882" s="3" t="s">
        <v>14</v>
      </c>
      <c r="I2882" s="4" t="n">
        <f aca="false">D2882*F2882</f>
        <v>19.04</v>
      </c>
      <c r="J2882" s="3" t="n">
        <f aca="false">IF(AND(LEFT(A2882,1)&lt;&gt;"C",D2882&gt;0,F2882&gt;0),1,0)</f>
        <v>1</v>
      </c>
      <c r="K2882" s="3" t="n">
        <f aca="false">IF(AND(H2882="United Kingdom",G2882&lt;&gt;"",COUNTIFS($G$2:G2882,G2882,$H$2:H2882,"United Kingdom")=1),1,0)</f>
        <v>0</v>
      </c>
    </row>
    <row r="2883" customFormat="false" ht="15" hidden="false" customHeight="false" outlineLevel="0" collapsed="false">
      <c r="A2883" s="0" t="s">
        <v>618</v>
      </c>
      <c r="B2883" s="0" t="s">
        <v>60</v>
      </c>
      <c r="C2883" s="0" t="s">
        <v>61</v>
      </c>
      <c r="D2883" s="0" t="n">
        <v>1</v>
      </c>
      <c r="E2883" s="2" t="n">
        <v>40810.6611111111</v>
      </c>
      <c r="F2883" s="0" t="n">
        <v>0.63</v>
      </c>
      <c r="G2883" s="0" t="n">
        <v>16079</v>
      </c>
      <c r="H2883" s="3" t="s">
        <v>14</v>
      </c>
      <c r="I2883" s="4" t="n">
        <f aca="false">D2883*F2883</f>
        <v>0.63</v>
      </c>
      <c r="J2883" s="3" t="n">
        <f aca="false">IF(AND(LEFT(A2883,1)&lt;&gt;"C",D2883&gt;0,F2883&gt;0),1,0)</f>
        <v>1</v>
      </c>
      <c r="K2883" s="3" t="n">
        <f aca="false">IF(AND(H2883="United Kingdom",G2883&lt;&gt;"",COUNTIFS($G$2:G2883,G2883,$H$2:H2883,"United Kingdom")=1),1,0)</f>
        <v>0</v>
      </c>
    </row>
    <row r="2884" customFormat="false" ht="15" hidden="false" customHeight="false" outlineLevel="0" collapsed="false">
      <c r="A2884" s="0" t="s">
        <v>618</v>
      </c>
      <c r="B2884" s="0" t="s">
        <v>17</v>
      </c>
      <c r="C2884" s="0" t="s">
        <v>18</v>
      </c>
      <c r="D2884" s="0" t="n">
        <v>12</v>
      </c>
      <c r="E2884" s="2" t="n">
        <v>40810.6611111111</v>
      </c>
      <c r="F2884" s="0" t="n">
        <v>1.92</v>
      </c>
      <c r="G2884" s="0" t="n">
        <v>16079</v>
      </c>
      <c r="H2884" s="3" t="s">
        <v>14</v>
      </c>
      <c r="I2884" s="4" t="n">
        <f aca="false">D2884*F2884</f>
        <v>23.04</v>
      </c>
      <c r="J2884" s="3" t="n">
        <f aca="false">IF(AND(LEFT(A2884,1)&lt;&gt;"C",D2884&gt;0,F2884&gt;0),1,0)</f>
        <v>1</v>
      </c>
      <c r="K2884" s="3" t="n">
        <f aca="false">IF(AND(H2884="United Kingdom",G2884&lt;&gt;"",COUNTIFS($G$2:G2884,G2884,$H$2:H2884,"United Kingdom")=1),1,0)</f>
        <v>0</v>
      </c>
    </row>
    <row r="2885" customFormat="false" ht="15" hidden="false" customHeight="false" outlineLevel="0" collapsed="false">
      <c r="A2885" s="0" t="s">
        <v>618</v>
      </c>
      <c r="B2885" s="0" t="s">
        <v>25</v>
      </c>
      <c r="C2885" s="0" t="s">
        <v>26</v>
      </c>
      <c r="D2885" s="0" t="n">
        <v>4</v>
      </c>
      <c r="E2885" s="2" t="n">
        <v>40810.6611111111</v>
      </c>
      <c r="F2885" s="0" t="n">
        <v>2.21</v>
      </c>
      <c r="G2885" s="0" t="n">
        <v>16079</v>
      </c>
      <c r="H2885" s="3" t="s">
        <v>14</v>
      </c>
      <c r="I2885" s="4" t="n">
        <f aca="false">D2885*F2885</f>
        <v>8.84</v>
      </c>
      <c r="J2885" s="3" t="n">
        <f aca="false">IF(AND(LEFT(A2885,1)&lt;&gt;"C",D2885&gt;0,F2885&gt;0),1,0)</f>
        <v>1</v>
      </c>
      <c r="K2885" s="3" t="n">
        <f aca="false">IF(AND(H2885="United Kingdom",G2885&lt;&gt;"",COUNTIFS($G$2:G2885,G2885,$H$2:H2885,"United Kingdom")=1),1,0)</f>
        <v>0</v>
      </c>
    </row>
    <row r="2886" customFormat="false" ht="15" hidden="false" customHeight="false" outlineLevel="0" collapsed="false">
      <c r="A2886" s="0" t="s">
        <v>619</v>
      </c>
      <c r="B2886" s="0" t="s">
        <v>22</v>
      </c>
      <c r="C2886" s="0" t="s">
        <v>23</v>
      </c>
      <c r="D2886" s="0" t="n">
        <v>12</v>
      </c>
      <c r="E2886" s="2" t="n">
        <v>40810.80625</v>
      </c>
      <c r="F2886" s="0" t="n">
        <v>3.18</v>
      </c>
      <c r="G2886" s="0" t="n">
        <v>14222</v>
      </c>
      <c r="H2886" s="3" t="s">
        <v>57</v>
      </c>
      <c r="I2886" s="4" t="n">
        <f aca="false">D2886*F2886</f>
        <v>38.16</v>
      </c>
      <c r="J2886" s="3" t="n">
        <f aca="false">IF(AND(LEFT(A2886,1)&lt;&gt;"C",D2886&gt;0,F2886&gt;0),1,0)</f>
        <v>1</v>
      </c>
      <c r="K2886" s="3" t="n">
        <f aca="false">IF(AND(H2886="United Kingdom",G2886&lt;&gt;"",COUNTIFS($G$2:G2886,G2886,$H$2:H2886,"United Kingdom")=1),1,0)</f>
        <v>0</v>
      </c>
    </row>
    <row r="2887" customFormat="false" ht="15" hidden="false" customHeight="false" outlineLevel="0" collapsed="false">
      <c r="A2887" s="0" t="s">
        <v>619</v>
      </c>
      <c r="B2887" s="0" t="s">
        <v>12</v>
      </c>
      <c r="C2887" s="0" t="s">
        <v>13</v>
      </c>
      <c r="D2887" s="0" t="n">
        <v>3</v>
      </c>
      <c r="E2887" s="2" t="n">
        <v>40810.80625</v>
      </c>
      <c r="F2887" s="0" t="n">
        <v>3.33</v>
      </c>
      <c r="G2887" s="0" t="n">
        <v>14222</v>
      </c>
      <c r="H2887" s="3" t="s">
        <v>57</v>
      </c>
      <c r="I2887" s="4" t="n">
        <f aca="false">D2887*F2887</f>
        <v>9.99</v>
      </c>
      <c r="J2887" s="3" t="n">
        <f aca="false">IF(AND(LEFT(A2887,1)&lt;&gt;"C",D2887&gt;0,F2887&gt;0),1,0)</f>
        <v>1</v>
      </c>
      <c r="K2887" s="3" t="n">
        <f aca="false">IF(AND(H2887="United Kingdom",G2887&lt;&gt;"",COUNTIFS($G$2:G2887,G2887,$H$2:H2887,"United Kingdom")=1),1,0)</f>
        <v>0</v>
      </c>
    </row>
    <row r="2888" customFormat="false" ht="15" hidden="false" customHeight="false" outlineLevel="0" collapsed="false">
      <c r="A2888" s="0" t="s">
        <v>619</v>
      </c>
      <c r="B2888" s="0" t="s">
        <v>54</v>
      </c>
      <c r="C2888" s="0" t="s">
        <v>55</v>
      </c>
      <c r="D2888" s="0" t="n">
        <v>25</v>
      </c>
      <c r="E2888" s="2" t="n">
        <v>40810.80625</v>
      </c>
      <c r="F2888" s="0" t="n">
        <v>0.99</v>
      </c>
      <c r="G2888" s="0" t="n">
        <v>14222</v>
      </c>
      <c r="H2888" s="3" t="s">
        <v>57</v>
      </c>
      <c r="I2888" s="4" t="n">
        <f aca="false">D2888*F2888</f>
        <v>24.75</v>
      </c>
      <c r="J2888" s="3" t="n">
        <f aca="false">IF(AND(LEFT(A2888,1)&lt;&gt;"C",D2888&gt;0,F2888&gt;0),1,0)</f>
        <v>1</v>
      </c>
      <c r="K2888" s="3" t="n">
        <f aca="false">IF(AND(H2888="United Kingdom",G2888&lt;&gt;"",COUNTIFS($G$2:G2888,G2888,$H$2:H2888,"United Kingdom")=1),1,0)</f>
        <v>0</v>
      </c>
    </row>
    <row r="2889" customFormat="false" ht="15" hidden="false" customHeight="false" outlineLevel="0" collapsed="false">
      <c r="A2889" s="0" t="s">
        <v>620</v>
      </c>
      <c r="B2889" s="0" t="s">
        <v>34</v>
      </c>
      <c r="C2889" s="0" t="s">
        <v>35</v>
      </c>
      <c r="D2889" s="0" t="n">
        <v>1</v>
      </c>
      <c r="E2889" s="2" t="n">
        <v>40811.3361111111</v>
      </c>
      <c r="F2889" s="0" t="n">
        <v>2.38</v>
      </c>
      <c r="G2889" s="0" t="n">
        <v>13924</v>
      </c>
      <c r="H2889" s="3" t="s">
        <v>14</v>
      </c>
      <c r="I2889" s="4" t="n">
        <f aca="false">D2889*F2889</f>
        <v>2.38</v>
      </c>
      <c r="J2889" s="3" t="n">
        <f aca="false">IF(AND(LEFT(A2889,1)&lt;&gt;"C",D2889&gt;0,F2889&gt;0),1,0)</f>
        <v>1</v>
      </c>
      <c r="K2889" s="3" t="n">
        <f aca="false">IF(AND(H2889="United Kingdom",G2889&lt;&gt;"",COUNTIFS($G$2:G2889,G2889,$H$2:H2889,"United Kingdom")=1),1,0)</f>
        <v>0</v>
      </c>
    </row>
    <row r="2890" customFormat="false" ht="15" hidden="false" customHeight="false" outlineLevel="0" collapsed="false">
      <c r="A2890" s="0" t="s">
        <v>621</v>
      </c>
      <c r="B2890" s="0" t="s">
        <v>48</v>
      </c>
      <c r="C2890" s="0" t="s">
        <v>49</v>
      </c>
      <c r="D2890" s="0" t="n">
        <v>1</v>
      </c>
      <c r="E2890" s="2" t="n">
        <v>40811.4590277778</v>
      </c>
      <c r="F2890" s="0" t="n">
        <v>1.35</v>
      </c>
      <c r="G2890" s="0" t="n">
        <v>13924</v>
      </c>
      <c r="H2890" s="3" t="s">
        <v>14</v>
      </c>
      <c r="I2890" s="4" t="n">
        <f aca="false">D2890*F2890</f>
        <v>1.35</v>
      </c>
      <c r="J2890" s="3" t="n">
        <f aca="false">IF(AND(LEFT(A2890,1)&lt;&gt;"C",D2890&gt;0,F2890&gt;0),1,0)</f>
        <v>1</v>
      </c>
      <c r="K2890" s="3" t="n">
        <f aca="false">IF(AND(H2890="United Kingdom",G2890&lt;&gt;"",COUNTIFS($G$2:G2890,G2890,$H$2:H2890,"United Kingdom")=1),1,0)</f>
        <v>0</v>
      </c>
    </row>
    <row r="2891" customFormat="false" ht="15" hidden="false" customHeight="false" outlineLevel="0" collapsed="false">
      <c r="A2891" s="0" t="s">
        <v>621</v>
      </c>
      <c r="B2891" s="0" t="s">
        <v>80</v>
      </c>
      <c r="C2891" s="0" t="s">
        <v>81</v>
      </c>
      <c r="D2891" s="0" t="n">
        <v>24</v>
      </c>
      <c r="E2891" s="2" t="n">
        <v>40811.4590277778</v>
      </c>
      <c r="F2891" s="0" t="n">
        <v>1.53</v>
      </c>
      <c r="G2891" s="0" t="n">
        <v>13924</v>
      </c>
      <c r="H2891" s="3" t="s">
        <v>14</v>
      </c>
      <c r="I2891" s="4" t="n">
        <f aca="false">D2891*F2891</f>
        <v>36.72</v>
      </c>
      <c r="J2891" s="3" t="n">
        <f aca="false">IF(AND(LEFT(A2891,1)&lt;&gt;"C",D2891&gt;0,F2891&gt;0),1,0)</f>
        <v>1</v>
      </c>
      <c r="K2891" s="3" t="n">
        <f aca="false">IF(AND(H2891="United Kingdom",G2891&lt;&gt;"",COUNTIFS($G$2:G2891,G2891,$H$2:H2891,"United Kingdom")=1),1,0)</f>
        <v>0</v>
      </c>
    </row>
    <row r="2892" customFormat="false" ht="15" hidden="false" customHeight="false" outlineLevel="0" collapsed="false">
      <c r="A2892" s="0" t="s">
        <v>621</v>
      </c>
      <c r="B2892" s="0" t="s">
        <v>77</v>
      </c>
      <c r="C2892" s="0" t="s">
        <v>78</v>
      </c>
      <c r="D2892" s="0" t="n">
        <v>4</v>
      </c>
      <c r="E2892" s="2" t="n">
        <v>40811.4590277778</v>
      </c>
      <c r="F2892" s="0" t="n">
        <v>3.41</v>
      </c>
      <c r="G2892" s="0" t="n">
        <v>13924</v>
      </c>
      <c r="H2892" s="3" t="s">
        <v>14</v>
      </c>
      <c r="I2892" s="4" t="n">
        <f aca="false">D2892*F2892</f>
        <v>13.64</v>
      </c>
      <c r="J2892" s="3" t="n">
        <f aca="false">IF(AND(LEFT(A2892,1)&lt;&gt;"C",D2892&gt;0,F2892&gt;0),1,0)</f>
        <v>1</v>
      </c>
      <c r="K2892" s="3" t="n">
        <f aca="false">IF(AND(H2892="United Kingdom",G2892&lt;&gt;"",COUNTIFS($G$2:G2892,G2892,$H$2:H2892,"United Kingdom")=1),1,0)</f>
        <v>0</v>
      </c>
    </row>
    <row r="2893" customFormat="false" ht="15" hidden="false" customHeight="false" outlineLevel="0" collapsed="false">
      <c r="A2893" s="0" t="s">
        <v>621</v>
      </c>
      <c r="B2893" s="0" t="s">
        <v>32</v>
      </c>
      <c r="C2893" s="0" t="s">
        <v>33</v>
      </c>
      <c r="D2893" s="0" t="n">
        <v>24</v>
      </c>
      <c r="E2893" s="2" t="n">
        <v>40811.4590277778</v>
      </c>
      <c r="F2893" s="0" t="n">
        <v>1.19</v>
      </c>
      <c r="G2893" s="0" t="n">
        <v>13924</v>
      </c>
      <c r="H2893" s="3" t="s">
        <v>14</v>
      </c>
      <c r="I2893" s="4" t="n">
        <f aca="false">D2893*F2893</f>
        <v>28.56</v>
      </c>
      <c r="J2893" s="3" t="n">
        <f aca="false">IF(AND(LEFT(A2893,1)&lt;&gt;"C",D2893&gt;0,F2893&gt;0),1,0)</f>
        <v>1</v>
      </c>
      <c r="K2893" s="3" t="n">
        <f aca="false">IF(AND(H2893="United Kingdom",G2893&lt;&gt;"",COUNTIFS($G$2:G2893,G2893,$H$2:H2893,"United Kingdom")=1),1,0)</f>
        <v>0</v>
      </c>
    </row>
    <row r="2894" customFormat="false" ht="15" hidden="false" customHeight="false" outlineLevel="0" collapsed="false">
      <c r="A2894" s="0" t="s">
        <v>621</v>
      </c>
      <c r="B2894" s="0" t="s">
        <v>22</v>
      </c>
      <c r="C2894" s="0" t="s">
        <v>23</v>
      </c>
      <c r="D2894" s="0" t="n">
        <v>4</v>
      </c>
      <c r="E2894" s="2" t="n">
        <v>40811.4590277778</v>
      </c>
      <c r="F2894" s="0" t="n">
        <v>3.18</v>
      </c>
      <c r="G2894" s="0" t="n">
        <v>13924</v>
      </c>
      <c r="H2894" s="3" t="s">
        <v>14</v>
      </c>
      <c r="I2894" s="4" t="n">
        <f aca="false">D2894*F2894</f>
        <v>12.72</v>
      </c>
      <c r="J2894" s="3" t="n">
        <f aca="false">IF(AND(LEFT(A2894,1)&lt;&gt;"C",D2894&gt;0,F2894&gt;0),1,0)</f>
        <v>1</v>
      </c>
      <c r="K2894" s="3" t="n">
        <f aca="false">IF(AND(H2894="United Kingdom",G2894&lt;&gt;"",COUNTIFS($G$2:G2894,G2894,$H$2:H2894,"United Kingdom")=1),1,0)</f>
        <v>0</v>
      </c>
    </row>
    <row r="2895" customFormat="false" ht="15" hidden="false" customHeight="false" outlineLevel="0" collapsed="false">
      <c r="A2895" s="0" t="s">
        <v>621</v>
      </c>
      <c r="B2895" s="0" t="s">
        <v>27</v>
      </c>
      <c r="C2895" s="0" t="s">
        <v>28</v>
      </c>
      <c r="D2895" s="0" t="n">
        <v>6</v>
      </c>
      <c r="E2895" s="2" t="n">
        <v>40811.4590277778</v>
      </c>
      <c r="F2895" s="0" t="n">
        <v>4.55</v>
      </c>
      <c r="G2895" s="0" t="n">
        <v>13924</v>
      </c>
      <c r="H2895" s="3" t="s">
        <v>14</v>
      </c>
      <c r="I2895" s="4" t="n">
        <f aca="false">D2895*F2895</f>
        <v>27.3</v>
      </c>
      <c r="J2895" s="3" t="n">
        <f aca="false">IF(AND(LEFT(A2895,1)&lt;&gt;"C",D2895&gt;0,F2895&gt;0),1,0)</f>
        <v>1</v>
      </c>
      <c r="K2895" s="3" t="n">
        <f aca="false">IF(AND(H2895="United Kingdom",G2895&lt;&gt;"",COUNTIFS($G$2:G2895,G2895,$H$2:H2895,"United Kingdom")=1),1,0)</f>
        <v>0</v>
      </c>
    </row>
    <row r="2896" customFormat="false" ht="15" hidden="false" customHeight="false" outlineLevel="0" collapsed="false">
      <c r="A2896" s="0" t="s">
        <v>621</v>
      </c>
      <c r="B2896" s="0" t="s">
        <v>63</v>
      </c>
      <c r="C2896" s="0" t="s">
        <v>64</v>
      </c>
      <c r="D2896" s="0" t="n">
        <v>8</v>
      </c>
      <c r="E2896" s="2" t="n">
        <v>40811.4590277778</v>
      </c>
      <c r="F2896" s="0" t="n">
        <v>2.43</v>
      </c>
      <c r="G2896" s="0" t="n">
        <v>13924</v>
      </c>
      <c r="H2896" s="3" t="s">
        <v>14</v>
      </c>
      <c r="I2896" s="4" t="n">
        <f aca="false">D2896*F2896</f>
        <v>19.44</v>
      </c>
      <c r="J2896" s="3" t="n">
        <f aca="false">IF(AND(LEFT(A2896,1)&lt;&gt;"C",D2896&gt;0,F2896&gt;0),1,0)</f>
        <v>1</v>
      </c>
      <c r="K2896" s="3" t="n">
        <f aca="false">IF(AND(H2896="United Kingdom",G2896&lt;&gt;"",COUNTIFS($G$2:G2896,G2896,$H$2:H2896,"United Kingdom")=1),1,0)</f>
        <v>0</v>
      </c>
    </row>
    <row r="2897" customFormat="false" ht="15" hidden="false" customHeight="false" outlineLevel="0" collapsed="false">
      <c r="A2897" s="0" t="s">
        <v>621</v>
      </c>
      <c r="B2897" s="0" t="s">
        <v>29</v>
      </c>
      <c r="C2897" s="0" t="s">
        <v>30</v>
      </c>
      <c r="D2897" s="0" t="n">
        <v>3</v>
      </c>
      <c r="E2897" s="2" t="n">
        <v>40811.4590277778</v>
      </c>
      <c r="F2897" s="0" t="n">
        <v>5.79</v>
      </c>
      <c r="G2897" s="0" t="n">
        <v>13924</v>
      </c>
      <c r="H2897" s="3" t="s">
        <v>14</v>
      </c>
      <c r="I2897" s="4" t="n">
        <f aca="false">D2897*F2897</f>
        <v>17.37</v>
      </c>
      <c r="J2897" s="3" t="n">
        <f aca="false">IF(AND(LEFT(A2897,1)&lt;&gt;"C",D2897&gt;0,F2897&gt;0),1,0)</f>
        <v>1</v>
      </c>
      <c r="K2897" s="3" t="n">
        <f aca="false">IF(AND(H2897="United Kingdom",G2897&lt;&gt;"",COUNTIFS($G$2:G2897,G2897,$H$2:H2897,"United Kingdom")=1),1,0)</f>
        <v>0</v>
      </c>
    </row>
    <row r="2898" customFormat="false" ht="15" hidden="false" customHeight="false" outlineLevel="0" collapsed="false">
      <c r="A2898" s="0" t="s">
        <v>621</v>
      </c>
      <c r="B2898" s="0" t="s">
        <v>12</v>
      </c>
      <c r="C2898" s="0" t="s">
        <v>13</v>
      </c>
      <c r="D2898" s="0" t="n">
        <v>3</v>
      </c>
      <c r="E2898" s="2" t="n">
        <v>40811.4590277778</v>
      </c>
      <c r="F2898" s="0" t="n">
        <v>3.33</v>
      </c>
      <c r="G2898" s="0" t="n">
        <v>13924</v>
      </c>
      <c r="H2898" s="3" t="s">
        <v>14</v>
      </c>
      <c r="I2898" s="4" t="n">
        <f aca="false">D2898*F2898</f>
        <v>9.99</v>
      </c>
      <c r="J2898" s="3" t="n">
        <f aca="false">IF(AND(LEFT(A2898,1)&lt;&gt;"C",D2898&gt;0,F2898&gt;0),1,0)</f>
        <v>1</v>
      </c>
      <c r="K2898" s="3" t="n">
        <f aca="false">IF(AND(H2898="United Kingdom",G2898&lt;&gt;"",COUNTIFS($G$2:G2898,G2898,$H$2:H2898,"United Kingdom")=1),1,0)</f>
        <v>0</v>
      </c>
    </row>
    <row r="2899" customFormat="false" ht="15" hidden="false" customHeight="false" outlineLevel="0" collapsed="false">
      <c r="A2899" s="0" t="s">
        <v>621</v>
      </c>
      <c r="B2899" s="0" t="s">
        <v>54</v>
      </c>
      <c r="C2899" s="0" t="s">
        <v>55</v>
      </c>
      <c r="D2899" s="0" t="n">
        <v>1</v>
      </c>
      <c r="E2899" s="2" t="n">
        <v>40811.4590277778</v>
      </c>
      <c r="F2899" s="0" t="n">
        <v>0.99</v>
      </c>
      <c r="G2899" s="0" t="n">
        <v>13924</v>
      </c>
      <c r="H2899" s="3" t="s">
        <v>14</v>
      </c>
      <c r="I2899" s="4" t="n">
        <f aca="false">D2899*F2899</f>
        <v>0.99</v>
      </c>
      <c r="J2899" s="3" t="n">
        <f aca="false">IF(AND(LEFT(A2899,1)&lt;&gt;"C",D2899&gt;0,F2899&gt;0),1,0)</f>
        <v>1</v>
      </c>
      <c r="K2899" s="3" t="n">
        <f aca="false">IF(AND(H2899="United Kingdom",G2899&lt;&gt;"",COUNTIFS($G$2:G2899,G2899,$H$2:H2899,"United Kingdom")=1),1,0)</f>
        <v>0</v>
      </c>
    </row>
    <row r="2900" customFormat="false" ht="15" hidden="false" customHeight="false" outlineLevel="0" collapsed="false">
      <c r="A2900" s="0" t="s">
        <v>621</v>
      </c>
      <c r="B2900" s="0" t="s">
        <v>17</v>
      </c>
      <c r="C2900" s="0" t="s">
        <v>18</v>
      </c>
      <c r="D2900" s="0" t="n">
        <v>6</v>
      </c>
      <c r="E2900" s="2" t="n">
        <v>40811.4590277778</v>
      </c>
      <c r="F2900" s="0" t="n">
        <v>1.92</v>
      </c>
      <c r="G2900" s="0" t="n">
        <v>13924</v>
      </c>
      <c r="H2900" s="3" t="s">
        <v>14</v>
      </c>
      <c r="I2900" s="4" t="n">
        <f aca="false">D2900*F2900</f>
        <v>11.52</v>
      </c>
      <c r="J2900" s="3" t="n">
        <f aca="false">IF(AND(LEFT(A2900,1)&lt;&gt;"C",D2900&gt;0,F2900&gt;0),1,0)</f>
        <v>1</v>
      </c>
      <c r="K2900" s="3" t="n">
        <f aca="false">IF(AND(H2900="United Kingdom",G2900&lt;&gt;"",COUNTIFS($G$2:G2900,G2900,$H$2:H2900,"United Kingdom")=1),1,0)</f>
        <v>0</v>
      </c>
    </row>
    <row r="2901" customFormat="false" ht="15" hidden="false" customHeight="false" outlineLevel="0" collapsed="false">
      <c r="A2901" s="0" t="s">
        <v>621</v>
      </c>
      <c r="B2901" s="0" t="s">
        <v>60</v>
      </c>
      <c r="C2901" s="0" t="s">
        <v>61</v>
      </c>
      <c r="D2901" s="0" t="n">
        <v>2</v>
      </c>
      <c r="E2901" s="2" t="n">
        <v>40811.4590277778</v>
      </c>
      <c r="F2901" s="0" t="n">
        <v>0.63</v>
      </c>
      <c r="G2901" s="0" t="n">
        <v>13924</v>
      </c>
      <c r="H2901" s="3" t="s">
        <v>14</v>
      </c>
      <c r="I2901" s="4" t="n">
        <f aca="false">D2901*F2901</f>
        <v>1.26</v>
      </c>
      <c r="J2901" s="3" t="n">
        <f aca="false">IF(AND(LEFT(A2901,1)&lt;&gt;"C",D2901&gt;0,F2901&gt;0),1,0)</f>
        <v>1</v>
      </c>
      <c r="K2901" s="3" t="n">
        <f aca="false">IF(AND(H2901="United Kingdom",G2901&lt;&gt;"",COUNTIFS($G$2:G2901,G2901,$H$2:H2901,"United Kingdom")=1),1,0)</f>
        <v>0</v>
      </c>
    </row>
    <row r="2902" customFormat="false" ht="15" hidden="false" customHeight="false" outlineLevel="0" collapsed="false">
      <c r="A2902" s="0" t="s">
        <v>621</v>
      </c>
      <c r="B2902" s="0" t="s">
        <v>90</v>
      </c>
      <c r="C2902" s="0" t="s">
        <v>91</v>
      </c>
      <c r="D2902" s="0" t="n">
        <v>6</v>
      </c>
      <c r="E2902" s="2" t="n">
        <v>40811.4590277778</v>
      </c>
      <c r="F2902" s="0" t="n">
        <v>3.04</v>
      </c>
      <c r="G2902" s="0" t="n">
        <v>13924</v>
      </c>
      <c r="H2902" s="3" t="s">
        <v>14</v>
      </c>
      <c r="I2902" s="4" t="n">
        <f aca="false">D2902*F2902</f>
        <v>18.24</v>
      </c>
      <c r="J2902" s="3" t="n">
        <f aca="false">IF(AND(LEFT(A2902,1)&lt;&gt;"C",D2902&gt;0,F2902&gt;0),1,0)</f>
        <v>1</v>
      </c>
      <c r="K2902" s="3" t="n">
        <f aca="false">IF(AND(H2902="United Kingdom",G2902&lt;&gt;"",COUNTIFS($G$2:G2902,G2902,$H$2:H2902,"United Kingdom")=1),1,0)</f>
        <v>0</v>
      </c>
    </row>
    <row r="2903" customFormat="false" ht="15" hidden="false" customHeight="false" outlineLevel="0" collapsed="false">
      <c r="A2903" s="0" t="s">
        <v>621</v>
      </c>
      <c r="B2903" s="0" t="s">
        <v>113</v>
      </c>
      <c r="C2903" s="0" t="s">
        <v>114</v>
      </c>
      <c r="D2903" s="0" t="n">
        <v>4</v>
      </c>
      <c r="E2903" s="2" t="n">
        <v>40811.4590277778</v>
      </c>
      <c r="F2903" s="0" t="n">
        <v>3.57</v>
      </c>
      <c r="G2903" s="0" t="n">
        <v>13924</v>
      </c>
      <c r="H2903" s="3" t="s">
        <v>14</v>
      </c>
      <c r="I2903" s="4" t="n">
        <f aca="false">D2903*F2903</f>
        <v>14.28</v>
      </c>
      <c r="J2903" s="3" t="n">
        <f aca="false">IF(AND(LEFT(A2903,1)&lt;&gt;"C",D2903&gt;0,F2903&gt;0),1,0)</f>
        <v>1</v>
      </c>
      <c r="K2903" s="3" t="n">
        <f aca="false">IF(AND(H2903="United Kingdom",G2903&lt;&gt;"",COUNTIFS($G$2:G2903,G2903,$H$2:H2903,"United Kingdom")=1),1,0)</f>
        <v>0</v>
      </c>
    </row>
    <row r="2904" customFormat="false" ht="15" hidden="false" customHeight="false" outlineLevel="0" collapsed="false">
      <c r="A2904" s="0" t="s">
        <v>621</v>
      </c>
      <c r="B2904" s="0" t="s">
        <v>41</v>
      </c>
      <c r="C2904" s="0" t="s">
        <v>42</v>
      </c>
      <c r="D2904" s="0" t="n">
        <v>3</v>
      </c>
      <c r="E2904" s="2" t="n">
        <v>40811.4590277778</v>
      </c>
      <c r="F2904" s="0" t="n">
        <v>3.28</v>
      </c>
      <c r="G2904" s="0" t="n">
        <v>13924</v>
      </c>
      <c r="H2904" s="3" t="s">
        <v>14</v>
      </c>
      <c r="I2904" s="4" t="n">
        <f aca="false">D2904*F2904</f>
        <v>9.84</v>
      </c>
      <c r="J2904" s="3" t="n">
        <f aca="false">IF(AND(LEFT(A2904,1)&lt;&gt;"C",D2904&gt;0,F2904&gt;0),1,0)</f>
        <v>1</v>
      </c>
      <c r="K2904" s="3" t="n">
        <f aca="false">IF(AND(H2904="United Kingdom",G2904&lt;&gt;"",COUNTIFS($G$2:G2904,G2904,$H$2:H2904,"United Kingdom")=1),1,0)</f>
        <v>0</v>
      </c>
    </row>
    <row r="2905" customFormat="false" ht="15" hidden="false" customHeight="false" outlineLevel="0" collapsed="false">
      <c r="A2905" s="0" t="s">
        <v>621</v>
      </c>
      <c r="B2905" s="0" t="s">
        <v>37</v>
      </c>
      <c r="C2905" s="0" t="s">
        <v>38</v>
      </c>
      <c r="D2905" s="0" t="n">
        <v>3</v>
      </c>
      <c r="E2905" s="2" t="n">
        <v>40811.4590277778</v>
      </c>
      <c r="F2905" s="0" t="n">
        <v>1.82</v>
      </c>
      <c r="G2905" s="0" t="n">
        <v>13924</v>
      </c>
      <c r="H2905" s="3" t="s">
        <v>14</v>
      </c>
      <c r="I2905" s="4" t="n">
        <f aca="false">D2905*F2905</f>
        <v>5.46</v>
      </c>
      <c r="J2905" s="3" t="n">
        <f aca="false">IF(AND(LEFT(A2905,1)&lt;&gt;"C",D2905&gt;0,F2905&gt;0),1,0)</f>
        <v>1</v>
      </c>
      <c r="K2905" s="3" t="n">
        <f aca="false">IF(AND(H2905="United Kingdom",G2905&lt;&gt;"",COUNTIFS($G$2:G2905,G2905,$H$2:H2905,"United Kingdom")=1),1,0)</f>
        <v>0</v>
      </c>
    </row>
    <row r="2906" customFormat="false" ht="15" hidden="false" customHeight="false" outlineLevel="0" collapsed="false">
      <c r="A2906" s="0" t="s">
        <v>621</v>
      </c>
      <c r="B2906" s="0" t="s">
        <v>15</v>
      </c>
      <c r="C2906" s="0" t="s">
        <v>16</v>
      </c>
      <c r="D2906" s="0" t="n">
        <v>6</v>
      </c>
      <c r="E2906" s="2" t="n">
        <v>40811.4590277778</v>
      </c>
      <c r="F2906" s="0" t="n">
        <v>3.18</v>
      </c>
      <c r="G2906" s="0" t="n">
        <v>13924</v>
      </c>
      <c r="H2906" s="3" t="s">
        <v>14</v>
      </c>
      <c r="I2906" s="4" t="n">
        <f aca="false">D2906*F2906</f>
        <v>19.08</v>
      </c>
      <c r="J2906" s="3" t="n">
        <f aca="false">IF(AND(LEFT(A2906,1)&lt;&gt;"C",D2906&gt;0,F2906&gt;0),1,0)</f>
        <v>1</v>
      </c>
      <c r="K2906" s="3" t="n">
        <f aca="false">IF(AND(H2906="United Kingdom",G2906&lt;&gt;"",COUNTIFS($G$2:G2906,G2906,$H$2:H2906,"United Kingdom")=1),1,0)</f>
        <v>0</v>
      </c>
    </row>
    <row r="2907" customFormat="false" ht="15" hidden="false" customHeight="false" outlineLevel="0" collapsed="false">
      <c r="A2907" s="0" t="s">
        <v>621</v>
      </c>
      <c r="B2907" s="0" t="s">
        <v>34</v>
      </c>
      <c r="C2907" s="0" t="s">
        <v>35</v>
      </c>
      <c r="D2907" s="0" t="n">
        <v>3</v>
      </c>
      <c r="E2907" s="2" t="n">
        <v>40811.4590277778</v>
      </c>
      <c r="F2907" s="0" t="n">
        <v>2.38</v>
      </c>
      <c r="G2907" s="0" t="n">
        <v>13924</v>
      </c>
      <c r="H2907" s="3" t="s">
        <v>14</v>
      </c>
      <c r="I2907" s="4" t="n">
        <f aca="false">D2907*F2907</f>
        <v>7.14</v>
      </c>
      <c r="J2907" s="3" t="n">
        <f aca="false">IF(AND(LEFT(A2907,1)&lt;&gt;"C",D2907&gt;0,F2907&gt;0),1,0)</f>
        <v>1</v>
      </c>
      <c r="K2907" s="3" t="n">
        <f aca="false">IF(AND(H2907="United Kingdom",G2907&lt;&gt;"",COUNTIFS($G$2:G2907,G2907,$H$2:H2907,"United Kingdom")=1),1,0)</f>
        <v>0</v>
      </c>
    </row>
    <row r="2908" customFormat="false" ht="15" hidden="false" customHeight="false" outlineLevel="0" collapsed="false">
      <c r="A2908" s="0" t="s">
        <v>621</v>
      </c>
      <c r="B2908" s="0" t="s">
        <v>65</v>
      </c>
      <c r="C2908" s="0" t="s">
        <v>66</v>
      </c>
      <c r="D2908" s="0" t="n">
        <v>1</v>
      </c>
      <c r="E2908" s="2" t="n">
        <v>40811.4590277778</v>
      </c>
      <c r="F2908" s="0" t="n">
        <v>4.75</v>
      </c>
      <c r="G2908" s="0" t="n">
        <v>13924</v>
      </c>
      <c r="H2908" s="3" t="s">
        <v>14</v>
      </c>
      <c r="I2908" s="4" t="n">
        <f aca="false">D2908*F2908</f>
        <v>4.75</v>
      </c>
      <c r="J2908" s="3" t="n">
        <f aca="false">IF(AND(LEFT(A2908,1)&lt;&gt;"C",D2908&gt;0,F2908&gt;0),1,0)</f>
        <v>1</v>
      </c>
      <c r="K2908" s="3" t="n">
        <f aca="false">IF(AND(H2908="United Kingdom",G2908&lt;&gt;"",COUNTIFS($G$2:G2908,G2908,$H$2:H2908,"United Kingdom")=1),1,0)</f>
        <v>0</v>
      </c>
    </row>
    <row r="2909" customFormat="false" ht="15" hidden="false" customHeight="false" outlineLevel="0" collapsed="false">
      <c r="A2909" s="0" t="s">
        <v>621</v>
      </c>
      <c r="B2909" s="0" t="s">
        <v>58</v>
      </c>
      <c r="C2909" s="0" t="s">
        <v>59</v>
      </c>
      <c r="D2909" s="0" t="n">
        <v>8</v>
      </c>
      <c r="E2909" s="2" t="n">
        <v>40811.4590277778</v>
      </c>
      <c r="F2909" s="0" t="n">
        <v>2.16</v>
      </c>
      <c r="G2909" s="0" t="n">
        <v>13924</v>
      </c>
      <c r="H2909" s="3" t="s">
        <v>14</v>
      </c>
      <c r="I2909" s="4" t="n">
        <f aca="false">D2909*F2909</f>
        <v>17.28</v>
      </c>
      <c r="J2909" s="3" t="n">
        <f aca="false">IF(AND(LEFT(A2909,1)&lt;&gt;"C",D2909&gt;0,F2909&gt;0),1,0)</f>
        <v>1</v>
      </c>
      <c r="K2909" s="3" t="n">
        <f aca="false">IF(AND(H2909="United Kingdom",G2909&lt;&gt;"",COUNTIFS($G$2:G2909,G2909,$H$2:H2909,"United Kingdom")=1),1,0)</f>
        <v>0</v>
      </c>
    </row>
    <row r="2910" customFormat="false" ht="15" hidden="false" customHeight="false" outlineLevel="0" collapsed="false">
      <c r="A2910" s="0" t="s">
        <v>621</v>
      </c>
      <c r="B2910" s="0" t="s">
        <v>75</v>
      </c>
      <c r="C2910" s="0" t="s">
        <v>76</v>
      </c>
      <c r="D2910" s="0" t="n">
        <v>2</v>
      </c>
      <c r="E2910" s="2" t="n">
        <v>40811.4590277778</v>
      </c>
      <c r="F2910" s="0" t="n">
        <v>1.97</v>
      </c>
      <c r="G2910" s="0" t="n">
        <v>13924</v>
      </c>
      <c r="H2910" s="3" t="s">
        <v>14</v>
      </c>
      <c r="I2910" s="4" t="n">
        <f aca="false">D2910*F2910</f>
        <v>3.94</v>
      </c>
      <c r="J2910" s="3" t="n">
        <f aca="false">IF(AND(LEFT(A2910,1)&lt;&gt;"C",D2910&gt;0,F2910&gt;0),1,0)</f>
        <v>1</v>
      </c>
      <c r="K2910" s="3" t="n">
        <f aca="false">IF(AND(H2910="United Kingdom",G2910&lt;&gt;"",COUNTIFS($G$2:G2910,G2910,$H$2:H2910,"United Kingdom")=1),1,0)</f>
        <v>0</v>
      </c>
    </row>
    <row r="2911" customFormat="false" ht="15" hidden="false" customHeight="false" outlineLevel="0" collapsed="false">
      <c r="A2911" s="0" t="s">
        <v>621</v>
      </c>
      <c r="B2911" s="0" t="s">
        <v>68</v>
      </c>
      <c r="C2911" s="0" t="s">
        <v>69</v>
      </c>
      <c r="D2911" s="0" t="n">
        <v>6</v>
      </c>
      <c r="E2911" s="2" t="n">
        <v>40811.4590277778</v>
      </c>
      <c r="F2911" s="0" t="n">
        <v>1.26</v>
      </c>
      <c r="G2911" s="0" t="n">
        <v>13924</v>
      </c>
      <c r="H2911" s="3" t="s">
        <v>14</v>
      </c>
      <c r="I2911" s="4" t="n">
        <f aca="false">D2911*F2911</f>
        <v>7.56</v>
      </c>
      <c r="J2911" s="3" t="n">
        <f aca="false">IF(AND(LEFT(A2911,1)&lt;&gt;"C",D2911&gt;0,F2911&gt;0),1,0)</f>
        <v>1</v>
      </c>
      <c r="K2911" s="3" t="n">
        <f aca="false">IF(AND(H2911="United Kingdom",G2911&lt;&gt;"",COUNTIFS($G$2:G2911,G2911,$H$2:H2911,"United Kingdom")=1),1,0)</f>
        <v>0</v>
      </c>
    </row>
    <row r="2912" customFormat="false" ht="15" hidden="false" customHeight="false" outlineLevel="0" collapsed="false">
      <c r="A2912" s="0" t="s">
        <v>621</v>
      </c>
      <c r="B2912" s="0" t="s">
        <v>50</v>
      </c>
      <c r="C2912" s="0" t="s">
        <v>51</v>
      </c>
      <c r="D2912" s="0" t="n">
        <v>12</v>
      </c>
      <c r="E2912" s="2" t="n">
        <v>40811.4590277778</v>
      </c>
      <c r="F2912" s="0" t="n">
        <v>5.41</v>
      </c>
      <c r="G2912" s="0" t="n">
        <v>13924</v>
      </c>
      <c r="H2912" s="3" t="s">
        <v>14</v>
      </c>
      <c r="I2912" s="4" t="n">
        <f aca="false">D2912*F2912</f>
        <v>64.92</v>
      </c>
      <c r="J2912" s="3" t="n">
        <f aca="false">IF(AND(LEFT(A2912,1)&lt;&gt;"C",D2912&gt;0,F2912&gt;0),1,0)</f>
        <v>1</v>
      </c>
      <c r="K2912" s="3" t="n">
        <f aca="false">IF(AND(H2912="United Kingdom",G2912&lt;&gt;"",COUNTIFS($G$2:G2912,G2912,$H$2:H2912,"United Kingdom")=1),1,0)</f>
        <v>0</v>
      </c>
    </row>
    <row r="2913" customFormat="false" ht="15" hidden="false" customHeight="false" outlineLevel="0" collapsed="false">
      <c r="A2913" s="0" t="s">
        <v>621</v>
      </c>
      <c r="B2913" s="0" t="s">
        <v>20</v>
      </c>
      <c r="C2913" s="0" t="s">
        <v>21</v>
      </c>
      <c r="D2913" s="0" t="n">
        <v>3</v>
      </c>
      <c r="E2913" s="2" t="n">
        <v>40811.4590277778</v>
      </c>
      <c r="F2913" s="0" t="n">
        <v>4.24</v>
      </c>
      <c r="G2913" s="0" t="n">
        <v>13924</v>
      </c>
      <c r="H2913" s="3" t="s">
        <v>14</v>
      </c>
      <c r="I2913" s="4" t="n">
        <f aca="false">D2913*F2913</f>
        <v>12.72</v>
      </c>
      <c r="J2913" s="3" t="n">
        <f aca="false">IF(AND(LEFT(A2913,1)&lt;&gt;"C",D2913&gt;0,F2913&gt;0),1,0)</f>
        <v>1</v>
      </c>
      <c r="K2913" s="3" t="n">
        <f aca="false">IF(AND(H2913="United Kingdom",G2913&lt;&gt;"",COUNTIFS($G$2:G2913,G2913,$H$2:H2913,"United Kingdom")=1),1,0)</f>
        <v>0</v>
      </c>
    </row>
    <row r="2914" customFormat="false" ht="15" hidden="false" customHeight="false" outlineLevel="0" collapsed="false">
      <c r="A2914" s="0" t="s">
        <v>622</v>
      </c>
      <c r="B2914" s="0" t="s">
        <v>65</v>
      </c>
      <c r="C2914" s="0" t="s">
        <v>66</v>
      </c>
      <c r="D2914" s="0" t="n">
        <v>6</v>
      </c>
      <c r="E2914" s="2" t="n">
        <v>40811.4777777778</v>
      </c>
      <c r="F2914" s="0" t="n">
        <v>4.75</v>
      </c>
      <c r="G2914" s="0" t="n">
        <v>17362</v>
      </c>
      <c r="H2914" s="3" t="s">
        <v>14</v>
      </c>
      <c r="I2914" s="4" t="n">
        <f aca="false">D2914*F2914</f>
        <v>28.5</v>
      </c>
      <c r="J2914" s="3" t="n">
        <f aca="false">IF(AND(LEFT(A2914,1)&lt;&gt;"C",D2914&gt;0,F2914&gt;0),1,0)</f>
        <v>1</v>
      </c>
      <c r="K2914" s="3" t="n">
        <f aca="false">IF(AND(H2914="United Kingdom",G2914&lt;&gt;"",COUNTIFS($G$2:G2914,G2914,$H$2:H2914,"United Kingdom")=1),1,0)</f>
        <v>0</v>
      </c>
    </row>
    <row r="2915" customFormat="false" ht="15" hidden="false" customHeight="false" outlineLevel="0" collapsed="false">
      <c r="A2915" s="0" t="s">
        <v>622</v>
      </c>
      <c r="B2915" s="0" t="s">
        <v>63</v>
      </c>
      <c r="C2915" s="0" t="s">
        <v>64</v>
      </c>
      <c r="D2915" s="0" t="n">
        <v>24</v>
      </c>
      <c r="E2915" s="2" t="n">
        <v>40811.4777777778</v>
      </c>
      <c r="F2915" s="0" t="n">
        <v>2.43</v>
      </c>
      <c r="G2915" s="0" t="n">
        <v>17362</v>
      </c>
      <c r="H2915" s="3" t="s">
        <v>14</v>
      </c>
      <c r="I2915" s="4" t="n">
        <f aca="false">D2915*F2915</f>
        <v>58.32</v>
      </c>
      <c r="J2915" s="3" t="n">
        <f aca="false">IF(AND(LEFT(A2915,1)&lt;&gt;"C",D2915&gt;0,F2915&gt;0),1,0)</f>
        <v>1</v>
      </c>
      <c r="K2915" s="3" t="n">
        <f aca="false">IF(AND(H2915="United Kingdom",G2915&lt;&gt;"",COUNTIFS($G$2:G2915,G2915,$H$2:H2915,"United Kingdom")=1),1,0)</f>
        <v>0</v>
      </c>
    </row>
    <row r="2916" customFormat="false" ht="15" hidden="false" customHeight="false" outlineLevel="0" collapsed="false">
      <c r="A2916" s="0" t="s">
        <v>622</v>
      </c>
      <c r="B2916" s="0" t="s">
        <v>41</v>
      </c>
      <c r="C2916" s="0" t="s">
        <v>42</v>
      </c>
      <c r="D2916" s="0" t="n">
        <v>12</v>
      </c>
      <c r="E2916" s="2" t="n">
        <v>40811.4777777778</v>
      </c>
      <c r="F2916" s="0" t="n">
        <v>3.28</v>
      </c>
      <c r="G2916" s="0" t="n">
        <v>17362</v>
      </c>
      <c r="H2916" s="3" t="s">
        <v>14</v>
      </c>
      <c r="I2916" s="4" t="n">
        <f aca="false">D2916*F2916</f>
        <v>39.36</v>
      </c>
      <c r="J2916" s="3" t="n">
        <f aca="false">IF(AND(LEFT(A2916,1)&lt;&gt;"C",D2916&gt;0,F2916&gt;0),1,0)</f>
        <v>1</v>
      </c>
      <c r="K2916" s="3" t="n">
        <f aca="false">IF(AND(H2916="United Kingdom",G2916&lt;&gt;"",COUNTIFS($G$2:G2916,G2916,$H$2:H2916,"United Kingdom")=1),1,0)</f>
        <v>0</v>
      </c>
    </row>
    <row r="2917" customFormat="false" ht="15" hidden="false" customHeight="false" outlineLevel="0" collapsed="false">
      <c r="A2917" s="0" t="s">
        <v>622</v>
      </c>
      <c r="B2917" s="0" t="s">
        <v>60</v>
      </c>
      <c r="C2917" s="0" t="s">
        <v>61</v>
      </c>
      <c r="D2917" s="0" t="n">
        <v>288</v>
      </c>
      <c r="E2917" s="2" t="n">
        <v>40811.4777777778</v>
      </c>
      <c r="F2917" s="0" t="n">
        <v>0.63</v>
      </c>
      <c r="G2917" s="0" t="n">
        <v>17362</v>
      </c>
      <c r="H2917" s="3" t="s">
        <v>14</v>
      </c>
      <c r="I2917" s="4" t="n">
        <f aca="false">D2917*F2917</f>
        <v>181.44</v>
      </c>
      <c r="J2917" s="3" t="n">
        <f aca="false">IF(AND(LEFT(A2917,1)&lt;&gt;"C",D2917&gt;0,F2917&gt;0),1,0)</f>
        <v>1</v>
      </c>
      <c r="K2917" s="3" t="n">
        <f aca="false">IF(AND(H2917="United Kingdom",G2917&lt;&gt;"",COUNTIFS($G$2:G2917,G2917,$H$2:H2917,"United Kingdom")=1),1,0)</f>
        <v>0</v>
      </c>
    </row>
    <row r="2918" customFormat="false" ht="15" hidden="false" customHeight="false" outlineLevel="0" collapsed="false">
      <c r="A2918" s="0" t="s">
        <v>622</v>
      </c>
      <c r="B2918" s="0" t="s">
        <v>39</v>
      </c>
      <c r="C2918" s="0" t="s">
        <v>40</v>
      </c>
      <c r="D2918" s="0" t="n">
        <v>288</v>
      </c>
      <c r="E2918" s="2" t="n">
        <v>40811.4777777778</v>
      </c>
      <c r="F2918" s="0" t="n">
        <v>2.58</v>
      </c>
      <c r="G2918" s="0" t="n">
        <v>17362</v>
      </c>
      <c r="H2918" s="3" t="s">
        <v>14</v>
      </c>
      <c r="I2918" s="4" t="n">
        <f aca="false">D2918*F2918</f>
        <v>743.04</v>
      </c>
      <c r="J2918" s="3" t="n">
        <f aca="false">IF(AND(LEFT(A2918,1)&lt;&gt;"C",D2918&gt;0,F2918&gt;0),1,0)</f>
        <v>1</v>
      </c>
      <c r="K2918" s="3" t="n">
        <f aca="false">IF(AND(H2918="United Kingdom",G2918&lt;&gt;"",COUNTIFS($G$2:G2918,G2918,$H$2:H2918,"United Kingdom")=1),1,0)</f>
        <v>0</v>
      </c>
    </row>
    <row r="2919" customFormat="false" ht="15" hidden="false" customHeight="false" outlineLevel="0" collapsed="false">
      <c r="A2919" s="0" t="s">
        <v>623</v>
      </c>
      <c r="B2919" s="0" t="s">
        <v>90</v>
      </c>
      <c r="C2919" s="0" t="s">
        <v>91</v>
      </c>
      <c r="D2919" s="0" t="n">
        <v>12</v>
      </c>
      <c r="E2919" s="2" t="n">
        <v>40811.6159722222</v>
      </c>
      <c r="F2919" s="0" t="n">
        <v>3.04</v>
      </c>
      <c r="G2919" s="0" t="n">
        <v>14240</v>
      </c>
      <c r="H2919" s="3" t="s">
        <v>14</v>
      </c>
      <c r="I2919" s="4" t="n">
        <f aca="false">D2919*F2919</f>
        <v>36.48</v>
      </c>
      <c r="J2919" s="3" t="n">
        <f aca="false">IF(AND(LEFT(A2919,1)&lt;&gt;"C",D2919&gt;0,F2919&gt;0),1,0)</f>
        <v>1</v>
      </c>
      <c r="K2919" s="3" t="n">
        <f aca="false">IF(AND(H2919="United Kingdom",G2919&lt;&gt;"",COUNTIFS($G$2:G2919,G2919,$H$2:H2919,"United Kingdom")=1),1,0)</f>
        <v>0</v>
      </c>
    </row>
    <row r="2920" customFormat="false" ht="15" hidden="false" customHeight="false" outlineLevel="0" collapsed="false">
      <c r="A2920" s="0" t="s">
        <v>623</v>
      </c>
      <c r="B2920" s="0" t="s">
        <v>29</v>
      </c>
      <c r="C2920" s="0" t="s">
        <v>30</v>
      </c>
      <c r="D2920" s="0" t="n">
        <v>1</v>
      </c>
      <c r="E2920" s="2" t="n">
        <v>40811.6159722222</v>
      </c>
      <c r="F2920" s="0" t="n">
        <v>5.79</v>
      </c>
      <c r="G2920" s="0" t="n">
        <v>14240</v>
      </c>
      <c r="H2920" s="3" t="s">
        <v>14</v>
      </c>
      <c r="I2920" s="4" t="n">
        <f aca="false">D2920*F2920</f>
        <v>5.79</v>
      </c>
      <c r="J2920" s="3" t="n">
        <f aca="false">IF(AND(LEFT(A2920,1)&lt;&gt;"C",D2920&gt;0,F2920&gt;0),1,0)</f>
        <v>1</v>
      </c>
      <c r="K2920" s="3" t="n">
        <f aca="false">IF(AND(H2920="United Kingdom",G2920&lt;&gt;"",COUNTIFS($G$2:G2920,G2920,$H$2:H2920,"United Kingdom")=1),1,0)</f>
        <v>0</v>
      </c>
    </row>
    <row r="2921" customFormat="false" ht="15" hidden="false" customHeight="false" outlineLevel="0" collapsed="false">
      <c r="A2921" s="0" t="s">
        <v>623</v>
      </c>
      <c r="B2921" s="0" t="s">
        <v>113</v>
      </c>
      <c r="C2921" s="0" t="s">
        <v>114</v>
      </c>
      <c r="D2921" s="0" t="n">
        <v>4</v>
      </c>
      <c r="E2921" s="2" t="n">
        <v>40811.6159722222</v>
      </c>
      <c r="F2921" s="0" t="n">
        <v>3.57</v>
      </c>
      <c r="G2921" s="0" t="n">
        <v>14240</v>
      </c>
      <c r="H2921" s="3" t="s">
        <v>14</v>
      </c>
      <c r="I2921" s="4" t="n">
        <f aca="false">D2921*F2921</f>
        <v>14.28</v>
      </c>
      <c r="J2921" s="3" t="n">
        <f aca="false">IF(AND(LEFT(A2921,1)&lt;&gt;"C",D2921&gt;0,F2921&gt;0),1,0)</f>
        <v>1</v>
      </c>
      <c r="K2921" s="3" t="n">
        <f aca="false">IF(AND(H2921="United Kingdom",G2921&lt;&gt;"",COUNTIFS($G$2:G2921,G2921,$H$2:H2921,"United Kingdom")=1),1,0)</f>
        <v>0</v>
      </c>
    </row>
    <row r="2922" customFormat="false" ht="15" hidden="false" customHeight="false" outlineLevel="0" collapsed="false">
      <c r="A2922" s="0" t="s">
        <v>623</v>
      </c>
      <c r="B2922" s="0" t="s">
        <v>63</v>
      </c>
      <c r="C2922" s="0" t="s">
        <v>64</v>
      </c>
      <c r="D2922" s="0" t="n">
        <v>8</v>
      </c>
      <c r="E2922" s="2" t="n">
        <v>40811.6159722222</v>
      </c>
      <c r="F2922" s="0" t="n">
        <v>2.43</v>
      </c>
      <c r="G2922" s="0" t="n">
        <v>14240</v>
      </c>
      <c r="H2922" s="3" t="s">
        <v>14</v>
      </c>
      <c r="I2922" s="4" t="n">
        <f aca="false">D2922*F2922</f>
        <v>19.44</v>
      </c>
      <c r="J2922" s="3" t="n">
        <f aca="false">IF(AND(LEFT(A2922,1)&lt;&gt;"C",D2922&gt;0,F2922&gt;0),1,0)</f>
        <v>1</v>
      </c>
      <c r="K2922" s="3" t="n">
        <f aca="false">IF(AND(H2922="United Kingdom",G2922&lt;&gt;"",COUNTIFS($G$2:G2922,G2922,$H$2:H2922,"United Kingdom")=1),1,0)</f>
        <v>0</v>
      </c>
    </row>
    <row r="2923" customFormat="false" ht="15" hidden="false" customHeight="false" outlineLevel="0" collapsed="false">
      <c r="A2923" s="0" t="s">
        <v>623</v>
      </c>
      <c r="B2923" s="0" t="s">
        <v>17</v>
      </c>
      <c r="C2923" s="0" t="s">
        <v>18</v>
      </c>
      <c r="D2923" s="0" t="n">
        <v>6</v>
      </c>
      <c r="E2923" s="2" t="n">
        <v>40811.6159722222</v>
      </c>
      <c r="F2923" s="0" t="n">
        <v>1.92</v>
      </c>
      <c r="G2923" s="0" t="n">
        <v>14240</v>
      </c>
      <c r="H2923" s="3" t="s">
        <v>14</v>
      </c>
      <c r="I2923" s="4" t="n">
        <f aca="false">D2923*F2923</f>
        <v>11.52</v>
      </c>
      <c r="J2923" s="3" t="n">
        <f aca="false">IF(AND(LEFT(A2923,1)&lt;&gt;"C",D2923&gt;0,F2923&gt;0),1,0)</f>
        <v>1</v>
      </c>
      <c r="K2923" s="3" t="n">
        <f aca="false">IF(AND(H2923="United Kingdom",G2923&lt;&gt;"",COUNTIFS($G$2:G2923,G2923,$H$2:H2923,"United Kingdom")=1),1,0)</f>
        <v>0</v>
      </c>
    </row>
    <row r="2924" customFormat="false" ht="15" hidden="false" customHeight="false" outlineLevel="0" collapsed="false">
      <c r="A2924" s="0" t="s">
        <v>624</v>
      </c>
      <c r="B2924" s="0" t="s">
        <v>72</v>
      </c>
      <c r="C2924" s="0" t="s">
        <v>73</v>
      </c>
      <c r="D2924" s="0" t="n">
        <v>12</v>
      </c>
      <c r="E2924" s="2" t="n">
        <v>40811.7006944444</v>
      </c>
      <c r="F2924" s="0" t="n">
        <v>2.69</v>
      </c>
      <c r="G2924" s="0" t="n">
        <v>12972</v>
      </c>
      <c r="H2924" s="3" t="s">
        <v>14</v>
      </c>
      <c r="I2924" s="4" t="n">
        <f aca="false">D2924*F2924</f>
        <v>32.28</v>
      </c>
      <c r="J2924" s="3" t="n">
        <f aca="false">IF(AND(LEFT(A2924,1)&lt;&gt;"C",D2924&gt;0,F2924&gt;0),1,0)</f>
        <v>1</v>
      </c>
      <c r="K2924" s="3" t="n">
        <f aca="false">IF(AND(H2924="United Kingdom",G2924&lt;&gt;"",COUNTIFS($G$2:G2924,G2924,$H$2:H2924,"United Kingdom")=1),1,0)</f>
        <v>0</v>
      </c>
    </row>
    <row r="2925" customFormat="false" ht="15" hidden="false" customHeight="false" outlineLevel="0" collapsed="false">
      <c r="A2925" s="0" t="s">
        <v>624</v>
      </c>
      <c r="B2925" s="0" t="s">
        <v>60</v>
      </c>
      <c r="C2925" s="0" t="s">
        <v>61</v>
      </c>
      <c r="D2925" s="0" t="n">
        <v>2</v>
      </c>
      <c r="E2925" s="2" t="n">
        <v>40811.7006944444</v>
      </c>
      <c r="F2925" s="0" t="n">
        <v>0.63</v>
      </c>
      <c r="G2925" s="0" t="n">
        <v>12972</v>
      </c>
      <c r="H2925" s="3" t="s">
        <v>14</v>
      </c>
      <c r="I2925" s="4" t="n">
        <f aca="false">D2925*F2925</f>
        <v>1.26</v>
      </c>
      <c r="J2925" s="3" t="n">
        <f aca="false">IF(AND(LEFT(A2925,1)&lt;&gt;"C",D2925&gt;0,F2925&gt;0),1,0)</f>
        <v>1</v>
      </c>
      <c r="K2925" s="3" t="n">
        <f aca="false">IF(AND(H2925="United Kingdom",G2925&lt;&gt;"",COUNTIFS($G$2:G2925,G2925,$H$2:H2925,"United Kingdom")=1),1,0)</f>
        <v>0</v>
      </c>
    </row>
    <row r="2926" customFormat="false" ht="15" hidden="false" customHeight="false" outlineLevel="0" collapsed="false">
      <c r="A2926" s="0" t="s">
        <v>624</v>
      </c>
      <c r="B2926" s="0" t="s">
        <v>113</v>
      </c>
      <c r="C2926" s="0" t="s">
        <v>114</v>
      </c>
      <c r="D2926" s="0" t="n">
        <v>6</v>
      </c>
      <c r="E2926" s="2" t="n">
        <v>40811.7006944444</v>
      </c>
      <c r="F2926" s="0" t="n">
        <v>3.57</v>
      </c>
      <c r="G2926" s="0" t="n">
        <v>12972</v>
      </c>
      <c r="H2926" s="3" t="s">
        <v>14</v>
      </c>
      <c r="I2926" s="4" t="n">
        <f aca="false">D2926*F2926</f>
        <v>21.42</v>
      </c>
      <c r="J2926" s="3" t="n">
        <f aca="false">IF(AND(LEFT(A2926,1)&lt;&gt;"C",D2926&gt;0,F2926&gt;0),1,0)</f>
        <v>1</v>
      </c>
      <c r="K2926" s="3" t="n">
        <f aca="false">IF(AND(H2926="United Kingdom",G2926&lt;&gt;"",COUNTIFS($G$2:G2926,G2926,$H$2:H2926,"United Kingdom")=1),1,0)</f>
        <v>0</v>
      </c>
    </row>
    <row r="2927" customFormat="false" ht="15" hidden="false" customHeight="false" outlineLevel="0" collapsed="false">
      <c r="A2927" s="0" t="s">
        <v>625</v>
      </c>
      <c r="B2927" s="0" t="s">
        <v>39</v>
      </c>
      <c r="C2927" s="0" t="s">
        <v>40</v>
      </c>
      <c r="D2927" s="0" t="n">
        <v>1</v>
      </c>
      <c r="E2927" s="2" t="n">
        <v>40812.70625</v>
      </c>
      <c r="F2927" s="0" t="n">
        <v>2.58</v>
      </c>
      <c r="G2927" s="0" t="n">
        <v>16908</v>
      </c>
      <c r="H2927" s="3" t="s">
        <v>14</v>
      </c>
      <c r="I2927" s="4" t="n">
        <f aca="false">D2927*F2927</f>
        <v>2.58</v>
      </c>
      <c r="J2927" s="3" t="n">
        <f aca="false">IF(AND(LEFT(A2927,1)&lt;&gt;"C",D2927&gt;0,F2927&gt;0),1,0)</f>
        <v>1</v>
      </c>
      <c r="K2927" s="3" t="n">
        <f aca="false">IF(AND(H2927="United Kingdom",G2927&lt;&gt;"",COUNTIFS($G$2:G2927,G2927,$H$2:H2927,"United Kingdom")=1),1,0)</f>
        <v>0</v>
      </c>
    </row>
    <row r="2928" customFormat="false" ht="15" hidden="false" customHeight="false" outlineLevel="0" collapsed="false">
      <c r="A2928" s="0" t="s">
        <v>626</v>
      </c>
      <c r="B2928" s="0" t="s">
        <v>29</v>
      </c>
      <c r="C2928" s="0" t="s">
        <v>30</v>
      </c>
      <c r="D2928" s="0" t="n">
        <v>5</v>
      </c>
      <c r="E2928" s="2" t="n">
        <v>40813.525</v>
      </c>
      <c r="F2928" s="0" t="n">
        <v>5.79</v>
      </c>
      <c r="G2928" s="0" t="n">
        <v>17973</v>
      </c>
      <c r="H2928" s="3" t="s">
        <v>120</v>
      </c>
      <c r="I2928" s="4" t="n">
        <f aca="false">D2928*F2928</f>
        <v>28.95</v>
      </c>
      <c r="J2928" s="3" t="n">
        <f aca="false">IF(AND(LEFT(A2928,1)&lt;&gt;"C",D2928&gt;0,F2928&gt;0),1,0)</f>
        <v>1</v>
      </c>
      <c r="K2928" s="3" t="n">
        <f aca="false">IF(AND(H2928="United Kingdom",G2928&lt;&gt;"",COUNTIFS($G$2:G2928,G2928,$H$2:H2928,"United Kingdom")=1),1,0)</f>
        <v>0</v>
      </c>
    </row>
    <row r="2929" customFormat="false" ht="15" hidden="false" customHeight="false" outlineLevel="0" collapsed="false">
      <c r="A2929" s="0" t="s">
        <v>626</v>
      </c>
      <c r="B2929" s="0" t="s">
        <v>60</v>
      </c>
      <c r="C2929" s="0" t="s">
        <v>61</v>
      </c>
      <c r="D2929" s="0" t="n">
        <v>3</v>
      </c>
      <c r="E2929" s="2" t="n">
        <v>40813.525</v>
      </c>
      <c r="F2929" s="0" t="n">
        <v>0.63</v>
      </c>
      <c r="G2929" s="0" t="n">
        <v>17973</v>
      </c>
      <c r="H2929" s="3" t="s">
        <v>120</v>
      </c>
      <c r="I2929" s="4" t="n">
        <f aca="false">D2929*F2929</f>
        <v>1.89</v>
      </c>
      <c r="J2929" s="3" t="n">
        <f aca="false">IF(AND(LEFT(A2929,1)&lt;&gt;"C",D2929&gt;0,F2929&gt;0),1,0)</f>
        <v>1</v>
      </c>
      <c r="K2929" s="3" t="n">
        <f aca="false">IF(AND(H2929="United Kingdom",G2929&lt;&gt;"",COUNTIFS($G$2:G2929,G2929,$H$2:H2929,"United Kingdom")=1),1,0)</f>
        <v>0</v>
      </c>
    </row>
    <row r="2930" customFormat="false" ht="15" hidden="false" customHeight="false" outlineLevel="0" collapsed="false">
      <c r="A2930" s="0" t="s">
        <v>626</v>
      </c>
      <c r="B2930" s="0" t="s">
        <v>39</v>
      </c>
      <c r="C2930" s="0" t="s">
        <v>40</v>
      </c>
      <c r="D2930" s="0" t="n">
        <v>5</v>
      </c>
      <c r="E2930" s="2" t="n">
        <v>40813.525</v>
      </c>
      <c r="F2930" s="0" t="n">
        <v>2.58</v>
      </c>
      <c r="G2930" s="0" t="n">
        <v>17973</v>
      </c>
      <c r="H2930" s="3" t="s">
        <v>120</v>
      </c>
      <c r="I2930" s="4" t="n">
        <f aca="false">D2930*F2930</f>
        <v>12.9</v>
      </c>
      <c r="J2930" s="3" t="n">
        <f aca="false">IF(AND(LEFT(A2930,1)&lt;&gt;"C",D2930&gt;0,F2930&gt;0),1,0)</f>
        <v>1</v>
      </c>
      <c r="K2930" s="3" t="n">
        <f aca="false">IF(AND(H2930="United Kingdom",G2930&lt;&gt;"",COUNTIFS($G$2:G2930,G2930,$H$2:H2930,"United Kingdom")=1),1,0)</f>
        <v>0</v>
      </c>
    </row>
    <row r="2931" customFormat="false" ht="15" hidden="false" customHeight="false" outlineLevel="0" collapsed="false">
      <c r="A2931" s="0" t="s">
        <v>627</v>
      </c>
      <c r="B2931" s="0" t="s">
        <v>77</v>
      </c>
      <c r="C2931" s="0" t="s">
        <v>78</v>
      </c>
      <c r="D2931" s="0" t="n">
        <v>-5</v>
      </c>
      <c r="E2931" s="2" t="n">
        <v>40813.5291666667</v>
      </c>
      <c r="F2931" s="0" t="n">
        <v>3.41</v>
      </c>
      <c r="G2931" s="0" t="n">
        <v>18034</v>
      </c>
      <c r="H2931" s="3" t="s">
        <v>14</v>
      </c>
      <c r="I2931" s="4" t="n">
        <f aca="false">D2931*F2931</f>
        <v>-17.05</v>
      </c>
      <c r="J2931" s="3" t="n">
        <f aca="false">IF(AND(LEFT(A2931,1)&lt;&gt;"C",D2931&gt;0,F2931&gt;0),1,0)</f>
        <v>0</v>
      </c>
      <c r="K2931" s="3" t="n">
        <f aca="false">IF(AND(H2931="United Kingdom",G2931&lt;&gt;"",COUNTIFS($G$2:G2931,G2931,$H$2:H2931,"United Kingdom")=1),1,0)</f>
        <v>0</v>
      </c>
    </row>
    <row r="2932" customFormat="false" ht="15" hidden="false" customHeight="false" outlineLevel="0" collapsed="false">
      <c r="A2932" s="0" t="s">
        <v>628</v>
      </c>
      <c r="B2932" s="0" t="s">
        <v>60</v>
      </c>
      <c r="C2932" s="0" t="s">
        <v>61</v>
      </c>
      <c r="D2932" s="0" t="n">
        <v>3</v>
      </c>
      <c r="E2932" s="2" t="n">
        <v>40813.6083333333</v>
      </c>
      <c r="F2932" s="0" t="n">
        <v>0.63</v>
      </c>
      <c r="G2932" s="0" t="n">
        <v>14603</v>
      </c>
      <c r="H2932" s="3" t="s">
        <v>14</v>
      </c>
      <c r="I2932" s="4" t="n">
        <f aca="false">D2932*F2932</f>
        <v>1.89</v>
      </c>
      <c r="J2932" s="3" t="n">
        <f aca="false">IF(AND(LEFT(A2932,1)&lt;&gt;"C",D2932&gt;0,F2932&gt;0),1,0)</f>
        <v>1</v>
      </c>
      <c r="K2932" s="3" t="n">
        <f aca="false">IF(AND(H2932="United Kingdom",G2932&lt;&gt;"",COUNTIFS($G$2:G2932,G2932,$H$2:H2932,"United Kingdom")=1),1,0)</f>
        <v>0</v>
      </c>
    </row>
    <row r="2933" customFormat="false" ht="15" hidden="false" customHeight="false" outlineLevel="0" collapsed="false">
      <c r="A2933" s="0" t="s">
        <v>628</v>
      </c>
      <c r="B2933" s="0" t="s">
        <v>58</v>
      </c>
      <c r="C2933" s="0" t="s">
        <v>59</v>
      </c>
      <c r="D2933" s="0" t="n">
        <v>6</v>
      </c>
      <c r="E2933" s="2" t="n">
        <v>40813.6083333333</v>
      </c>
      <c r="F2933" s="0" t="n">
        <v>2.16</v>
      </c>
      <c r="G2933" s="0" t="n">
        <v>14603</v>
      </c>
      <c r="H2933" s="3" t="s">
        <v>14</v>
      </c>
      <c r="I2933" s="4" t="n">
        <f aca="false">D2933*F2933</f>
        <v>12.96</v>
      </c>
      <c r="J2933" s="3" t="n">
        <f aca="false">IF(AND(LEFT(A2933,1)&lt;&gt;"C",D2933&gt;0,F2933&gt;0),1,0)</f>
        <v>1</v>
      </c>
      <c r="K2933" s="3" t="n">
        <f aca="false">IF(AND(H2933="United Kingdom",G2933&lt;&gt;"",COUNTIFS($G$2:G2933,G2933,$H$2:H2933,"United Kingdom")=1),1,0)</f>
        <v>0</v>
      </c>
    </row>
    <row r="2934" customFormat="false" ht="15" hidden="false" customHeight="false" outlineLevel="0" collapsed="false">
      <c r="A2934" s="0" t="s">
        <v>628</v>
      </c>
      <c r="B2934" s="0" t="s">
        <v>72</v>
      </c>
      <c r="C2934" s="0" t="s">
        <v>73</v>
      </c>
      <c r="D2934" s="0" t="n">
        <v>4</v>
      </c>
      <c r="E2934" s="2" t="n">
        <v>40813.6083333333</v>
      </c>
      <c r="F2934" s="0" t="n">
        <v>2.69</v>
      </c>
      <c r="G2934" s="0" t="n">
        <v>14603</v>
      </c>
      <c r="H2934" s="3" t="s">
        <v>14</v>
      </c>
      <c r="I2934" s="4" t="n">
        <f aca="false">D2934*F2934</f>
        <v>10.76</v>
      </c>
      <c r="J2934" s="3" t="n">
        <f aca="false">IF(AND(LEFT(A2934,1)&lt;&gt;"C",D2934&gt;0,F2934&gt;0),1,0)</f>
        <v>1</v>
      </c>
      <c r="K2934" s="3" t="n">
        <f aca="false">IF(AND(H2934="United Kingdom",G2934&lt;&gt;"",COUNTIFS($G$2:G2934,G2934,$H$2:H2934,"United Kingdom")=1),1,0)</f>
        <v>0</v>
      </c>
    </row>
    <row r="2935" customFormat="false" ht="15" hidden="false" customHeight="false" outlineLevel="0" collapsed="false">
      <c r="A2935" s="0" t="s">
        <v>628</v>
      </c>
      <c r="B2935" s="0" t="s">
        <v>48</v>
      </c>
      <c r="C2935" s="0" t="s">
        <v>49</v>
      </c>
      <c r="D2935" s="0" t="n">
        <v>12</v>
      </c>
      <c r="E2935" s="2" t="n">
        <v>40813.6083333333</v>
      </c>
      <c r="F2935" s="0" t="n">
        <v>1.35</v>
      </c>
      <c r="G2935" s="0" t="n">
        <v>14603</v>
      </c>
      <c r="H2935" s="3" t="s">
        <v>14</v>
      </c>
      <c r="I2935" s="4" t="n">
        <f aca="false">D2935*F2935</f>
        <v>16.2</v>
      </c>
      <c r="J2935" s="3" t="n">
        <f aca="false">IF(AND(LEFT(A2935,1)&lt;&gt;"C",D2935&gt;0,F2935&gt;0),1,0)</f>
        <v>1</v>
      </c>
      <c r="K2935" s="3" t="n">
        <f aca="false">IF(AND(H2935="United Kingdom",G2935&lt;&gt;"",COUNTIFS($G$2:G2935,G2935,$H$2:H2935,"United Kingdom")=1),1,0)</f>
        <v>0</v>
      </c>
    </row>
    <row r="2936" customFormat="false" ht="15" hidden="false" customHeight="false" outlineLevel="0" collapsed="false">
      <c r="A2936" s="0" t="s">
        <v>629</v>
      </c>
      <c r="B2936" s="0" t="s">
        <v>72</v>
      </c>
      <c r="C2936" s="0" t="s">
        <v>73</v>
      </c>
      <c r="D2936" s="0" t="n">
        <v>3</v>
      </c>
      <c r="E2936" s="2" t="n">
        <v>40814.7472222222</v>
      </c>
      <c r="F2936" s="0" t="n">
        <v>2.69</v>
      </c>
      <c r="G2936" s="0" t="n">
        <v>17892</v>
      </c>
      <c r="H2936" s="3" t="s">
        <v>14</v>
      </c>
      <c r="I2936" s="4" t="n">
        <f aca="false">D2936*F2936</f>
        <v>8.07</v>
      </c>
      <c r="J2936" s="3" t="n">
        <f aca="false">IF(AND(LEFT(A2936,1)&lt;&gt;"C",D2936&gt;0,F2936&gt;0),1,0)</f>
        <v>1</v>
      </c>
      <c r="K2936" s="3" t="n">
        <f aca="false">IF(AND(H2936="United Kingdom",G2936&lt;&gt;"",COUNTIFS($G$2:G2936,G2936,$H$2:H2936,"United Kingdom")=1),1,0)</f>
        <v>0</v>
      </c>
    </row>
    <row r="2937" customFormat="false" ht="15" hidden="false" customHeight="false" outlineLevel="0" collapsed="false">
      <c r="A2937" s="0" t="s">
        <v>629</v>
      </c>
      <c r="B2937" s="0" t="s">
        <v>22</v>
      </c>
      <c r="C2937" s="0" t="s">
        <v>23</v>
      </c>
      <c r="D2937" s="0" t="n">
        <v>8</v>
      </c>
      <c r="E2937" s="2" t="n">
        <v>40814.7472222222</v>
      </c>
      <c r="F2937" s="0" t="n">
        <v>3.18</v>
      </c>
      <c r="G2937" s="0" t="n">
        <v>17892</v>
      </c>
      <c r="H2937" s="3" t="s">
        <v>14</v>
      </c>
      <c r="I2937" s="4" t="n">
        <f aca="false">D2937*F2937</f>
        <v>25.44</v>
      </c>
      <c r="J2937" s="3" t="n">
        <f aca="false">IF(AND(LEFT(A2937,1)&lt;&gt;"C",D2937&gt;0,F2937&gt;0),1,0)</f>
        <v>1</v>
      </c>
      <c r="K2937" s="3" t="n">
        <f aca="false">IF(AND(H2937="United Kingdom",G2937&lt;&gt;"",COUNTIFS($G$2:G2937,G2937,$H$2:H2937,"United Kingdom")=1),1,0)</f>
        <v>0</v>
      </c>
    </row>
    <row r="2938" customFormat="false" ht="15" hidden="false" customHeight="false" outlineLevel="0" collapsed="false">
      <c r="A2938" s="0" t="s">
        <v>630</v>
      </c>
      <c r="B2938" s="0" t="s">
        <v>68</v>
      </c>
      <c r="C2938" s="0" t="s">
        <v>69</v>
      </c>
      <c r="D2938" s="0" t="n">
        <v>7</v>
      </c>
      <c r="E2938" s="2" t="n">
        <v>40815.51875</v>
      </c>
      <c r="F2938" s="0" t="n">
        <v>1.26</v>
      </c>
      <c r="G2938" s="0" t="n">
        <v>12535</v>
      </c>
      <c r="H2938" s="3" t="s">
        <v>120</v>
      </c>
      <c r="I2938" s="4" t="n">
        <f aca="false">D2938*F2938</f>
        <v>8.82</v>
      </c>
      <c r="J2938" s="3" t="n">
        <f aca="false">IF(AND(LEFT(A2938,1)&lt;&gt;"C",D2938&gt;0,F2938&gt;0),1,0)</f>
        <v>1</v>
      </c>
      <c r="K2938" s="3" t="n">
        <f aca="false">IF(AND(H2938="United Kingdom",G2938&lt;&gt;"",COUNTIFS($G$2:G2938,G2938,$H$2:H2938,"United Kingdom")=1),1,0)</f>
        <v>0</v>
      </c>
    </row>
    <row r="2939" customFormat="false" ht="15" hidden="false" customHeight="false" outlineLevel="0" collapsed="false">
      <c r="A2939" s="0" t="s">
        <v>630</v>
      </c>
      <c r="B2939" s="0" t="s">
        <v>12</v>
      </c>
      <c r="C2939" s="0" t="s">
        <v>13</v>
      </c>
      <c r="D2939" s="0" t="n">
        <v>2</v>
      </c>
      <c r="E2939" s="2" t="n">
        <v>40815.51875</v>
      </c>
      <c r="F2939" s="0" t="n">
        <v>3.33</v>
      </c>
      <c r="G2939" s="0" t="n">
        <v>12535</v>
      </c>
      <c r="H2939" s="3" t="s">
        <v>120</v>
      </c>
      <c r="I2939" s="4" t="n">
        <f aca="false">D2939*F2939</f>
        <v>6.66</v>
      </c>
      <c r="J2939" s="3" t="n">
        <f aca="false">IF(AND(LEFT(A2939,1)&lt;&gt;"C",D2939&gt;0,F2939&gt;0),1,0)</f>
        <v>1</v>
      </c>
      <c r="K2939" s="3" t="n">
        <f aca="false">IF(AND(H2939="United Kingdom",G2939&lt;&gt;"",COUNTIFS($G$2:G2939,G2939,$H$2:H2939,"United Kingdom")=1),1,0)</f>
        <v>0</v>
      </c>
    </row>
    <row r="2940" customFormat="false" ht="15" hidden="false" customHeight="false" outlineLevel="0" collapsed="false">
      <c r="A2940" s="0" t="s">
        <v>630</v>
      </c>
      <c r="B2940" s="0" t="s">
        <v>39</v>
      </c>
      <c r="C2940" s="0" t="s">
        <v>40</v>
      </c>
      <c r="D2940" s="0" t="n">
        <v>2</v>
      </c>
      <c r="E2940" s="2" t="n">
        <v>40815.51875</v>
      </c>
      <c r="F2940" s="0" t="n">
        <v>2.58</v>
      </c>
      <c r="G2940" s="0" t="n">
        <v>12535</v>
      </c>
      <c r="H2940" s="3" t="s">
        <v>120</v>
      </c>
      <c r="I2940" s="4" t="n">
        <f aca="false">D2940*F2940</f>
        <v>5.16</v>
      </c>
      <c r="J2940" s="3" t="n">
        <f aca="false">IF(AND(LEFT(A2940,1)&lt;&gt;"C",D2940&gt;0,F2940&gt;0),1,0)</f>
        <v>1</v>
      </c>
      <c r="K2940" s="3" t="n">
        <f aca="false">IF(AND(H2940="United Kingdom",G2940&lt;&gt;"",COUNTIFS($G$2:G2940,G2940,$H$2:H2940,"United Kingdom")=1),1,0)</f>
        <v>0</v>
      </c>
    </row>
    <row r="2941" customFormat="false" ht="15" hidden="false" customHeight="false" outlineLevel="0" collapsed="false">
      <c r="A2941" s="0" t="s">
        <v>630</v>
      </c>
      <c r="B2941" s="0" t="s">
        <v>48</v>
      </c>
      <c r="C2941" s="0" t="s">
        <v>49</v>
      </c>
      <c r="D2941" s="0" t="n">
        <v>10</v>
      </c>
      <c r="E2941" s="2" t="n">
        <v>40815.51875</v>
      </c>
      <c r="F2941" s="0" t="n">
        <v>1.35</v>
      </c>
      <c r="G2941" s="0" t="n">
        <v>12535</v>
      </c>
      <c r="H2941" s="3" t="s">
        <v>120</v>
      </c>
      <c r="I2941" s="4" t="n">
        <f aca="false">D2941*F2941</f>
        <v>13.5</v>
      </c>
      <c r="J2941" s="3" t="n">
        <f aca="false">IF(AND(LEFT(A2941,1)&lt;&gt;"C",D2941&gt;0,F2941&gt;0),1,0)</f>
        <v>1</v>
      </c>
      <c r="K2941" s="3" t="n">
        <f aca="false">IF(AND(H2941="United Kingdom",G2941&lt;&gt;"",COUNTIFS($G$2:G2941,G2941,$H$2:H2941,"United Kingdom")=1),1,0)</f>
        <v>0</v>
      </c>
    </row>
    <row r="2942" customFormat="false" ht="15" hidden="false" customHeight="false" outlineLevel="0" collapsed="false">
      <c r="A2942" s="0" t="s">
        <v>630</v>
      </c>
      <c r="B2942" s="0" t="s">
        <v>45</v>
      </c>
      <c r="C2942" s="0" t="s">
        <v>46</v>
      </c>
      <c r="D2942" s="0" t="n">
        <v>7</v>
      </c>
      <c r="E2942" s="2" t="n">
        <v>40815.51875</v>
      </c>
      <c r="F2942" s="0" t="n">
        <v>4.55</v>
      </c>
      <c r="G2942" s="0" t="n">
        <v>12535</v>
      </c>
      <c r="H2942" s="3" t="s">
        <v>120</v>
      </c>
      <c r="I2942" s="4" t="n">
        <f aca="false">D2942*F2942</f>
        <v>31.85</v>
      </c>
      <c r="J2942" s="3" t="n">
        <f aca="false">IF(AND(LEFT(A2942,1)&lt;&gt;"C",D2942&gt;0,F2942&gt;0),1,0)</f>
        <v>1</v>
      </c>
      <c r="K2942" s="3" t="n">
        <f aca="false">IF(AND(H2942="United Kingdom",G2942&lt;&gt;"",COUNTIFS($G$2:G2942,G2942,$H$2:H2942,"United Kingdom")=1),1,0)</f>
        <v>0</v>
      </c>
    </row>
    <row r="2943" customFormat="false" ht="15" hidden="false" customHeight="false" outlineLevel="0" collapsed="false">
      <c r="A2943" s="0" t="s">
        <v>630</v>
      </c>
      <c r="B2943" s="0" t="s">
        <v>17</v>
      </c>
      <c r="C2943" s="0" t="s">
        <v>18</v>
      </c>
      <c r="D2943" s="0" t="n">
        <v>7</v>
      </c>
      <c r="E2943" s="2" t="n">
        <v>40815.51875</v>
      </c>
      <c r="F2943" s="0" t="n">
        <v>1.92</v>
      </c>
      <c r="G2943" s="0" t="n">
        <v>12535</v>
      </c>
      <c r="H2943" s="3" t="s">
        <v>120</v>
      </c>
      <c r="I2943" s="4" t="n">
        <f aca="false">D2943*F2943</f>
        <v>13.44</v>
      </c>
      <c r="J2943" s="3" t="n">
        <f aca="false">IF(AND(LEFT(A2943,1)&lt;&gt;"C",D2943&gt;0,F2943&gt;0),1,0)</f>
        <v>1</v>
      </c>
      <c r="K2943" s="3" t="n">
        <f aca="false">IF(AND(H2943="United Kingdom",G2943&lt;&gt;"",COUNTIFS($G$2:G2943,G2943,$H$2:H2943,"United Kingdom")=1),1,0)</f>
        <v>0</v>
      </c>
    </row>
    <row r="2944" customFormat="false" ht="15" hidden="false" customHeight="false" outlineLevel="0" collapsed="false">
      <c r="A2944" s="0" t="s">
        <v>630</v>
      </c>
      <c r="B2944" s="0" t="s">
        <v>90</v>
      </c>
      <c r="C2944" s="0" t="s">
        <v>91</v>
      </c>
      <c r="D2944" s="0" t="n">
        <v>1</v>
      </c>
      <c r="E2944" s="2" t="n">
        <v>40815.51875</v>
      </c>
      <c r="F2944" s="0" t="n">
        <v>3.04</v>
      </c>
      <c r="G2944" s="0" t="n">
        <v>12535</v>
      </c>
      <c r="H2944" s="3" t="s">
        <v>120</v>
      </c>
      <c r="I2944" s="4" t="n">
        <f aca="false">D2944*F2944</f>
        <v>3.04</v>
      </c>
      <c r="J2944" s="3" t="n">
        <f aca="false">IF(AND(LEFT(A2944,1)&lt;&gt;"C",D2944&gt;0,F2944&gt;0),1,0)</f>
        <v>1</v>
      </c>
      <c r="K2944" s="3" t="n">
        <f aca="false">IF(AND(H2944="United Kingdom",G2944&lt;&gt;"",COUNTIFS($G$2:G2944,G2944,$H$2:H2944,"United Kingdom")=1),1,0)</f>
        <v>0</v>
      </c>
    </row>
    <row r="2945" customFormat="false" ht="15" hidden="false" customHeight="false" outlineLevel="0" collapsed="false">
      <c r="A2945" s="0" t="s">
        <v>630</v>
      </c>
      <c r="B2945" s="0" t="s">
        <v>25</v>
      </c>
      <c r="C2945" s="0" t="s">
        <v>26</v>
      </c>
      <c r="D2945" s="0" t="n">
        <v>2</v>
      </c>
      <c r="E2945" s="2" t="n">
        <v>40815.51875</v>
      </c>
      <c r="F2945" s="0" t="n">
        <v>2.21</v>
      </c>
      <c r="G2945" s="0" t="n">
        <v>12535</v>
      </c>
      <c r="H2945" s="3" t="s">
        <v>120</v>
      </c>
      <c r="I2945" s="4" t="n">
        <f aca="false">D2945*F2945</f>
        <v>4.42</v>
      </c>
      <c r="J2945" s="3" t="n">
        <f aca="false">IF(AND(LEFT(A2945,1)&lt;&gt;"C",D2945&gt;0,F2945&gt;0),1,0)</f>
        <v>1</v>
      </c>
      <c r="K2945" s="3" t="n">
        <f aca="false">IF(AND(H2945="United Kingdom",G2945&lt;&gt;"",COUNTIFS($G$2:G2945,G2945,$H$2:H2945,"United Kingdom")=1),1,0)</f>
        <v>0</v>
      </c>
    </row>
    <row r="2946" customFormat="false" ht="15" hidden="false" customHeight="false" outlineLevel="0" collapsed="false">
      <c r="A2946" s="0" t="s">
        <v>630</v>
      </c>
      <c r="B2946" s="0" t="s">
        <v>34</v>
      </c>
      <c r="C2946" s="0" t="s">
        <v>35</v>
      </c>
      <c r="D2946" s="0" t="n">
        <v>2</v>
      </c>
      <c r="E2946" s="2" t="n">
        <v>40815.51875</v>
      </c>
      <c r="F2946" s="0" t="n">
        <v>2.38</v>
      </c>
      <c r="G2946" s="0" t="n">
        <v>12535</v>
      </c>
      <c r="H2946" s="3" t="s">
        <v>120</v>
      </c>
      <c r="I2946" s="4" t="n">
        <f aca="false">D2946*F2946</f>
        <v>4.76</v>
      </c>
      <c r="J2946" s="3" t="n">
        <f aca="false">IF(AND(LEFT(A2946,1)&lt;&gt;"C",D2946&gt;0,F2946&gt;0),1,0)</f>
        <v>1</v>
      </c>
      <c r="K2946" s="3" t="n">
        <f aca="false">IF(AND(H2946="United Kingdom",G2946&lt;&gt;"",COUNTIFS($G$2:G2946,G2946,$H$2:H2946,"United Kingdom")=1),1,0)</f>
        <v>0</v>
      </c>
    </row>
    <row r="2947" customFormat="false" ht="15" hidden="false" customHeight="false" outlineLevel="0" collapsed="false">
      <c r="A2947" s="0" t="s">
        <v>630</v>
      </c>
      <c r="B2947" s="0" t="s">
        <v>15</v>
      </c>
      <c r="C2947" s="0" t="s">
        <v>16</v>
      </c>
      <c r="D2947" s="0" t="n">
        <v>5</v>
      </c>
      <c r="E2947" s="2" t="n">
        <v>40815.51875</v>
      </c>
      <c r="F2947" s="0" t="n">
        <v>3.18</v>
      </c>
      <c r="G2947" s="0" t="n">
        <v>12535</v>
      </c>
      <c r="H2947" s="3" t="s">
        <v>120</v>
      </c>
      <c r="I2947" s="4" t="n">
        <f aca="false">D2947*F2947</f>
        <v>15.9</v>
      </c>
      <c r="J2947" s="3" t="n">
        <f aca="false">IF(AND(LEFT(A2947,1)&lt;&gt;"C",D2947&gt;0,F2947&gt;0),1,0)</f>
        <v>1</v>
      </c>
      <c r="K2947" s="3" t="n">
        <f aca="false">IF(AND(H2947="United Kingdom",G2947&lt;&gt;"",COUNTIFS($G$2:G2947,G2947,$H$2:H2947,"United Kingdom")=1),1,0)</f>
        <v>0</v>
      </c>
    </row>
    <row r="2948" customFormat="false" ht="15" hidden="false" customHeight="false" outlineLevel="0" collapsed="false">
      <c r="A2948" s="0" t="s">
        <v>630</v>
      </c>
      <c r="B2948" s="0" t="s">
        <v>41</v>
      </c>
      <c r="C2948" s="0" t="s">
        <v>42</v>
      </c>
      <c r="D2948" s="0" t="n">
        <v>7</v>
      </c>
      <c r="E2948" s="2" t="n">
        <v>40815.51875</v>
      </c>
      <c r="F2948" s="0" t="n">
        <v>3.28</v>
      </c>
      <c r="G2948" s="0" t="n">
        <v>12535</v>
      </c>
      <c r="H2948" s="3" t="s">
        <v>120</v>
      </c>
      <c r="I2948" s="4" t="n">
        <f aca="false">D2948*F2948</f>
        <v>22.96</v>
      </c>
      <c r="J2948" s="3" t="n">
        <f aca="false">IF(AND(LEFT(A2948,1)&lt;&gt;"C",D2948&gt;0,F2948&gt;0),1,0)</f>
        <v>1</v>
      </c>
      <c r="K2948" s="3" t="n">
        <f aca="false">IF(AND(H2948="United Kingdom",G2948&lt;&gt;"",COUNTIFS($G$2:G2948,G2948,$H$2:H2948,"United Kingdom")=1),1,0)</f>
        <v>0</v>
      </c>
    </row>
    <row r="2949" customFormat="false" ht="15" hidden="false" customHeight="false" outlineLevel="0" collapsed="false">
      <c r="A2949" s="0" t="s">
        <v>630</v>
      </c>
      <c r="B2949" s="0" t="s">
        <v>60</v>
      </c>
      <c r="C2949" s="0" t="s">
        <v>61</v>
      </c>
      <c r="D2949" s="0" t="n">
        <v>5</v>
      </c>
      <c r="E2949" s="2" t="n">
        <v>40815.51875</v>
      </c>
      <c r="F2949" s="0" t="n">
        <v>0.63</v>
      </c>
      <c r="G2949" s="0" t="n">
        <v>12535</v>
      </c>
      <c r="H2949" s="3" t="s">
        <v>120</v>
      </c>
      <c r="I2949" s="4" t="n">
        <f aca="false">D2949*F2949</f>
        <v>3.15</v>
      </c>
      <c r="J2949" s="3" t="n">
        <f aca="false">IF(AND(LEFT(A2949,1)&lt;&gt;"C",D2949&gt;0,F2949&gt;0),1,0)</f>
        <v>1</v>
      </c>
      <c r="K2949" s="3" t="n">
        <f aca="false">IF(AND(H2949="United Kingdom",G2949&lt;&gt;"",COUNTIFS($G$2:G2949,G2949,$H$2:H2949,"United Kingdom")=1),1,0)</f>
        <v>0</v>
      </c>
    </row>
    <row r="2950" customFormat="false" ht="15" hidden="false" customHeight="false" outlineLevel="0" collapsed="false">
      <c r="A2950" s="0" t="s">
        <v>630</v>
      </c>
      <c r="B2950" s="0" t="s">
        <v>54</v>
      </c>
      <c r="C2950" s="0" t="s">
        <v>55</v>
      </c>
      <c r="D2950" s="0" t="n">
        <v>7</v>
      </c>
      <c r="E2950" s="2" t="n">
        <v>40815.51875</v>
      </c>
      <c r="F2950" s="0" t="n">
        <v>0.99</v>
      </c>
      <c r="G2950" s="0" t="n">
        <v>12535</v>
      </c>
      <c r="H2950" s="3" t="s">
        <v>120</v>
      </c>
      <c r="I2950" s="4" t="n">
        <f aca="false">D2950*F2950</f>
        <v>6.93</v>
      </c>
      <c r="J2950" s="3" t="n">
        <f aca="false">IF(AND(LEFT(A2950,1)&lt;&gt;"C",D2950&gt;0,F2950&gt;0),1,0)</f>
        <v>1</v>
      </c>
      <c r="K2950" s="3" t="n">
        <f aca="false">IF(AND(H2950="United Kingdom",G2950&lt;&gt;"",COUNTIFS($G$2:G2950,G2950,$H$2:H2950,"United Kingdom")=1),1,0)</f>
        <v>0</v>
      </c>
    </row>
    <row r="2951" customFormat="false" ht="15" hidden="false" customHeight="false" outlineLevel="0" collapsed="false">
      <c r="A2951" s="0" t="s">
        <v>631</v>
      </c>
      <c r="B2951" s="0" t="s">
        <v>52</v>
      </c>
      <c r="C2951" s="0" t="s">
        <v>53</v>
      </c>
      <c r="D2951" s="0" t="n">
        <v>1</v>
      </c>
      <c r="E2951" s="2" t="n">
        <v>40815.5652777778</v>
      </c>
      <c r="F2951" s="0" t="n">
        <v>4.16</v>
      </c>
      <c r="G2951" s="0" t="n">
        <v>17579</v>
      </c>
      <c r="H2951" s="3" t="s">
        <v>14</v>
      </c>
      <c r="I2951" s="4" t="n">
        <f aca="false">D2951*F2951</f>
        <v>4.16</v>
      </c>
      <c r="J2951" s="3" t="n">
        <f aca="false">IF(AND(LEFT(A2951,1)&lt;&gt;"C",D2951&gt;0,F2951&gt;0),1,0)</f>
        <v>1</v>
      </c>
      <c r="K2951" s="3" t="n">
        <f aca="false">IF(AND(H2951="United Kingdom",G2951&lt;&gt;"",COUNTIFS($G$2:G2951,G2951,$H$2:H2951,"United Kingdom")=1),1,0)</f>
        <v>1</v>
      </c>
    </row>
    <row r="2952" customFormat="false" ht="15" hidden="false" customHeight="false" outlineLevel="0" collapsed="false">
      <c r="A2952" s="0" t="s">
        <v>631</v>
      </c>
      <c r="B2952" s="0" t="s">
        <v>32</v>
      </c>
      <c r="C2952" s="0" t="s">
        <v>33</v>
      </c>
      <c r="D2952" s="0" t="n">
        <v>3</v>
      </c>
      <c r="E2952" s="2" t="n">
        <v>40815.5652777778</v>
      </c>
      <c r="F2952" s="0" t="n">
        <v>1.19</v>
      </c>
      <c r="G2952" s="0" t="n">
        <v>17579</v>
      </c>
      <c r="H2952" s="3" t="s">
        <v>14</v>
      </c>
      <c r="I2952" s="4" t="n">
        <f aca="false">D2952*F2952</f>
        <v>3.57</v>
      </c>
      <c r="J2952" s="3" t="n">
        <f aca="false">IF(AND(LEFT(A2952,1)&lt;&gt;"C",D2952&gt;0,F2952&gt;0),1,0)</f>
        <v>1</v>
      </c>
      <c r="K2952" s="3" t="n">
        <f aca="false">IF(AND(H2952="United Kingdom",G2952&lt;&gt;"",COUNTIFS($G$2:G2952,G2952,$H$2:H2952,"United Kingdom")=1),1,0)</f>
        <v>0</v>
      </c>
    </row>
    <row r="2953" customFormat="false" ht="15" hidden="false" customHeight="false" outlineLevel="0" collapsed="false">
      <c r="A2953" s="0" t="s">
        <v>631</v>
      </c>
      <c r="B2953" s="0" t="s">
        <v>29</v>
      </c>
      <c r="C2953" s="0" t="s">
        <v>30</v>
      </c>
      <c r="D2953" s="0" t="n">
        <v>8</v>
      </c>
      <c r="E2953" s="2" t="n">
        <v>40815.5652777778</v>
      </c>
      <c r="F2953" s="0" t="n">
        <v>5.79</v>
      </c>
      <c r="G2953" s="0" t="n">
        <v>17579</v>
      </c>
      <c r="H2953" s="3" t="s">
        <v>14</v>
      </c>
      <c r="I2953" s="4" t="n">
        <f aca="false">D2953*F2953</f>
        <v>46.32</v>
      </c>
      <c r="J2953" s="3" t="n">
        <f aca="false">IF(AND(LEFT(A2953,1)&lt;&gt;"C",D2953&gt;0,F2953&gt;0),1,0)</f>
        <v>1</v>
      </c>
      <c r="K2953" s="3" t="n">
        <f aca="false">IF(AND(H2953="United Kingdom",G2953&lt;&gt;"",COUNTIFS($G$2:G2953,G2953,$H$2:H2953,"United Kingdom")=1),1,0)</f>
        <v>0</v>
      </c>
    </row>
    <row r="2954" customFormat="false" ht="15" hidden="false" customHeight="false" outlineLevel="0" collapsed="false">
      <c r="A2954" s="0" t="s">
        <v>631</v>
      </c>
      <c r="B2954" s="0" t="s">
        <v>25</v>
      </c>
      <c r="C2954" s="0" t="s">
        <v>26</v>
      </c>
      <c r="D2954" s="0" t="n">
        <v>3</v>
      </c>
      <c r="E2954" s="2" t="n">
        <v>40815.5652777778</v>
      </c>
      <c r="F2954" s="0" t="n">
        <v>2.21</v>
      </c>
      <c r="G2954" s="0" t="n">
        <v>17579</v>
      </c>
      <c r="H2954" s="3" t="s">
        <v>14</v>
      </c>
      <c r="I2954" s="4" t="n">
        <f aca="false">D2954*F2954</f>
        <v>6.63</v>
      </c>
      <c r="J2954" s="3" t="n">
        <f aca="false">IF(AND(LEFT(A2954,1)&lt;&gt;"C",D2954&gt;0,F2954&gt;0),1,0)</f>
        <v>1</v>
      </c>
      <c r="K2954" s="3" t="n">
        <f aca="false">IF(AND(H2954="United Kingdom",G2954&lt;&gt;"",COUNTIFS($G$2:G2954,G2954,$H$2:H2954,"United Kingdom")=1),1,0)</f>
        <v>0</v>
      </c>
    </row>
    <row r="2955" customFormat="false" ht="15" hidden="false" customHeight="false" outlineLevel="0" collapsed="false">
      <c r="A2955" s="0" t="s">
        <v>631</v>
      </c>
      <c r="B2955" s="0" t="s">
        <v>65</v>
      </c>
      <c r="C2955" s="0" t="s">
        <v>66</v>
      </c>
      <c r="D2955" s="0" t="n">
        <v>3</v>
      </c>
      <c r="E2955" s="2" t="n">
        <v>40815.5652777778</v>
      </c>
      <c r="F2955" s="0" t="n">
        <v>4.75</v>
      </c>
      <c r="G2955" s="0" t="n">
        <v>17579</v>
      </c>
      <c r="H2955" s="3" t="s">
        <v>14</v>
      </c>
      <c r="I2955" s="4" t="n">
        <f aca="false">D2955*F2955</f>
        <v>14.25</v>
      </c>
      <c r="J2955" s="3" t="n">
        <f aca="false">IF(AND(LEFT(A2955,1)&lt;&gt;"C",D2955&gt;0,F2955&gt;0),1,0)</f>
        <v>1</v>
      </c>
      <c r="K2955" s="3" t="n">
        <f aca="false">IF(AND(H2955="United Kingdom",G2955&lt;&gt;"",COUNTIFS($G$2:G2955,G2955,$H$2:H2955,"United Kingdom")=1),1,0)</f>
        <v>0</v>
      </c>
    </row>
    <row r="2956" customFormat="false" ht="15" hidden="false" customHeight="false" outlineLevel="0" collapsed="false">
      <c r="A2956" s="0" t="s">
        <v>631</v>
      </c>
      <c r="B2956" s="0" t="s">
        <v>12</v>
      </c>
      <c r="C2956" s="0" t="s">
        <v>13</v>
      </c>
      <c r="D2956" s="0" t="n">
        <v>4</v>
      </c>
      <c r="E2956" s="2" t="n">
        <v>40815.5652777778</v>
      </c>
      <c r="F2956" s="0" t="n">
        <v>3.33</v>
      </c>
      <c r="G2956" s="0" t="n">
        <v>17579</v>
      </c>
      <c r="H2956" s="3" t="s">
        <v>14</v>
      </c>
      <c r="I2956" s="4" t="n">
        <f aca="false">D2956*F2956</f>
        <v>13.32</v>
      </c>
      <c r="J2956" s="3" t="n">
        <f aca="false">IF(AND(LEFT(A2956,1)&lt;&gt;"C",D2956&gt;0,F2956&gt;0),1,0)</f>
        <v>1</v>
      </c>
      <c r="K2956" s="3" t="n">
        <f aca="false">IF(AND(H2956="United Kingdom",G2956&lt;&gt;"",COUNTIFS($G$2:G2956,G2956,$H$2:H2956,"United Kingdom")=1),1,0)</f>
        <v>0</v>
      </c>
    </row>
    <row r="2957" customFormat="false" ht="15" hidden="false" customHeight="false" outlineLevel="0" collapsed="false">
      <c r="A2957" s="0" t="s">
        <v>632</v>
      </c>
      <c r="B2957" s="0" t="s">
        <v>41</v>
      </c>
      <c r="C2957" s="0" t="s">
        <v>42</v>
      </c>
      <c r="D2957" s="0" t="n">
        <v>12</v>
      </c>
      <c r="E2957" s="2" t="n">
        <v>40815.6881944445</v>
      </c>
      <c r="F2957" s="0" t="n">
        <v>3.28</v>
      </c>
      <c r="G2957" s="0" t="n">
        <v>13445</v>
      </c>
      <c r="H2957" s="3" t="s">
        <v>14</v>
      </c>
      <c r="I2957" s="4" t="n">
        <f aca="false">D2957*F2957</f>
        <v>39.36</v>
      </c>
      <c r="J2957" s="3" t="n">
        <f aca="false">IF(AND(LEFT(A2957,1)&lt;&gt;"C",D2957&gt;0,F2957&gt;0),1,0)</f>
        <v>1</v>
      </c>
      <c r="K2957" s="3" t="n">
        <f aca="false">IF(AND(H2957="United Kingdom",G2957&lt;&gt;"",COUNTIFS($G$2:G2957,G2957,$H$2:H2957,"United Kingdom")=1),1,0)</f>
        <v>0</v>
      </c>
    </row>
    <row r="2958" customFormat="false" ht="15" hidden="false" customHeight="false" outlineLevel="0" collapsed="false">
      <c r="A2958" s="0" t="s">
        <v>632</v>
      </c>
      <c r="B2958" s="0" t="s">
        <v>34</v>
      </c>
      <c r="C2958" s="0" t="s">
        <v>35</v>
      </c>
      <c r="D2958" s="0" t="n">
        <v>4</v>
      </c>
      <c r="E2958" s="2" t="n">
        <v>40815.6881944445</v>
      </c>
      <c r="F2958" s="0" t="n">
        <v>2.38</v>
      </c>
      <c r="G2958" s="0" t="n">
        <v>13445</v>
      </c>
      <c r="H2958" s="3" t="s">
        <v>14</v>
      </c>
      <c r="I2958" s="4" t="n">
        <f aca="false">D2958*F2958</f>
        <v>9.52</v>
      </c>
      <c r="J2958" s="3" t="n">
        <f aca="false">IF(AND(LEFT(A2958,1)&lt;&gt;"C",D2958&gt;0,F2958&gt;0),1,0)</f>
        <v>1</v>
      </c>
      <c r="K2958" s="3" t="n">
        <f aca="false">IF(AND(H2958="United Kingdom",G2958&lt;&gt;"",COUNTIFS($G$2:G2958,G2958,$H$2:H2958,"United Kingdom")=1),1,0)</f>
        <v>0</v>
      </c>
    </row>
    <row r="2959" customFormat="false" ht="15" hidden="false" customHeight="false" outlineLevel="0" collapsed="false">
      <c r="A2959" s="0" t="s">
        <v>632</v>
      </c>
      <c r="B2959" s="0" t="s">
        <v>22</v>
      </c>
      <c r="C2959" s="0" t="s">
        <v>23</v>
      </c>
      <c r="D2959" s="0" t="n">
        <v>2</v>
      </c>
      <c r="E2959" s="2" t="n">
        <v>40815.6881944445</v>
      </c>
      <c r="F2959" s="0" t="n">
        <v>3.18</v>
      </c>
      <c r="G2959" s="0" t="n">
        <v>13445</v>
      </c>
      <c r="H2959" s="3" t="s">
        <v>14</v>
      </c>
      <c r="I2959" s="4" t="n">
        <f aca="false">D2959*F2959</f>
        <v>6.36</v>
      </c>
      <c r="J2959" s="3" t="n">
        <f aca="false">IF(AND(LEFT(A2959,1)&lt;&gt;"C",D2959&gt;0,F2959&gt;0),1,0)</f>
        <v>1</v>
      </c>
      <c r="K2959" s="3" t="n">
        <f aca="false">IF(AND(H2959="United Kingdom",G2959&lt;&gt;"",COUNTIFS($G$2:G2959,G2959,$H$2:H2959,"United Kingdom")=1),1,0)</f>
        <v>0</v>
      </c>
    </row>
    <row r="2960" customFormat="false" ht="15" hidden="false" customHeight="false" outlineLevel="0" collapsed="false">
      <c r="A2960" s="0" t="s">
        <v>632</v>
      </c>
      <c r="B2960" s="0" t="s">
        <v>17</v>
      </c>
      <c r="C2960" s="0" t="s">
        <v>18</v>
      </c>
      <c r="D2960" s="0" t="n">
        <v>3</v>
      </c>
      <c r="E2960" s="2" t="n">
        <v>40815.6881944445</v>
      </c>
      <c r="F2960" s="0" t="n">
        <v>1.92</v>
      </c>
      <c r="G2960" s="0" t="n">
        <v>13445</v>
      </c>
      <c r="H2960" s="3" t="s">
        <v>14</v>
      </c>
      <c r="I2960" s="4" t="n">
        <f aca="false">D2960*F2960</f>
        <v>5.76</v>
      </c>
      <c r="J2960" s="3" t="n">
        <f aca="false">IF(AND(LEFT(A2960,1)&lt;&gt;"C",D2960&gt;0,F2960&gt;0),1,0)</f>
        <v>1</v>
      </c>
      <c r="K2960" s="3" t="n">
        <f aca="false">IF(AND(H2960="United Kingdom",G2960&lt;&gt;"",COUNTIFS($G$2:G2960,G2960,$H$2:H2960,"United Kingdom")=1),1,0)</f>
        <v>0</v>
      </c>
    </row>
    <row r="2961" customFormat="false" ht="15" hidden="false" customHeight="false" outlineLevel="0" collapsed="false">
      <c r="A2961" s="0" t="s">
        <v>632</v>
      </c>
      <c r="B2961" s="0" t="s">
        <v>15</v>
      </c>
      <c r="C2961" s="0" t="s">
        <v>16</v>
      </c>
      <c r="D2961" s="0" t="n">
        <v>2</v>
      </c>
      <c r="E2961" s="2" t="n">
        <v>40815.6881944445</v>
      </c>
      <c r="F2961" s="0" t="n">
        <v>3.18</v>
      </c>
      <c r="G2961" s="0" t="n">
        <v>13445</v>
      </c>
      <c r="H2961" s="3" t="s">
        <v>14</v>
      </c>
      <c r="I2961" s="4" t="n">
        <f aca="false">D2961*F2961</f>
        <v>6.36</v>
      </c>
      <c r="J2961" s="3" t="n">
        <f aca="false">IF(AND(LEFT(A2961,1)&lt;&gt;"C",D2961&gt;0,F2961&gt;0),1,0)</f>
        <v>1</v>
      </c>
      <c r="K2961" s="3" t="n">
        <f aca="false">IF(AND(H2961="United Kingdom",G2961&lt;&gt;"",COUNTIFS($G$2:G2961,G2961,$H$2:H2961,"United Kingdom")=1),1,0)</f>
        <v>0</v>
      </c>
    </row>
    <row r="2962" customFormat="false" ht="15" hidden="false" customHeight="false" outlineLevel="0" collapsed="false">
      <c r="A2962" s="0" t="s">
        <v>633</v>
      </c>
      <c r="B2962" s="0" t="s">
        <v>39</v>
      </c>
      <c r="C2962" s="0" t="s">
        <v>40</v>
      </c>
      <c r="D2962" s="0" t="n">
        <v>12</v>
      </c>
      <c r="E2962" s="2" t="n">
        <v>40816.3465277778</v>
      </c>
      <c r="F2962" s="0" t="n">
        <v>2.58</v>
      </c>
      <c r="G2962" s="0" t="n">
        <v>13672</v>
      </c>
      <c r="H2962" s="3" t="s">
        <v>57</v>
      </c>
      <c r="I2962" s="4" t="n">
        <f aca="false">D2962*F2962</f>
        <v>30.96</v>
      </c>
      <c r="J2962" s="3" t="n">
        <f aca="false">IF(AND(LEFT(A2962,1)&lt;&gt;"C",D2962&gt;0,F2962&gt;0),1,0)</f>
        <v>1</v>
      </c>
      <c r="K2962" s="3" t="n">
        <f aca="false">IF(AND(H2962="United Kingdom",G2962&lt;&gt;"",COUNTIFS($G$2:G2962,G2962,$H$2:H2962,"United Kingdom")=1),1,0)</f>
        <v>0</v>
      </c>
    </row>
    <row r="2963" customFormat="false" ht="15" hidden="false" customHeight="false" outlineLevel="0" collapsed="false">
      <c r="A2963" s="0" t="s">
        <v>633</v>
      </c>
      <c r="B2963" s="0" t="s">
        <v>77</v>
      </c>
      <c r="C2963" s="0" t="s">
        <v>78</v>
      </c>
      <c r="D2963" s="0" t="n">
        <v>9</v>
      </c>
      <c r="E2963" s="2" t="n">
        <v>40816.3465277778</v>
      </c>
      <c r="F2963" s="0" t="n">
        <v>3.41</v>
      </c>
      <c r="G2963" s="0" t="n">
        <v>13672</v>
      </c>
      <c r="H2963" s="3" t="s">
        <v>57</v>
      </c>
      <c r="I2963" s="4" t="n">
        <f aca="false">D2963*F2963</f>
        <v>30.69</v>
      </c>
      <c r="J2963" s="3" t="n">
        <f aca="false">IF(AND(LEFT(A2963,1)&lt;&gt;"C",D2963&gt;0,F2963&gt;0),1,0)</f>
        <v>1</v>
      </c>
      <c r="K2963" s="3" t="n">
        <f aca="false">IF(AND(H2963="United Kingdom",G2963&lt;&gt;"",COUNTIFS($G$2:G2963,G2963,$H$2:H2963,"United Kingdom")=1),1,0)</f>
        <v>0</v>
      </c>
    </row>
    <row r="2964" customFormat="false" ht="15" hidden="false" customHeight="false" outlineLevel="0" collapsed="false">
      <c r="A2964" s="0" t="s">
        <v>633</v>
      </c>
      <c r="B2964" s="0" t="s">
        <v>12</v>
      </c>
      <c r="C2964" s="0" t="s">
        <v>13</v>
      </c>
      <c r="D2964" s="0" t="n">
        <v>3</v>
      </c>
      <c r="E2964" s="2" t="n">
        <v>40816.3465277778</v>
      </c>
      <c r="F2964" s="0" t="n">
        <v>3.33</v>
      </c>
      <c r="G2964" s="0" t="n">
        <v>13672</v>
      </c>
      <c r="H2964" s="3" t="s">
        <v>57</v>
      </c>
      <c r="I2964" s="4" t="n">
        <f aca="false">D2964*F2964</f>
        <v>9.99</v>
      </c>
      <c r="J2964" s="3" t="n">
        <f aca="false">IF(AND(LEFT(A2964,1)&lt;&gt;"C",D2964&gt;0,F2964&gt;0),1,0)</f>
        <v>1</v>
      </c>
      <c r="K2964" s="3" t="n">
        <f aca="false">IF(AND(H2964="United Kingdom",G2964&lt;&gt;"",COUNTIFS($G$2:G2964,G2964,$H$2:H2964,"United Kingdom")=1),1,0)</f>
        <v>0</v>
      </c>
    </row>
    <row r="2965" customFormat="false" ht="15" hidden="false" customHeight="false" outlineLevel="0" collapsed="false">
      <c r="A2965" s="0" t="s">
        <v>633</v>
      </c>
      <c r="B2965" s="0" t="s">
        <v>58</v>
      </c>
      <c r="C2965" s="0" t="s">
        <v>59</v>
      </c>
      <c r="D2965" s="0" t="n">
        <v>3</v>
      </c>
      <c r="E2965" s="2" t="n">
        <v>40816.3465277778</v>
      </c>
      <c r="F2965" s="0" t="n">
        <v>2.16</v>
      </c>
      <c r="G2965" s="0" t="n">
        <v>13672</v>
      </c>
      <c r="H2965" s="3" t="s">
        <v>57</v>
      </c>
      <c r="I2965" s="4" t="n">
        <f aca="false">D2965*F2965</f>
        <v>6.48</v>
      </c>
      <c r="J2965" s="3" t="n">
        <f aca="false">IF(AND(LEFT(A2965,1)&lt;&gt;"C",D2965&gt;0,F2965&gt;0),1,0)</f>
        <v>1</v>
      </c>
      <c r="K2965" s="3" t="n">
        <f aca="false">IF(AND(H2965="United Kingdom",G2965&lt;&gt;"",COUNTIFS($G$2:G2965,G2965,$H$2:H2965,"United Kingdom")=1),1,0)</f>
        <v>0</v>
      </c>
    </row>
    <row r="2966" customFormat="false" ht="15" hidden="false" customHeight="false" outlineLevel="0" collapsed="false">
      <c r="A2966" s="0" t="s">
        <v>634</v>
      </c>
      <c r="B2966" s="0" t="s">
        <v>41</v>
      </c>
      <c r="C2966" s="0" t="s">
        <v>42</v>
      </c>
      <c r="D2966" s="0" t="n">
        <v>7</v>
      </c>
      <c r="E2966" s="2" t="n">
        <v>40816.3576388889</v>
      </c>
      <c r="F2966" s="0" t="n">
        <v>3.28</v>
      </c>
      <c r="G2966" s="0" t="n">
        <v>13710</v>
      </c>
      <c r="H2966" s="3" t="s">
        <v>177</v>
      </c>
      <c r="I2966" s="4" t="n">
        <f aca="false">D2966*F2966</f>
        <v>22.96</v>
      </c>
      <c r="J2966" s="3" t="n">
        <f aca="false">IF(AND(LEFT(A2966,1)&lt;&gt;"C",D2966&gt;0,F2966&gt;0),1,0)</f>
        <v>1</v>
      </c>
      <c r="K2966" s="3" t="n">
        <f aca="false">IF(AND(H2966="United Kingdom",G2966&lt;&gt;"",COUNTIFS($G$2:G2966,G2966,$H$2:H2966,"United Kingdom")=1),1,0)</f>
        <v>0</v>
      </c>
    </row>
    <row r="2967" customFormat="false" ht="15" hidden="false" customHeight="false" outlineLevel="0" collapsed="false">
      <c r="A2967" s="0" t="s">
        <v>635</v>
      </c>
      <c r="B2967" s="0" t="s">
        <v>63</v>
      </c>
      <c r="C2967" s="0" t="s">
        <v>64</v>
      </c>
      <c r="D2967" s="0" t="n">
        <v>144</v>
      </c>
      <c r="E2967" s="2" t="n">
        <v>40816.5979166667</v>
      </c>
      <c r="F2967" s="0" t="n">
        <v>2.43</v>
      </c>
      <c r="G2967" s="0" t="n">
        <v>16243</v>
      </c>
      <c r="H2967" s="3" t="s">
        <v>14</v>
      </c>
      <c r="I2967" s="4" t="n">
        <f aca="false">D2967*F2967</f>
        <v>349.92</v>
      </c>
      <c r="J2967" s="3" t="n">
        <f aca="false">IF(AND(LEFT(A2967,1)&lt;&gt;"C",D2967&gt;0,F2967&gt;0),1,0)</f>
        <v>1</v>
      </c>
      <c r="K2967" s="3" t="n">
        <f aca="false">IF(AND(H2967="United Kingdom",G2967&lt;&gt;"",COUNTIFS($G$2:G2967,G2967,$H$2:H2967,"United Kingdom")=1),1,0)</f>
        <v>0</v>
      </c>
    </row>
    <row r="2968" customFormat="false" ht="15" hidden="false" customHeight="false" outlineLevel="0" collapsed="false">
      <c r="A2968" s="0" t="s">
        <v>635</v>
      </c>
      <c r="B2968" s="0" t="s">
        <v>25</v>
      </c>
      <c r="C2968" s="0" t="s">
        <v>26</v>
      </c>
      <c r="D2968" s="0" t="n">
        <v>6</v>
      </c>
      <c r="E2968" s="2" t="n">
        <v>40816.5979166667</v>
      </c>
      <c r="F2968" s="0" t="n">
        <v>2.21</v>
      </c>
      <c r="G2968" s="0" t="n">
        <v>16243</v>
      </c>
      <c r="H2968" s="3" t="s">
        <v>14</v>
      </c>
      <c r="I2968" s="4" t="n">
        <f aca="false">D2968*F2968</f>
        <v>13.26</v>
      </c>
      <c r="J2968" s="3" t="n">
        <f aca="false">IF(AND(LEFT(A2968,1)&lt;&gt;"C",D2968&gt;0,F2968&gt;0),1,0)</f>
        <v>1</v>
      </c>
      <c r="K2968" s="3" t="n">
        <f aca="false">IF(AND(H2968="United Kingdom",G2968&lt;&gt;"",COUNTIFS($G$2:G2968,G2968,$H$2:H2968,"United Kingdom")=1),1,0)</f>
        <v>0</v>
      </c>
    </row>
    <row r="2969" customFormat="false" ht="15" hidden="false" customHeight="false" outlineLevel="0" collapsed="false">
      <c r="A2969" s="0" t="s">
        <v>635</v>
      </c>
      <c r="B2969" s="0" t="s">
        <v>75</v>
      </c>
      <c r="C2969" s="0" t="s">
        <v>76</v>
      </c>
      <c r="D2969" s="0" t="n">
        <v>48</v>
      </c>
      <c r="E2969" s="2" t="n">
        <v>40816.5979166667</v>
      </c>
      <c r="F2969" s="0" t="n">
        <v>1.97</v>
      </c>
      <c r="G2969" s="0" t="n">
        <v>16243</v>
      </c>
      <c r="H2969" s="3" t="s">
        <v>14</v>
      </c>
      <c r="I2969" s="4" t="n">
        <f aca="false">D2969*F2969</f>
        <v>94.56</v>
      </c>
      <c r="J2969" s="3" t="n">
        <f aca="false">IF(AND(LEFT(A2969,1)&lt;&gt;"C",D2969&gt;0,F2969&gt;0),1,0)</f>
        <v>1</v>
      </c>
      <c r="K2969" s="3" t="n">
        <f aca="false">IF(AND(H2969="United Kingdom",G2969&lt;&gt;"",COUNTIFS($G$2:G2969,G2969,$H$2:H2969,"United Kingdom")=1),1,0)</f>
        <v>0</v>
      </c>
    </row>
    <row r="2970" customFormat="false" ht="15" hidden="false" customHeight="false" outlineLevel="0" collapsed="false">
      <c r="A2970" s="0" t="s">
        <v>636</v>
      </c>
      <c r="B2970" s="0" t="s">
        <v>80</v>
      </c>
      <c r="C2970" s="0" t="s">
        <v>81</v>
      </c>
      <c r="D2970" s="0" t="n">
        <v>8</v>
      </c>
      <c r="E2970" s="2" t="n">
        <v>40816.7986111111</v>
      </c>
      <c r="F2970" s="0" t="n">
        <v>1.53</v>
      </c>
      <c r="G2970" s="0" t="n">
        <v>15278</v>
      </c>
      <c r="H2970" s="3" t="s">
        <v>14</v>
      </c>
      <c r="I2970" s="4" t="n">
        <f aca="false">D2970*F2970</f>
        <v>12.24</v>
      </c>
      <c r="J2970" s="3" t="n">
        <f aca="false">IF(AND(LEFT(A2970,1)&lt;&gt;"C",D2970&gt;0,F2970&gt;0),1,0)</f>
        <v>1</v>
      </c>
      <c r="K2970" s="3" t="n">
        <f aca="false">IF(AND(H2970="United Kingdom",G2970&lt;&gt;"",COUNTIFS($G$2:G2970,G2970,$H$2:H2970,"United Kingdom")=1),1,0)</f>
        <v>0</v>
      </c>
    </row>
    <row r="2971" customFormat="false" ht="15" hidden="false" customHeight="false" outlineLevel="0" collapsed="false">
      <c r="A2971" s="0" t="s">
        <v>636</v>
      </c>
      <c r="B2971" s="0" t="s">
        <v>72</v>
      </c>
      <c r="C2971" s="0" t="s">
        <v>73</v>
      </c>
      <c r="D2971" s="0" t="n">
        <v>3</v>
      </c>
      <c r="E2971" s="2" t="n">
        <v>40816.7986111111</v>
      </c>
      <c r="F2971" s="0" t="n">
        <v>2.69</v>
      </c>
      <c r="G2971" s="0" t="n">
        <v>15278</v>
      </c>
      <c r="H2971" s="3" t="s">
        <v>14</v>
      </c>
      <c r="I2971" s="4" t="n">
        <f aca="false">D2971*F2971</f>
        <v>8.07</v>
      </c>
      <c r="J2971" s="3" t="n">
        <f aca="false">IF(AND(LEFT(A2971,1)&lt;&gt;"C",D2971&gt;0,F2971&gt;0),1,0)</f>
        <v>1</v>
      </c>
      <c r="K2971" s="3" t="n">
        <f aca="false">IF(AND(H2971="United Kingdom",G2971&lt;&gt;"",COUNTIFS($G$2:G2971,G2971,$H$2:H2971,"United Kingdom")=1),1,0)</f>
        <v>0</v>
      </c>
    </row>
    <row r="2972" customFormat="false" ht="15" hidden="false" customHeight="false" outlineLevel="0" collapsed="false">
      <c r="A2972" s="0" t="s">
        <v>636</v>
      </c>
      <c r="B2972" s="0" t="s">
        <v>77</v>
      </c>
      <c r="C2972" s="0" t="s">
        <v>78</v>
      </c>
      <c r="D2972" s="0" t="n">
        <v>2</v>
      </c>
      <c r="E2972" s="2" t="n">
        <v>40816.7986111111</v>
      </c>
      <c r="F2972" s="0" t="n">
        <v>3.41</v>
      </c>
      <c r="G2972" s="0" t="n">
        <v>15278</v>
      </c>
      <c r="H2972" s="3" t="s">
        <v>14</v>
      </c>
      <c r="I2972" s="4" t="n">
        <f aca="false">D2972*F2972</f>
        <v>6.82</v>
      </c>
      <c r="J2972" s="3" t="n">
        <f aca="false">IF(AND(LEFT(A2972,1)&lt;&gt;"C",D2972&gt;0,F2972&gt;0),1,0)</f>
        <v>1</v>
      </c>
      <c r="K2972" s="3" t="n">
        <f aca="false">IF(AND(H2972="United Kingdom",G2972&lt;&gt;"",COUNTIFS($G$2:G2972,G2972,$H$2:H2972,"United Kingdom")=1),1,0)</f>
        <v>0</v>
      </c>
    </row>
    <row r="2973" customFormat="false" ht="15" hidden="false" customHeight="false" outlineLevel="0" collapsed="false">
      <c r="A2973" s="0" t="s">
        <v>636</v>
      </c>
      <c r="B2973" s="0" t="s">
        <v>113</v>
      </c>
      <c r="C2973" s="0" t="s">
        <v>114</v>
      </c>
      <c r="D2973" s="0" t="n">
        <v>6</v>
      </c>
      <c r="E2973" s="2" t="n">
        <v>40816.7986111111</v>
      </c>
      <c r="F2973" s="0" t="n">
        <v>3.57</v>
      </c>
      <c r="G2973" s="0" t="n">
        <v>15278</v>
      </c>
      <c r="H2973" s="3" t="s">
        <v>14</v>
      </c>
      <c r="I2973" s="4" t="n">
        <f aca="false">D2973*F2973</f>
        <v>21.42</v>
      </c>
      <c r="J2973" s="3" t="n">
        <f aca="false">IF(AND(LEFT(A2973,1)&lt;&gt;"C",D2973&gt;0,F2973&gt;0),1,0)</f>
        <v>1</v>
      </c>
      <c r="K2973" s="3" t="n">
        <f aca="false">IF(AND(H2973="United Kingdom",G2973&lt;&gt;"",COUNTIFS($G$2:G2973,G2973,$H$2:H2973,"United Kingdom")=1),1,0)</f>
        <v>0</v>
      </c>
    </row>
    <row r="2974" customFormat="false" ht="15" hidden="false" customHeight="false" outlineLevel="0" collapsed="false">
      <c r="A2974" s="0" t="s">
        <v>636</v>
      </c>
      <c r="B2974" s="0" t="s">
        <v>29</v>
      </c>
      <c r="C2974" s="0" t="s">
        <v>30</v>
      </c>
      <c r="D2974" s="0" t="n">
        <v>4</v>
      </c>
      <c r="E2974" s="2" t="n">
        <v>40816.7986111111</v>
      </c>
      <c r="F2974" s="0" t="n">
        <v>5.79</v>
      </c>
      <c r="G2974" s="0" t="n">
        <v>15278</v>
      </c>
      <c r="H2974" s="3" t="s">
        <v>14</v>
      </c>
      <c r="I2974" s="4" t="n">
        <f aca="false">D2974*F2974</f>
        <v>23.16</v>
      </c>
      <c r="J2974" s="3" t="n">
        <f aca="false">IF(AND(LEFT(A2974,1)&lt;&gt;"C",D2974&gt;0,F2974&gt;0),1,0)</f>
        <v>1</v>
      </c>
      <c r="K2974" s="3" t="n">
        <f aca="false">IF(AND(H2974="United Kingdom",G2974&lt;&gt;"",COUNTIFS($G$2:G2974,G2974,$H$2:H2974,"United Kingdom")=1),1,0)</f>
        <v>0</v>
      </c>
    </row>
    <row r="2975" customFormat="false" ht="15" hidden="false" customHeight="false" outlineLevel="0" collapsed="false">
      <c r="A2975" s="0" t="s">
        <v>636</v>
      </c>
      <c r="B2975" s="0" t="s">
        <v>90</v>
      </c>
      <c r="C2975" s="0" t="s">
        <v>91</v>
      </c>
      <c r="D2975" s="0" t="n">
        <v>4</v>
      </c>
      <c r="E2975" s="2" t="n">
        <v>40816.7986111111</v>
      </c>
      <c r="F2975" s="0" t="n">
        <v>3.04</v>
      </c>
      <c r="G2975" s="0" t="n">
        <v>15278</v>
      </c>
      <c r="H2975" s="3" t="s">
        <v>14</v>
      </c>
      <c r="I2975" s="4" t="n">
        <f aca="false">D2975*F2975</f>
        <v>12.16</v>
      </c>
      <c r="J2975" s="3" t="n">
        <f aca="false">IF(AND(LEFT(A2975,1)&lt;&gt;"C",D2975&gt;0,F2975&gt;0),1,0)</f>
        <v>1</v>
      </c>
      <c r="K2975" s="3" t="n">
        <f aca="false">IF(AND(H2975="United Kingdom",G2975&lt;&gt;"",COUNTIFS($G$2:G2975,G2975,$H$2:H2975,"United Kingdom")=1),1,0)</f>
        <v>0</v>
      </c>
    </row>
    <row r="2976" customFormat="false" ht="15" hidden="false" customHeight="false" outlineLevel="0" collapsed="false">
      <c r="A2976" s="0" t="s">
        <v>637</v>
      </c>
      <c r="B2976" s="0" t="s">
        <v>90</v>
      </c>
      <c r="C2976" s="0" t="s">
        <v>91</v>
      </c>
      <c r="D2976" s="0" t="n">
        <v>6</v>
      </c>
      <c r="E2976" s="2" t="n">
        <v>40817.6340277778</v>
      </c>
      <c r="F2976" s="0" t="n">
        <v>3.04</v>
      </c>
      <c r="G2976" s="0" t="n">
        <v>13970</v>
      </c>
      <c r="H2976" s="3" t="s">
        <v>14</v>
      </c>
      <c r="I2976" s="4" t="n">
        <f aca="false">D2976*F2976</f>
        <v>18.24</v>
      </c>
      <c r="J2976" s="3" t="n">
        <f aca="false">IF(AND(LEFT(A2976,1)&lt;&gt;"C",D2976&gt;0,F2976&gt;0),1,0)</f>
        <v>1</v>
      </c>
      <c r="K2976" s="3" t="n">
        <f aca="false">IF(AND(H2976="United Kingdom",G2976&lt;&gt;"",COUNTIFS($G$2:G2976,G2976,$H$2:H2976,"United Kingdom")=1),1,0)</f>
        <v>0</v>
      </c>
    </row>
    <row r="2977" customFormat="false" ht="15" hidden="false" customHeight="false" outlineLevel="0" collapsed="false">
      <c r="A2977" s="0" t="s">
        <v>637</v>
      </c>
      <c r="B2977" s="0" t="s">
        <v>22</v>
      </c>
      <c r="C2977" s="0" t="s">
        <v>23</v>
      </c>
      <c r="D2977" s="0" t="n">
        <v>6</v>
      </c>
      <c r="E2977" s="2" t="n">
        <v>40817.6340277778</v>
      </c>
      <c r="F2977" s="0" t="n">
        <v>3.18</v>
      </c>
      <c r="G2977" s="0" t="n">
        <v>13970</v>
      </c>
      <c r="H2977" s="3" t="s">
        <v>14</v>
      </c>
      <c r="I2977" s="4" t="n">
        <f aca="false">D2977*F2977</f>
        <v>19.08</v>
      </c>
      <c r="J2977" s="3" t="n">
        <f aca="false">IF(AND(LEFT(A2977,1)&lt;&gt;"C",D2977&gt;0,F2977&gt;0),1,0)</f>
        <v>1</v>
      </c>
      <c r="K2977" s="3" t="n">
        <f aca="false">IF(AND(H2977="United Kingdom",G2977&lt;&gt;"",COUNTIFS($G$2:G2977,G2977,$H$2:H2977,"United Kingdom")=1),1,0)</f>
        <v>0</v>
      </c>
    </row>
    <row r="2978" customFormat="false" ht="15" hidden="false" customHeight="false" outlineLevel="0" collapsed="false">
      <c r="A2978" s="0" t="s">
        <v>637</v>
      </c>
      <c r="B2978" s="0" t="s">
        <v>113</v>
      </c>
      <c r="C2978" s="0" t="s">
        <v>114</v>
      </c>
      <c r="D2978" s="0" t="n">
        <v>2</v>
      </c>
      <c r="E2978" s="2" t="n">
        <v>40817.6340277778</v>
      </c>
      <c r="F2978" s="0" t="n">
        <v>3.57</v>
      </c>
      <c r="G2978" s="0" t="n">
        <v>13970</v>
      </c>
      <c r="H2978" s="3" t="s">
        <v>14</v>
      </c>
      <c r="I2978" s="4" t="n">
        <f aca="false">D2978*F2978</f>
        <v>7.14</v>
      </c>
      <c r="J2978" s="3" t="n">
        <f aca="false">IF(AND(LEFT(A2978,1)&lt;&gt;"C",D2978&gt;0,F2978&gt;0),1,0)</f>
        <v>1</v>
      </c>
      <c r="K2978" s="3" t="n">
        <f aca="false">IF(AND(H2978="United Kingdom",G2978&lt;&gt;"",COUNTIFS($G$2:G2978,G2978,$H$2:H2978,"United Kingdom")=1),1,0)</f>
        <v>0</v>
      </c>
    </row>
    <row r="2979" customFormat="false" ht="15" hidden="false" customHeight="false" outlineLevel="0" collapsed="false">
      <c r="A2979" s="0" t="s">
        <v>638</v>
      </c>
      <c r="B2979" s="0" t="s">
        <v>68</v>
      </c>
      <c r="C2979" s="0" t="s">
        <v>69</v>
      </c>
      <c r="D2979" s="0" t="n">
        <v>3</v>
      </c>
      <c r="E2979" s="2" t="n">
        <v>40818.4631944444</v>
      </c>
      <c r="F2979" s="0" t="n">
        <v>1.26</v>
      </c>
      <c r="G2979" s="0" t="n">
        <v>13045</v>
      </c>
      <c r="H2979" s="3" t="s">
        <v>14</v>
      </c>
      <c r="I2979" s="4" t="n">
        <f aca="false">D2979*F2979</f>
        <v>3.78</v>
      </c>
      <c r="J2979" s="3" t="n">
        <f aca="false">IF(AND(LEFT(A2979,1)&lt;&gt;"C",D2979&gt;0,F2979&gt;0),1,0)</f>
        <v>1</v>
      </c>
      <c r="K2979" s="3" t="n">
        <f aca="false">IF(AND(H2979="United Kingdom",G2979&lt;&gt;"",COUNTIFS($G$2:G2979,G2979,$H$2:H2979,"United Kingdom")=1),1,0)</f>
        <v>0</v>
      </c>
    </row>
    <row r="2980" customFormat="false" ht="15" hidden="false" customHeight="false" outlineLevel="0" collapsed="false">
      <c r="A2980" s="0" t="s">
        <v>638</v>
      </c>
      <c r="B2980" s="0" t="s">
        <v>43</v>
      </c>
      <c r="C2980" s="0" t="s">
        <v>44</v>
      </c>
      <c r="D2980" s="0" t="n">
        <v>6</v>
      </c>
      <c r="E2980" s="2" t="n">
        <v>40818.4631944444</v>
      </c>
      <c r="F2980" s="0" t="n">
        <v>1.35</v>
      </c>
      <c r="G2980" s="0" t="n">
        <v>13045</v>
      </c>
      <c r="H2980" s="3" t="s">
        <v>14</v>
      </c>
      <c r="I2980" s="4" t="n">
        <f aca="false">D2980*F2980</f>
        <v>8.1</v>
      </c>
      <c r="J2980" s="3" t="n">
        <f aca="false">IF(AND(LEFT(A2980,1)&lt;&gt;"C",D2980&gt;0,F2980&gt;0),1,0)</f>
        <v>1</v>
      </c>
      <c r="K2980" s="3" t="n">
        <f aca="false">IF(AND(H2980="United Kingdom",G2980&lt;&gt;"",COUNTIFS($G$2:G2980,G2980,$H$2:H2980,"United Kingdom")=1),1,0)</f>
        <v>0</v>
      </c>
    </row>
    <row r="2981" customFormat="false" ht="15" hidden="false" customHeight="false" outlineLevel="0" collapsed="false">
      <c r="A2981" s="0" t="s">
        <v>638</v>
      </c>
      <c r="B2981" s="0" t="s">
        <v>52</v>
      </c>
      <c r="C2981" s="0" t="s">
        <v>53</v>
      </c>
      <c r="D2981" s="0" t="n">
        <v>16</v>
      </c>
      <c r="E2981" s="2" t="n">
        <v>40818.4631944444</v>
      </c>
      <c r="F2981" s="0" t="n">
        <v>4.16</v>
      </c>
      <c r="G2981" s="0" t="n">
        <v>13045</v>
      </c>
      <c r="H2981" s="3" t="s">
        <v>14</v>
      </c>
      <c r="I2981" s="4" t="n">
        <f aca="false">D2981*F2981</f>
        <v>66.56</v>
      </c>
      <c r="J2981" s="3" t="n">
        <f aca="false">IF(AND(LEFT(A2981,1)&lt;&gt;"C",D2981&gt;0,F2981&gt;0),1,0)</f>
        <v>1</v>
      </c>
      <c r="K2981" s="3" t="n">
        <f aca="false">IF(AND(H2981="United Kingdom",G2981&lt;&gt;"",COUNTIFS($G$2:G2981,G2981,$H$2:H2981,"United Kingdom")=1),1,0)</f>
        <v>0</v>
      </c>
    </row>
    <row r="2982" customFormat="false" ht="15" hidden="false" customHeight="false" outlineLevel="0" collapsed="false">
      <c r="A2982" s="0" t="s">
        <v>638</v>
      </c>
      <c r="B2982" s="0" t="s">
        <v>48</v>
      </c>
      <c r="C2982" s="0" t="s">
        <v>49</v>
      </c>
      <c r="D2982" s="0" t="n">
        <v>2</v>
      </c>
      <c r="E2982" s="2" t="n">
        <v>40818.4631944444</v>
      </c>
      <c r="F2982" s="0" t="n">
        <v>1.35</v>
      </c>
      <c r="G2982" s="0" t="n">
        <v>13045</v>
      </c>
      <c r="H2982" s="3" t="s">
        <v>14</v>
      </c>
      <c r="I2982" s="4" t="n">
        <f aca="false">D2982*F2982</f>
        <v>2.7</v>
      </c>
      <c r="J2982" s="3" t="n">
        <f aca="false">IF(AND(LEFT(A2982,1)&lt;&gt;"C",D2982&gt;0,F2982&gt;0),1,0)</f>
        <v>1</v>
      </c>
      <c r="K2982" s="3" t="n">
        <f aca="false">IF(AND(H2982="United Kingdom",G2982&lt;&gt;"",COUNTIFS($G$2:G2982,G2982,$H$2:H2982,"United Kingdom")=1),1,0)</f>
        <v>0</v>
      </c>
    </row>
    <row r="2983" customFormat="false" ht="15" hidden="false" customHeight="false" outlineLevel="0" collapsed="false">
      <c r="A2983" s="0" t="s">
        <v>638</v>
      </c>
      <c r="B2983" s="0" t="s">
        <v>20</v>
      </c>
      <c r="C2983" s="0" t="s">
        <v>21</v>
      </c>
      <c r="D2983" s="0" t="n">
        <v>12</v>
      </c>
      <c r="E2983" s="2" t="n">
        <v>40818.4631944444</v>
      </c>
      <c r="F2983" s="0" t="n">
        <v>4.24</v>
      </c>
      <c r="G2983" s="0" t="n">
        <v>13045</v>
      </c>
      <c r="H2983" s="3" t="s">
        <v>14</v>
      </c>
      <c r="I2983" s="4" t="n">
        <f aca="false">D2983*F2983</f>
        <v>50.88</v>
      </c>
      <c r="J2983" s="3" t="n">
        <f aca="false">IF(AND(LEFT(A2983,1)&lt;&gt;"C",D2983&gt;0,F2983&gt;0),1,0)</f>
        <v>1</v>
      </c>
      <c r="K2983" s="3" t="n">
        <f aca="false">IF(AND(H2983="United Kingdom",G2983&lt;&gt;"",COUNTIFS($G$2:G2983,G2983,$H$2:H2983,"United Kingdom")=1),1,0)</f>
        <v>0</v>
      </c>
    </row>
    <row r="2984" customFormat="false" ht="15" hidden="false" customHeight="false" outlineLevel="0" collapsed="false">
      <c r="A2984" s="0" t="s">
        <v>638</v>
      </c>
      <c r="B2984" s="0" t="s">
        <v>41</v>
      </c>
      <c r="C2984" s="0" t="s">
        <v>42</v>
      </c>
      <c r="D2984" s="0" t="n">
        <v>3</v>
      </c>
      <c r="E2984" s="2" t="n">
        <v>40818.4631944444</v>
      </c>
      <c r="F2984" s="0" t="n">
        <v>3.28</v>
      </c>
      <c r="G2984" s="0" t="n">
        <v>13045</v>
      </c>
      <c r="H2984" s="3" t="s">
        <v>14</v>
      </c>
      <c r="I2984" s="4" t="n">
        <f aca="false">D2984*F2984</f>
        <v>9.84</v>
      </c>
      <c r="J2984" s="3" t="n">
        <f aca="false">IF(AND(LEFT(A2984,1)&lt;&gt;"C",D2984&gt;0,F2984&gt;0),1,0)</f>
        <v>1</v>
      </c>
      <c r="K2984" s="3" t="n">
        <f aca="false">IF(AND(H2984="United Kingdom",G2984&lt;&gt;"",COUNTIFS($G$2:G2984,G2984,$H$2:H2984,"United Kingdom")=1),1,0)</f>
        <v>0</v>
      </c>
    </row>
    <row r="2985" customFormat="false" ht="15" hidden="false" customHeight="false" outlineLevel="0" collapsed="false">
      <c r="A2985" s="0" t="s">
        <v>638</v>
      </c>
      <c r="B2985" s="0" t="s">
        <v>29</v>
      </c>
      <c r="C2985" s="0" t="s">
        <v>30</v>
      </c>
      <c r="D2985" s="0" t="n">
        <v>4</v>
      </c>
      <c r="E2985" s="2" t="n">
        <v>40818.4631944444</v>
      </c>
      <c r="F2985" s="0" t="n">
        <v>5.79</v>
      </c>
      <c r="G2985" s="0" t="n">
        <v>13045</v>
      </c>
      <c r="H2985" s="3" t="s">
        <v>14</v>
      </c>
      <c r="I2985" s="4" t="n">
        <f aca="false">D2985*F2985</f>
        <v>23.16</v>
      </c>
      <c r="J2985" s="3" t="n">
        <f aca="false">IF(AND(LEFT(A2985,1)&lt;&gt;"C",D2985&gt;0,F2985&gt;0),1,0)</f>
        <v>1</v>
      </c>
      <c r="K2985" s="3" t="n">
        <f aca="false">IF(AND(H2985="United Kingdom",G2985&lt;&gt;"",COUNTIFS($G$2:G2985,G2985,$H$2:H2985,"United Kingdom")=1),1,0)</f>
        <v>0</v>
      </c>
    </row>
    <row r="2986" customFormat="false" ht="15" hidden="false" customHeight="false" outlineLevel="0" collapsed="false">
      <c r="A2986" s="0" t="s">
        <v>638</v>
      </c>
      <c r="B2986" s="0" t="s">
        <v>17</v>
      </c>
      <c r="C2986" s="0" t="s">
        <v>18</v>
      </c>
      <c r="D2986" s="0" t="n">
        <v>24</v>
      </c>
      <c r="E2986" s="2" t="n">
        <v>40818.4631944444</v>
      </c>
      <c r="F2986" s="0" t="n">
        <v>1.92</v>
      </c>
      <c r="G2986" s="0" t="n">
        <v>13045</v>
      </c>
      <c r="H2986" s="3" t="s">
        <v>14</v>
      </c>
      <c r="I2986" s="4" t="n">
        <f aca="false">D2986*F2986</f>
        <v>46.08</v>
      </c>
      <c r="J2986" s="3" t="n">
        <f aca="false">IF(AND(LEFT(A2986,1)&lt;&gt;"C",D2986&gt;0,F2986&gt;0),1,0)</f>
        <v>1</v>
      </c>
      <c r="K2986" s="3" t="n">
        <f aca="false">IF(AND(H2986="United Kingdom",G2986&lt;&gt;"",COUNTIFS($G$2:G2986,G2986,$H$2:H2986,"United Kingdom")=1),1,0)</f>
        <v>0</v>
      </c>
    </row>
    <row r="2987" customFormat="false" ht="15" hidden="false" customHeight="false" outlineLevel="0" collapsed="false">
      <c r="A2987" s="0" t="s">
        <v>638</v>
      </c>
      <c r="B2987" s="0" t="s">
        <v>60</v>
      </c>
      <c r="C2987" s="0" t="s">
        <v>61</v>
      </c>
      <c r="D2987" s="0" t="n">
        <v>1</v>
      </c>
      <c r="E2987" s="2" t="n">
        <v>40818.4631944444</v>
      </c>
      <c r="F2987" s="0" t="n">
        <v>0.63</v>
      </c>
      <c r="G2987" s="0" t="n">
        <v>13045</v>
      </c>
      <c r="H2987" s="3" t="s">
        <v>14</v>
      </c>
      <c r="I2987" s="4" t="n">
        <f aca="false">D2987*F2987</f>
        <v>0.63</v>
      </c>
      <c r="J2987" s="3" t="n">
        <f aca="false">IF(AND(LEFT(A2987,1)&lt;&gt;"C",D2987&gt;0,F2987&gt;0),1,0)</f>
        <v>1</v>
      </c>
      <c r="K2987" s="3" t="n">
        <f aca="false">IF(AND(H2987="United Kingdom",G2987&lt;&gt;"",COUNTIFS($G$2:G2987,G2987,$H$2:H2987,"United Kingdom")=1),1,0)</f>
        <v>0</v>
      </c>
    </row>
    <row r="2988" customFormat="false" ht="15" hidden="false" customHeight="false" outlineLevel="0" collapsed="false">
      <c r="A2988" s="0" t="s">
        <v>638</v>
      </c>
      <c r="B2988" s="0" t="s">
        <v>27</v>
      </c>
      <c r="C2988" s="0" t="s">
        <v>28</v>
      </c>
      <c r="D2988" s="0" t="n">
        <v>6</v>
      </c>
      <c r="E2988" s="2" t="n">
        <v>40818.4631944444</v>
      </c>
      <c r="F2988" s="0" t="n">
        <v>4.55</v>
      </c>
      <c r="G2988" s="0" t="n">
        <v>13045</v>
      </c>
      <c r="H2988" s="3" t="s">
        <v>14</v>
      </c>
      <c r="I2988" s="4" t="n">
        <f aca="false">D2988*F2988</f>
        <v>27.3</v>
      </c>
      <c r="J2988" s="3" t="n">
        <f aca="false">IF(AND(LEFT(A2988,1)&lt;&gt;"C",D2988&gt;0,F2988&gt;0),1,0)</f>
        <v>1</v>
      </c>
      <c r="K2988" s="3" t="n">
        <f aca="false">IF(AND(H2988="United Kingdom",G2988&lt;&gt;"",COUNTIFS($G$2:G2988,G2988,$H$2:H2988,"United Kingdom")=1),1,0)</f>
        <v>0</v>
      </c>
    </row>
    <row r="2989" customFormat="false" ht="15" hidden="false" customHeight="false" outlineLevel="0" collapsed="false">
      <c r="A2989" s="0" t="s">
        <v>638</v>
      </c>
      <c r="B2989" s="0" t="s">
        <v>63</v>
      </c>
      <c r="C2989" s="0" t="s">
        <v>64</v>
      </c>
      <c r="D2989" s="0" t="n">
        <v>12</v>
      </c>
      <c r="E2989" s="2" t="n">
        <v>40818.4631944444</v>
      </c>
      <c r="F2989" s="0" t="n">
        <v>2.43</v>
      </c>
      <c r="G2989" s="0" t="n">
        <v>13045</v>
      </c>
      <c r="H2989" s="3" t="s">
        <v>14</v>
      </c>
      <c r="I2989" s="4" t="n">
        <f aca="false">D2989*F2989</f>
        <v>29.16</v>
      </c>
      <c r="J2989" s="3" t="n">
        <f aca="false">IF(AND(LEFT(A2989,1)&lt;&gt;"C",D2989&gt;0,F2989&gt;0),1,0)</f>
        <v>1</v>
      </c>
      <c r="K2989" s="3" t="n">
        <f aca="false">IF(AND(H2989="United Kingdom",G2989&lt;&gt;"",COUNTIFS($G$2:G2989,G2989,$H$2:H2989,"United Kingdom")=1),1,0)</f>
        <v>0</v>
      </c>
    </row>
    <row r="2990" customFormat="false" ht="15" hidden="false" customHeight="false" outlineLevel="0" collapsed="false">
      <c r="A2990" s="0" t="s">
        <v>638</v>
      </c>
      <c r="B2990" s="0" t="s">
        <v>113</v>
      </c>
      <c r="C2990" s="0" t="s">
        <v>114</v>
      </c>
      <c r="D2990" s="0" t="n">
        <v>8</v>
      </c>
      <c r="E2990" s="2" t="n">
        <v>40818.4631944444</v>
      </c>
      <c r="F2990" s="0" t="n">
        <v>3.57</v>
      </c>
      <c r="G2990" s="0" t="n">
        <v>13045</v>
      </c>
      <c r="H2990" s="3" t="s">
        <v>14</v>
      </c>
      <c r="I2990" s="4" t="n">
        <f aca="false">D2990*F2990</f>
        <v>28.56</v>
      </c>
      <c r="J2990" s="3" t="n">
        <f aca="false">IF(AND(LEFT(A2990,1)&lt;&gt;"C",D2990&gt;0,F2990&gt;0),1,0)</f>
        <v>1</v>
      </c>
      <c r="K2990" s="3" t="n">
        <f aca="false">IF(AND(H2990="United Kingdom",G2990&lt;&gt;"",COUNTIFS($G$2:G2990,G2990,$H$2:H2990,"United Kingdom")=1),1,0)</f>
        <v>0</v>
      </c>
    </row>
    <row r="2991" customFormat="false" ht="15" hidden="false" customHeight="false" outlineLevel="0" collapsed="false">
      <c r="A2991" s="0" t="s">
        <v>638</v>
      </c>
      <c r="B2991" s="0" t="s">
        <v>15</v>
      </c>
      <c r="C2991" s="0" t="s">
        <v>16</v>
      </c>
      <c r="D2991" s="0" t="n">
        <v>1</v>
      </c>
      <c r="E2991" s="2" t="n">
        <v>40818.4631944444</v>
      </c>
      <c r="F2991" s="0" t="n">
        <v>3.18</v>
      </c>
      <c r="G2991" s="0" t="n">
        <v>13045</v>
      </c>
      <c r="H2991" s="3" t="s">
        <v>14</v>
      </c>
      <c r="I2991" s="4" t="n">
        <f aca="false">D2991*F2991</f>
        <v>3.18</v>
      </c>
      <c r="J2991" s="3" t="n">
        <f aca="false">IF(AND(LEFT(A2991,1)&lt;&gt;"C",D2991&gt;0,F2991&gt;0),1,0)</f>
        <v>1</v>
      </c>
      <c r="K2991" s="3" t="n">
        <f aca="false">IF(AND(H2991="United Kingdom",G2991&lt;&gt;"",COUNTIFS($G$2:G2991,G2991,$H$2:H2991,"United Kingdom")=1),1,0)</f>
        <v>0</v>
      </c>
    </row>
    <row r="2992" customFormat="false" ht="15" hidden="false" customHeight="false" outlineLevel="0" collapsed="false">
      <c r="A2992" s="0" t="s">
        <v>638</v>
      </c>
      <c r="B2992" s="0" t="s">
        <v>22</v>
      </c>
      <c r="C2992" s="0" t="s">
        <v>23</v>
      </c>
      <c r="D2992" s="0" t="n">
        <v>6</v>
      </c>
      <c r="E2992" s="2" t="n">
        <v>40818.4631944444</v>
      </c>
      <c r="F2992" s="0" t="n">
        <v>3.18</v>
      </c>
      <c r="G2992" s="0" t="n">
        <v>13045</v>
      </c>
      <c r="H2992" s="3" t="s">
        <v>14</v>
      </c>
      <c r="I2992" s="4" t="n">
        <f aca="false">D2992*F2992</f>
        <v>19.08</v>
      </c>
      <c r="J2992" s="3" t="n">
        <f aca="false">IF(AND(LEFT(A2992,1)&lt;&gt;"C",D2992&gt;0,F2992&gt;0),1,0)</f>
        <v>1</v>
      </c>
      <c r="K2992" s="3" t="n">
        <f aca="false">IF(AND(H2992="United Kingdom",G2992&lt;&gt;"",COUNTIFS($G$2:G2992,G2992,$H$2:H2992,"United Kingdom")=1),1,0)</f>
        <v>0</v>
      </c>
    </row>
    <row r="2993" customFormat="false" ht="15" hidden="false" customHeight="false" outlineLevel="0" collapsed="false">
      <c r="A2993" s="0" t="s">
        <v>638</v>
      </c>
      <c r="B2993" s="0" t="s">
        <v>50</v>
      </c>
      <c r="C2993" s="0" t="s">
        <v>51</v>
      </c>
      <c r="D2993" s="0" t="n">
        <v>6</v>
      </c>
      <c r="E2993" s="2" t="n">
        <v>40818.4631944444</v>
      </c>
      <c r="F2993" s="0" t="n">
        <v>5.41</v>
      </c>
      <c r="G2993" s="0" t="n">
        <v>13045</v>
      </c>
      <c r="H2993" s="3" t="s">
        <v>14</v>
      </c>
      <c r="I2993" s="4" t="n">
        <f aca="false">D2993*F2993</f>
        <v>32.46</v>
      </c>
      <c r="J2993" s="3" t="n">
        <f aca="false">IF(AND(LEFT(A2993,1)&lt;&gt;"C",D2993&gt;0,F2993&gt;0),1,0)</f>
        <v>1</v>
      </c>
      <c r="K2993" s="3" t="n">
        <f aca="false">IF(AND(H2993="United Kingdom",G2993&lt;&gt;"",COUNTIFS($G$2:G2993,G2993,$H$2:H2993,"United Kingdom")=1),1,0)</f>
        <v>0</v>
      </c>
    </row>
    <row r="2994" customFormat="false" ht="15" hidden="false" customHeight="false" outlineLevel="0" collapsed="false">
      <c r="A2994" s="0" t="s">
        <v>638</v>
      </c>
      <c r="B2994" s="0" t="s">
        <v>77</v>
      </c>
      <c r="C2994" s="0" t="s">
        <v>78</v>
      </c>
      <c r="D2994" s="0" t="n">
        <v>3</v>
      </c>
      <c r="E2994" s="2" t="n">
        <v>40818.4631944444</v>
      </c>
      <c r="F2994" s="0" t="n">
        <v>3.41</v>
      </c>
      <c r="G2994" s="0" t="n">
        <v>13045</v>
      </c>
      <c r="H2994" s="3" t="s">
        <v>14</v>
      </c>
      <c r="I2994" s="4" t="n">
        <f aca="false">D2994*F2994</f>
        <v>10.23</v>
      </c>
      <c r="J2994" s="3" t="n">
        <f aca="false">IF(AND(LEFT(A2994,1)&lt;&gt;"C",D2994&gt;0,F2994&gt;0),1,0)</f>
        <v>1</v>
      </c>
      <c r="K2994" s="3" t="n">
        <f aca="false">IF(AND(H2994="United Kingdom",G2994&lt;&gt;"",COUNTIFS($G$2:G2994,G2994,$H$2:H2994,"United Kingdom")=1),1,0)</f>
        <v>0</v>
      </c>
    </row>
    <row r="2995" customFormat="false" ht="15" hidden="false" customHeight="false" outlineLevel="0" collapsed="false">
      <c r="A2995" s="0" t="s">
        <v>639</v>
      </c>
      <c r="B2995" s="0" t="s">
        <v>80</v>
      </c>
      <c r="C2995" s="0" t="s">
        <v>81</v>
      </c>
      <c r="D2995" s="0" t="n">
        <v>6</v>
      </c>
      <c r="E2995" s="2" t="n">
        <v>40818.4770833333</v>
      </c>
      <c r="F2995" s="0" t="n">
        <v>1.53</v>
      </c>
      <c r="G2995" s="0" t="n">
        <v>15353</v>
      </c>
      <c r="H2995" s="3" t="s">
        <v>101</v>
      </c>
      <c r="I2995" s="4" t="n">
        <f aca="false">D2995*F2995</f>
        <v>9.18</v>
      </c>
      <c r="J2995" s="3" t="n">
        <f aca="false">IF(AND(LEFT(A2995,1)&lt;&gt;"C",D2995&gt;0,F2995&gt;0),1,0)</f>
        <v>1</v>
      </c>
      <c r="K2995" s="3" t="n">
        <f aca="false">IF(AND(H2995="United Kingdom",G2995&lt;&gt;"",COUNTIFS($G$2:G2995,G2995,$H$2:H2995,"United Kingdom")=1),1,0)</f>
        <v>0</v>
      </c>
    </row>
    <row r="2996" customFormat="false" ht="15" hidden="false" customHeight="false" outlineLevel="0" collapsed="false">
      <c r="A2996" s="0" t="s">
        <v>639</v>
      </c>
      <c r="B2996" s="0" t="s">
        <v>34</v>
      </c>
      <c r="C2996" s="0" t="s">
        <v>35</v>
      </c>
      <c r="D2996" s="0" t="n">
        <v>12</v>
      </c>
      <c r="E2996" s="2" t="n">
        <v>40818.4770833333</v>
      </c>
      <c r="F2996" s="0" t="n">
        <v>2.38</v>
      </c>
      <c r="G2996" s="0" t="n">
        <v>15353</v>
      </c>
      <c r="H2996" s="3" t="s">
        <v>101</v>
      </c>
      <c r="I2996" s="4" t="n">
        <f aca="false">D2996*F2996</f>
        <v>28.56</v>
      </c>
      <c r="J2996" s="3" t="n">
        <f aca="false">IF(AND(LEFT(A2996,1)&lt;&gt;"C",D2996&gt;0,F2996&gt;0),1,0)</f>
        <v>1</v>
      </c>
      <c r="K2996" s="3" t="n">
        <f aca="false">IF(AND(H2996="United Kingdom",G2996&lt;&gt;"",COUNTIFS($G$2:G2996,G2996,$H$2:H2996,"United Kingdom")=1),1,0)</f>
        <v>0</v>
      </c>
    </row>
    <row r="2997" customFormat="false" ht="15" hidden="false" customHeight="false" outlineLevel="0" collapsed="false">
      <c r="A2997" s="0" t="s">
        <v>639</v>
      </c>
      <c r="B2997" s="0" t="s">
        <v>48</v>
      </c>
      <c r="C2997" s="0" t="s">
        <v>49</v>
      </c>
      <c r="D2997" s="0" t="n">
        <v>3</v>
      </c>
      <c r="E2997" s="2" t="n">
        <v>40818.4770833333</v>
      </c>
      <c r="F2997" s="0" t="n">
        <v>1.35</v>
      </c>
      <c r="G2997" s="0" t="n">
        <v>15353</v>
      </c>
      <c r="H2997" s="3" t="s">
        <v>101</v>
      </c>
      <c r="I2997" s="4" t="n">
        <f aca="false">D2997*F2997</f>
        <v>4.05</v>
      </c>
      <c r="J2997" s="3" t="n">
        <f aca="false">IF(AND(LEFT(A2997,1)&lt;&gt;"C",D2997&gt;0,F2997&gt;0),1,0)</f>
        <v>1</v>
      </c>
      <c r="K2997" s="3" t="n">
        <f aca="false">IF(AND(H2997="United Kingdom",G2997&lt;&gt;"",COUNTIFS($G$2:G2997,G2997,$H$2:H2997,"United Kingdom")=1),1,0)</f>
        <v>0</v>
      </c>
    </row>
    <row r="2998" customFormat="false" ht="15" hidden="false" customHeight="false" outlineLevel="0" collapsed="false">
      <c r="A2998" s="0" t="s">
        <v>639</v>
      </c>
      <c r="B2998" s="0" t="s">
        <v>43</v>
      </c>
      <c r="C2998" s="0" t="s">
        <v>44</v>
      </c>
      <c r="D2998" s="0" t="n">
        <v>4</v>
      </c>
      <c r="E2998" s="2" t="n">
        <v>40818.4770833333</v>
      </c>
      <c r="F2998" s="0" t="n">
        <v>1.35</v>
      </c>
      <c r="G2998" s="0" t="n">
        <v>15353</v>
      </c>
      <c r="H2998" s="3" t="s">
        <v>101</v>
      </c>
      <c r="I2998" s="4" t="n">
        <f aca="false">D2998*F2998</f>
        <v>5.4</v>
      </c>
      <c r="J2998" s="3" t="n">
        <f aca="false">IF(AND(LEFT(A2998,1)&lt;&gt;"C",D2998&gt;0,F2998&gt;0),1,0)</f>
        <v>1</v>
      </c>
      <c r="K2998" s="3" t="n">
        <f aca="false">IF(AND(H2998="United Kingdom",G2998&lt;&gt;"",COUNTIFS($G$2:G2998,G2998,$H$2:H2998,"United Kingdom")=1),1,0)</f>
        <v>0</v>
      </c>
    </row>
    <row r="2999" customFormat="false" ht="15" hidden="false" customHeight="false" outlineLevel="0" collapsed="false">
      <c r="A2999" s="0" t="s">
        <v>639</v>
      </c>
      <c r="B2999" s="0" t="s">
        <v>41</v>
      </c>
      <c r="C2999" s="0" t="s">
        <v>42</v>
      </c>
      <c r="D2999" s="0" t="n">
        <v>6</v>
      </c>
      <c r="E2999" s="2" t="n">
        <v>40818.4770833333</v>
      </c>
      <c r="F2999" s="0" t="n">
        <v>3.28</v>
      </c>
      <c r="G2999" s="0" t="n">
        <v>15353</v>
      </c>
      <c r="H2999" s="3" t="s">
        <v>101</v>
      </c>
      <c r="I2999" s="4" t="n">
        <f aca="false">D2999*F2999</f>
        <v>19.68</v>
      </c>
      <c r="J2999" s="3" t="n">
        <f aca="false">IF(AND(LEFT(A2999,1)&lt;&gt;"C",D2999&gt;0,F2999&gt;0),1,0)</f>
        <v>1</v>
      </c>
      <c r="K2999" s="3" t="n">
        <f aca="false">IF(AND(H2999="United Kingdom",G2999&lt;&gt;"",COUNTIFS($G$2:G2999,G2999,$H$2:H2999,"United Kingdom")=1),1,0)</f>
        <v>0</v>
      </c>
    </row>
    <row r="3000" customFormat="false" ht="15" hidden="false" customHeight="false" outlineLevel="0" collapsed="false">
      <c r="A3000" s="0" t="s">
        <v>639</v>
      </c>
      <c r="B3000" s="0" t="s">
        <v>63</v>
      </c>
      <c r="C3000" s="0" t="s">
        <v>64</v>
      </c>
      <c r="D3000" s="0" t="n">
        <v>3</v>
      </c>
      <c r="E3000" s="2" t="n">
        <v>40818.4770833333</v>
      </c>
      <c r="F3000" s="0" t="n">
        <v>2.43</v>
      </c>
      <c r="G3000" s="0" t="n">
        <v>15353</v>
      </c>
      <c r="H3000" s="3" t="s">
        <v>101</v>
      </c>
      <c r="I3000" s="4" t="n">
        <f aca="false">D3000*F3000</f>
        <v>7.29</v>
      </c>
      <c r="J3000" s="3" t="n">
        <f aca="false">IF(AND(LEFT(A3000,1)&lt;&gt;"C",D3000&gt;0,F3000&gt;0),1,0)</f>
        <v>1</v>
      </c>
      <c r="K3000" s="3" t="n">
        <f aca="false">IF(AND(H3000="United Kingdom",G3000&lt;&gt;"",COUNTIFS($G$2:G3000,G3000,$H$2:H3000,"United Kingdom")=1),1,0)</f>
        <v>0</v>
      </c>
    </row>
    <row r="3001" customFormat="false" ht="15" hidden="false" customHeight="false" outlineLevel="0" collapsed="false">
      <c r="A3001" s="0" t="s">
        <v>639</v>
      </c>
      <c r="B3001" s="0" t="s">
        <v>22</v>
      </c>
      <c r="C3001" s="0" t="s">
        <v>23</v>
      </c>
      <c r="D3001" s="0" t="n">
        <v>3</v>
      </c>
      <c r="E3001" s="2" t="n">
        <v>40818.4770833333</v>
      </c>
      <c r="F3001" s="0" t="n">
        <v>3.18</v>
      </c>
      <c r="G3001" s="0" t="n">
        <v>15353</v>
      </c>
      <c r="H3001" s="3" t="s">
        <v>101</v>
      </c>
      <c r="I3001" s="4" t="n">
        <f aca="false">D3001*F3001</f>
        <v>9.54</v>
      </c>
      <c r="J3001" s="3" t="n">
        <f aca="false">IF(AND(LEFT(A3001,1)&lt;&gt;"C",D3001&gt;0,F3001&gt;0),1,0)</f>
        <v>1</v>
      </c>
      <c r="K3001" s="3" t="n">
        <f aca="false">IF(AND(H3001="United Kingdom",G3001&lt;&gt;"",COUNTIFS($G$2:G3001,G3001,$H$2:H3001,"United Kingdom")=1),1,0)</f>
        <v>0</v>
      </c>
    </row>
    <row r="3002" customFormat="false" ht="15" hidden="false" customHeight="false" outlineLevel="0" collapsed="false">
      <c r="A3002" s="0" t="s">
        <v>640</v>
      </c>
      <c r="B3002" s="0" t="s">
        <v>60</v>
      </c>
      <c r="C3002" s="0" t="s">
        <v>61</v>
      </c>
      <c r="D3002" s="0" t="n">
        <v>4</v>
      </c>
      <c r="E3002" s="2" t="n">
        <v>40818.51875</v>
      </c>
      <c r="F3002" s="0" t="n">
        <v>0.63</v>
      </c>
      <c r="G3002" s="0" t="n">
        <v>13759</v>
      </c>
      <c r="H3002" s="3" t="s">
        <v>14</v>
      </c>
      <c r="I3002" s="4" t="n">
        <f aca="false">D3002*F3002</f>
        <v>2.52</v>
      </c>
      <c r="J3002" s="3" t="n">
        <f aca="false">IF(AND(LEFT(A3002,1)&lt;&gt;"C",D3002&gt;0,F3002&gt;0),1,0)</f>
        <v>1</v>
      </c>
      <c r="K3002" s="3" t="n">
        <f aca="false">IF(AND(H3002="United Kingdom",G3002&lt;&gt;"",COUNTIFS($G$2:G3002,G3002,$H$2:H3002,"United Kingdom")=1),1,0)</f>
        <v>0</v>
      </c>
    </row>
    <row r="3003" customFormat="false" ht="15" hidden="false" customHeight="false" outlineLevel="0" collapsed="false">
      <c r="A3003" s="0" t="s">
        <v>640</v>
      </c>
      <c r="B3003" s="0" t="s">
        <v>54</v>
      </c>
      <c r="C3003" s="0" t="s">
        <v>55</v>
      </c>
      <c r="D3003" s="0" t="n">
        <v>3</v>
      </c>
      <c r="E3003" s="2" t="n">
        <v>40818.51875</v>
      </c>
      <c r="F3003" s="0" t="n">
        <v>0.99</v>
      </c>
      <c r="G3003" s="0" t="n">
        <v>13759</v>
      </c>
      <c r="H3003" s="3" t="s">
        <v>14</v>
      </c>
      <c r="I3003" s="4" t="n">
        <f aca="false">D3003*F3003</f>
        <v>2.97</v>
      </c>
      <c r="J3003" s="3" t="n">
        <f aca="false">IF(AND(LEFT(A3003,1)&lt;&gt;"C",D3003&gt;0,F3003&gt;0),1,0)</f>
        <v>1</v>
      </c>
      <c r="K3003" s="3" t="n">
        <f aca="false">IF(AND(H3003="United Kingdom",G3003&lt;&gt;"",COUNTIFS($G$2:G3003,G3003,$H$2:H3003,"United Kingdom")=1),1,0)</f>
        <v>0</v>
      </c>
    </row>
    <row r="3004" customFormat="false" ht="15" hidden="false" customHeight="false" outlineLevel="0" collapsed="false">
      <c r="A3004" s="0" t="s">
        <v>640</v>
      </c>
      <c r="B3004" s="0" t="s">
        <v>52</v>
      </c>
      <c r="C3004" s="0" t="s">
        <v>53</v>
      </c>
      <c r="D3004" s="0" t="n">
        <v>12</v>
      </c>
      <c r="E3004" s="2" t="n">
        <v>40818.51875</v>
      </c>
      <c r="F3004" s="0" t="n">
        <v>4.16</v>
      </c>
      <c r="G3004" s="0" t="n">
        <v>13759</v>
      </c>
      <c r="H3004" s="3" t="s">
        <v>14</v>
      </c>
      <c r="I3004" s="4" t="n">
        <f aca="false">D3004*F3004</f>
        <v>49.92</v>
      </c>
      <c r="J3004" s="3" t="n">
        <f aca="false">IF(AND(LEFT(A3004,1)&lt;&gt;"C",D3004&gt;0,F3004&gt;0),1,0)</f>
        <v>1</v>
      </c>
      <c r="K3004" s="3" t="n">
        <f aca="false">IF(AND(H3004="United Kingdom",G3004&lt;&gt;"",COUNTIFS($G$2:G3004,G3004,$H$2:H3004,"United Kingdom")=1),1,0)</f>
        <v>0</v>
      </c>
    </row>
    <row r="3005" customFormat="false" ht="15" hidden="false" customHeight="false" outlineLevel="0" collapsed="false">
      <c r="A3005" s="0" t="s">
        <v>640</v>
      </c>
      <c r="B3005" s="0" t="s">
        <v>75</v>
      </c>
      <c r="C3005" s="0" t="s">
        <v>76</v>
      </c>
      <c r="D3005" s="0" t="n">
        <v>6</v>
      </c>
      <c r="E3005" s="2" t="n">
        <v>40818.51875</v>
      </c>
      <c r="F3005" s="0" t="n">
        <v>1.97</v>
      </c>
      <c r="G3005" s="0" t="n">
        <v>13759</v>
      </c>
      <c r="H3005" s="3" t="s">
        <v>14</v>
      </c>
      <c r="I3005" s="4" t="n">
        <f aca="false">D3005*F3005</f>
        <v>11.82</v>
      </c>
      <c r="J3005" s="3" t="n">
        <f aca="false">IF(AND(LEFT(A3005,1)&lt;&gt;"C",D3005&gt;0,F3005&gt;0),1,0)</f>
        <v>1</v>
      </c>
      <c r="K3005" s="3" t="n">
        <f aca="false">IF(AND(H3005="United Kingdom",G3005&lt;&gt;"",COUNTIFS($G$2:G3005,G3005,$H$2:H3005,"United Kingdom")=1),1,0)</f>
        <v>0</v>
      </c>
    </row>
    <row r="3006" customFormat="false" ht="15" hidden="false" customHeight="false" outlineLevel="0" collapsed="false">
      <c r="A3006" s="0" t="s">
        <v>640</v>
      </c>
      <c r="B3006" s="0" t="s">
        <v>80</v>
      </c>
      <c r="C3006" s="0" t="s">
        <v>81</v>
      </c>
      <c r="D3006" s="0" t="n">
        <v>4</v>
      </c>
      <c r="E3006" s="2" t="n">
        <v>40818.51875</v>
      </c>
      <c r="F3006" s="0" t="n">
        <v>1.53</v>
      </c>
      <c r="G3006" s="0" t="n">
        <v>13759</v>
      </c>
      <c r="H3006" s="3" t="s">
        <v>14</v>
      </c>
      <c r="I3006" s="4" t="n">
        <f aca="false">D3006*F3006</f>
        <v>6.12</v>
      </c>
      <c r="J3006" s="3" t="n">
        <f aca="false">IF(AND(LEFT(A3006,1)&lt;&gt;"C",D3006&gt;0,F3006&gt;0),1,0)</f>
        <v>1</v>
      </c>
      <c r="K3006" s="3" t="n">
        <f aca="false">IF(AND(H3006="United Kingdom",G3006&lt;&gt;"",COUNTIFS($G$2:G3006,G3006,$H$2:H3006,"United Kingdom")=1),1,0)</f>
        <v>0</v>
      </c>
    </row>
    <row r="3007" customFormat="false" ht="15" hidden="false" customHeight="false" outlineLevel="0" collapsed="false">
      <c r="A3007" s="0" t="s">
        <v>640</v>
      </c>
      <c r="B3007" s="0" t="s">
        <v>90</v>
      </c>
      <c r="C3007" s="0" t="s">
        <v>91</v>
      </c>
      <c r="D3007" s="0" t="n">
        <v>4</v>
      </c>
      <c r="E3007" s="2" t="n">
        <v>40818.51875</v>
      </c>
      <c r="F3007" s="0" t="n">
        <v>3.04</v>
      </c>
      <c r="G3007" s="0" t="n">
        <v>13759</v>
      </c>
      <c r="H3007" s="3" t="s">
        <v>14</v>
      </c>
      <c r="I3007" s="4" t="n">
        <f aca="false">D3007*F3007</f>
        <v>12.16</v>
      </c>
      <c r="J3007" s="3" t="n">
        <f aca="false">IF(AND(LEFT(A3007,1)&lt;&gt;"C",D3007&gt;0,F3007&gt;0),1,0)</f>
        <v>1</v>
      </c>
      <c r="K3007" s="3" t="n">
        <f aca="false">IF(AND(H3007="United Kingdom",G3007&lt;&gt;"",COUNTIFS($G$2:G3007,G3007,$H$2:H3007,"United Kingdom")=1),1,0)</f>
        <v>0</v>
      </c>
    </row>
    <row r="3008" customFormat="false" ht="15" hidden="false" customHeight="false" outlineLevel="0" collapsed="false">
      <c r="A3008" s="0" t="s">
        <v>640</v>
      </c>
      <c r="B3008" s="0" t="s">
        <v>43</v>
      </c>
      <c r="C3008" s="0" t="s">
        <v>44</v>
      </c>
      <c r="D3008" s="0" t="n">
        <v>3</v>
      </c>
      <c r="E3008" s="2" t="n">
        <v>40818.51875</v>
      </c>
      <c r="F3008" s="0" t="n">
        <v>1.35</v>
      </c>
      <c r="G3008" s="0" t="n">
        <v>13759</v>
      </c>
      <c r="H3008" s="3" t="s">
        <v>14</v>
      </c>
      <c r="I3008" s="4" t="n">
        <f aca="false">D3008*F3008</f>
        <v>4.05</v>
      </c>
      <c r="J3008" s="3" t="n">
        <f aca="false">IF(AND(LEFT(A3008,1)&lt;&gt;"C",D3008&gt;0,F3008&gt;0),1,0)</f>
        <v>1</v>
      </c>
      <c r="K3008" s="3" t="n">
        <f aca="false">IF(AND(H3008="United Kingdom",G3008&lt;&gt;"",COUNTIFS($G$2:G3008,G3008,$H$2:H3008,"United Kingdom")=1),1,0)</f>
        <v>0</v>
      </c>
    </row>
    <row r="3009" customFormat="false" ht="15" hidden="false" customHeight="false" outlineLevel="0" collapsed="false">
      <c r="A3009" s="0" t="s">
        <v>640</v>
      </c>
      <c r="B3009" s="0" t="s">
        <v>68</v>
      </c>
      <c r="C3009" s="0" t="s">
        <v>69</v>
      </c>
      <c r="D3009" s="0" t="n">
        <v>12</v>
      </c>
      <c r="E3009" s="2" t="n">
        <v>40818.51875</v>
      </c>
      <c r="F3009" s="0" t="n">
        <v>1.26</v>
      </c>
      <c r="G3009" s="0" t="n">
        <v>13759</v>
      </c>
      <c r="H3009" s="3" t="s">
        <v>14</v>
      </c>
      <c r="I3009" s="4" t="n">
        <f aca="false">D3009*F3009</f>
        <v>15.12</v>
      </c>
      <c r="J3009" s="3" t="n">
        <f aca="false">IF(AND(LEFT(A3009,1)&lt;&gt;"C",D3009&gt;0,F3009&gt;0),1,0)</f>
        <v>1</v>
      </c>
      <c r="K3009" s="3" t="n">
        <f aca="false">IF(AND(H3009="United Kingdom",G3009&lt;&gt;"",COUNTIFS($G$2:G3009,G3009,$H$2:H3009,"United Kingdom")=1),1,0)</f>
        <v>0</v>
      </c>
    </row>
    <row r="3010" customFormat="false" ht="15" hidden="false" customHeight="false" outlineLevel="0" collapsed="false">
      <c r="A3010" s="0" t="s">
        <v>641</v>
      </c>
      <c r="B3010" s="0" t="s">
        <v>12</v>
      </c>
      <c r="C3010" s="0" t="s">
        <v>13</v>
      </c>
      <c r="D3010" s="0" t="n">
        <v>36</v>
      </c>
      <c r="E3010" s="2" t="n">
        <v>40818.5423611111</v>
      </c>
      <c r="F3010" s="0" t="n">
        <v>3.33</v>
      </c>
      <c r="G3010" s="0" t="n">
        <v>17032</v>
      </c>
      <c r="H3010" s="3" t="s">
        <v>14</v>
      </c>
      <c r="I3010" s="4" t="n">
        <f aca="false">D3010*F3010</f>
        <v>119.88</v>
      </c>
      <c r="J3010" s="3" t="n">
        <f aca="false">IF(AND(LEFT(A3010,1)&lt;&gt;"C",D3010&gt;0,F3010&gt;0),1,0)</f>
        <v>1</v>
      </c>
      <c r="K3010" s="3" t="n">
        <f aca="false">IF(AND(H3010="United Kingdom",G3010&lt;&gt;"",COUNTIFS($G$2:G3010,G3010,$H$2:H3010,"United Kingdom")=1),1,0)</f>
        <v>0</v>
      </c>
    </row>
    <row r="3011" customFormat="false" ht="15" hidden="false" customHeight="false" outlineLevel="0" collapsed="false">
      <c r="A3011" s="0" t="s">
        <v>641</v>
      </c>
      <c r="B3011" s="0" t="s">
        <v>63</v>
      </c>
      <c r="C3011" s="0" t="s">
        <v>64</v>
      </c>
      <c r="D3011" s="0" t="n">
        <v>12</v>
      </c>
      <c r="E3011" s="2" t="n">
        <v>40818.5423611111</v>
      </c>
      <c r="F3011" s="0" t="n">
        <v>2.43</v>
      </c>
      <c r="G3011" s="0" t="n">
        <v>17032</v>
      </c>
      <c r="H3011" s="3" t="s">
        <v>14</v>
      </c>
      <c r="I3011" s="4" t="n">
        <f aca="false">D3011*F3011</f>
        <v>29.16</v>
      </c>
      <c r="J3011" s="3" t="n">
        <f aca="false">IF(AND(LEFT(A3011,1)&lt;&gt;"C",D3011&gt;0,F3011&gt;0),1,0)</f>
        <v>1</v>
      </c>
      <c r="K3011" s="3" t="n">
        <f aca="false">IF(AND(H3011="United Kingdom",G3011&lt;&gt;"",COUNTIFS($G$2:G3011,G3011,$H$2:H3011,"United Kingdom")=1),1,0)</f>
        <v>0</v>
      </c>
    </row>
    <row r="3012" customFormat="false" ht="15" hidden="false" customHeight="false" outlineLevel="0" collapsed="false">
      <c r="A3012" s="0" t="s">
        <v>641</v>
      </c>
      <c r="B3012" s="0" t="s">
        <v>54</v>
      </c>
      <c r="C3012" s="0" t="s">
        <v>55</v>
      </c>
      <c r="D3012" s="0" t="n">
        <v>144</v>
      </c>
      <c r="E3012" s="2" t="n">
        <v>40818.5423611111</v>
      </c>
      <c r="F3012" s="0" t="n">
        <v>0.99</v>
      </c>
      <c r="G3012" s="0" t="n">
        <v>17032</v>
      </c>
      <c r="H3012" s="3" t="s">
        <v>14</v>
      </c>
      <c r="I3012" s="4" t="n">
        <f aca="false">D3012*F3012</f>
        <v>142.56</v>
      </c>
      <c r="J3012" s="3" t="n">
        <f aca="false">IF(AND(LEFT(A3012,1)&lt;&gt;"C",D3012&gt;0,F3012&gt;0),1,0)</f>
        <v>1</v>
      </c>
      <c r="K3012" s="3" t="n">
        <f aca="false">IF(AND(H3012="United Kingdom",G3012&lt;&gt;"",COUNTIFS($G$2:G3012,G3012,$H$2:H3012,"United Kingdom")=1),1,0)</f>
        <v>0</v>
      </c>
    </row>
    <row r="3013" customFormat="false" ht="15" hidden="false" customHeight="false" outlineLevel="0" collapsed="false">
      <c r="A3013" s="0" t="s">
        <v>641</v>
      </c>
      <c r="B3013" s="0" t="s">
        <v>68</v>
      </c>
      <c r="C3013" s="0" t="s">
        <v>69</v>
      </c>
      <c r="D3013" s="0" t="n">
        <v>12</v>
      </c>
      <c r="E3013" s="2" t="n">
        <v>40818.5423611111</v>
      </c>
      <c r="F3013" s="0" t="n">
        <v>1.26</v>
      </c>
      <c r="G3013" s="0" t="n">
        <v>17032</v>
      </c>
      <c r="H3013" s="3" t="s">
        <v>14</v>
      </c>
      <c r="I3013" s="4" t="n">
        <f aca="false">D3013*F3013</f>
        <v>15.12</v>
      </c>
      <c r="J3013" s="3" t="n">
        <f aca="false">IF(AND(LEFT(A3013,1)&lt;&gt;"C",D3013&gt;0,F3013&gt;0),1,0)</f>
        <v>1</v>
      </c>
      <c r="K3013" s="3" t="n">
        <f aca="false">IF(AND(H3013="United Kingdom",G3013&lt;&gt;"",COUNTIFS($G$2:G3013,G3013,$H$2:H3013,"United Kingdom")=1),1,0)</f>
        <v>0</v>
      </c>
    </row>
    <row r="3014" customFormat="false" ht="15" hidden="false" customHeight="false" outlineLevel="0" collapsed="false">
      <c r="A3014" s="0" t="s">
        <v>641</v>
      </c>
      <c r="B3014" s="0" t="s">
        <v>32</v>
      </c>
      <c r="C3014" s="0" t="s">
        <v>33</v>
      </c>
      <c r="D3014" s="0" t="n">
        <v>288</v>
      </c>
      <c r="E3014" s="2" t="n">
        <v>40818.5423611111</v>
      </c>
      <c r="F3014" s="0" t="n">
        <v>1.19</v>
      </c>
      <c r="G3014" s="0" t="n">
        <v>17032</v>
      </c>
      <c r="H3014" s="3" t="s">
        <v>14</v>
      </c>
      <c r="I3014" s="4" t="n">
        <f aca="false">D3014*F3014</f>
        <v>342.72</v>
      </c>
      <c r="J3014" s="3" t="n">
        <f aca="false">IF(AND(LEFT(A3014,1)&lt;&gt;"C",D3014&gt;0,F3014&gt;0),1,0)</f>
        <v>1</v>
      </c>
      <c r="K3014" s="3" t="n">
        <f aca="false">IF(AND(H3014="United Kingdom",G3014&lt;&gt;"",COUNTIFS($G$2:G3014,G3014,$H$2:H3014,"United Kingdom")=1),1,0)</f>
        <v>0</v>
      </c>
    </row>
    <row r="3015" customFormat="false" ht="15" hidden="false" customHeight="false" outlineLevel="0" collapsed="false">
      <c r="A3015" s="0" t="s">
        <v>642</v>
      </c>
      <c r="B3015" s="0" t="s">
        <v>52</v>
      </c>
      <c r="C3015" s="0" t="s">
        <v>53</v>
      </c>
      <c r="D3015" s="0" t="n">
        <v>12</v>
      </c>
      <c r="E3015" s="2" t="n">
        <v>40818.5763888889</v>
      </c>
      <c r="F3015" s="0" t="n">
        <v>4.16</v>
      </c>
      <c r="H3015" s="3" t="s">
        <v>14</v>
      </c>
      <c r="I3015" s="4" t="n">
        <f aca="false">D3015*F3015</f>
        <v>49.92</v>
      </c>
      <c r="J3015" s="3" t="n">
        <f aca="false">IF(AND(LEFT(A3015,1)&lt;&gt;"C",D3015&gt;0,F3015&gt;0),1,0)</f>
        <v>1</v>
      </c>
      <c r="K3015" s="3" t="n">
        <f aca="false">IF(AND(H3015="United Kingdom",G3015&lt;&gt;"",COUNTIFS($G$2:G3015,G3015,$H$2:H3015,"United Kingdom")=1),1,0)</f>
        <v>0</v>
      </c>
    </row>
    <row r="3016" customFormat="false" ht="15" hidden="false" customHeight="false" outlineLevel="0" collapsed="false">
      <c r="A3016" s="0" t="s">
        <v>642</v>
      </c>
      <c r="B3016" s="0" t="s">
        <v>12</v>
      </c>
      <c r="C3016" s="0" t="s">
        <v>13</v>
      </c>
      <c r="D3016" s="0" t="n">
        <v>1</v>
      </c>
      <c r="E3016" s="2" t="n">
        <v>40818.5763888889</v>
      </c>
      <c r="F3016" s="0" t="n">
        <v>3.33</v>
      </c>
      <c r="H3016" s="3" t="s">
        <v>14</v>
      </c>
      <c r="I3016" s="4" t="n">
        <f aca="false">D3016*F3016</f>
        <v>3.33</v>
      </c>
      <c r="J3016" s="3" t="n">
        <f aca="false">IF(AND(LEFT(A3016,1)&lt;&gt;"C",D3016&gt;0,F3016&gt;0),1,0)</f>
        <v>1</v>
      </c>
      <c r="K3016" s="3" t="n">
        <f aca="false">IF(AND(H3016="United Kingdom",G3016&lt;&gt;"",COUNTIFS($G$2:G3016,G3016,$H$2:H3016,"United Kingdom")=1),1,0)</f>
        <v>0</v>
      </c>
    </row>
    <row r="3017" customFormat="false" ht="15" hidden="false" customHeight="false" outlineLevel="0" collapsed="false">
      <c r="A3017" s="0" t="s">
        <v>642</v>
      </c>
      <c r="B3017" s="0" t="s">
        <v>27</v>
      </c>
      <c r="C3017" s="0" t="s">
        <v>28</v>
      </c>
      <c r="D3017" s="0" t="n">
        <v>4</v>
      </c>
      <c r="E3017" s="2" t="n">
        <v>40818.5763888889</v>
      </c>
      <c r="F3017" s="0" t="n">
        <v>4.55</v>
      </c>
      <c r="H3017" s="3" t="s">
        <v>14</v>
      </c>
      <c r="I3017" s="4" t="n">
        <f aca="false">D3017*F3017</f>
        <v>18.2</v>
      </c>
      <c r="J3017" s="3" t="n">
        <f aca="false">IF(AND(LEFT(A3017,1)&lt;&gt;"C",D3017&gt;0,F3017&gt;0),1,0)</f>
        <v>1</v>
      </c>
      <c r="K3017" s="3" t="n">
        <f aca="false">IF(AND(H3017="United Kingdom",G3017&lt;&gt;"",COUNTIFS($G$2:G3017,G3017,$H$2:H3017,"United Kingdom")=1),1,0)</f>
        <v>0</v>
      </c>
    </row>
    <row r="3018" customFormat="false" ht="15" hidden="false" customHeight="false" outlineLevel="0" collapsed="false">
      <c r="A3018" s="0" t="s">
        <v>643</v>
      </c>
      <c r="B3018" s="0" t="s">
        <v>34</v>
      </c>
      <c r="C3018" s="0" t="s">
        <v>35</v>
      </c>
      <c r="D3018" s="0" t="n">
        <v>1</v>
      </c>
      <c r="E3018" s="2" t="n">
        <v>40818.6423611111</v>
      </c>
      <c r="F3018" s="0" t="n">
        <v>2.38</v>
      </c>
      <c r="G3018" s="0" t="n">
        <v>14603</v>
      </c>
      <c r="H3018" s="3" t="s">
        <v>14</v>
      </c>
      <c r="I3018" s="4" t="n">
        <f aca="false">D3018*F3018</f>
        <v>2.38</v>
      </c>
      <c r="J3018" s="3" t="n">
        <f aca="false">IF(AND(LEFT(A3018,1)&lt;&gt;"C",D3018&gt;0,F3018&gt;0),1,0)</f>
        <v>1</v>
      </c>
      <c r="K3018" s="3" t="n">
        <f aca="false">IF(AND(H3018="United Kingdom",G3018&lt;&gt;"",COUNTIFS($G$2:G3018,G3018,$H$2:H3018,"United Kingdom")=1),1,0)</f>
        <v>0</v>
      </c>
    </row>
    <row r="3019" customFormat="false" ht="15" hidden="false" customHeight="false" outlineLevel="0" collapsed="false">
      <c r="A3019" s="0" t="s">
        <v>644</v>
      </c>
      <c r="B3019" s="0" t="s">
        <v>80</v>
      </c>
      <c r="C3019" s="0" t="s">
        <v>81</v>
      </c>
      <c r="D3019" s="0" t="n">
        <v>4</v>
      </c>
      <c r="E3019" s="2" t="n">
        <v>40819.3847222222</v>
      </c>
      <c r="F3019" s="0" t="n">
        <v>1.53</v>
      </c>
      <c r="G3019" s="0" t="n">
        <v>13606</v>
      </c>
      <c r="H3019" s="3" t="s">
        <v>14</v>
      </c>
      <c r="I3019" s="4" t="n">
        <f aca="false">D3019*F3019</f>
        <v>6.12</v>
      </c>
      <c r="J3019" s="3" t="n">
        <f aca="false">IF(AND(LEFT(A3019,1)&lt;&gt;"C",D3019&gt;0,F3019&gt;0),1,0)</f>
        <v>1</v>
      </c>
      <c r="K3019" s="3" t="n">
        <f aca="false">IF(AND(H3019="United Kingdom",G3019&lt;&gt;"",COUNTIFS($G$2:G3019,G3019,$H$2:H3019,"United Kingdom")=1),1,0)</f>
        <v>0</v>
      </c>
    </row>
    <row r="3020" customFormat="false" ht="15" hidden="false" customHeight="false" outlineLevel="0" collapsed="false">
      <c r="A3020" s="0" t="s">
        <v>644</v>
      </c>
      <c r="B3020" s="0" t="s">
        <v>50</v>
      </c>
      <c r="C3020" s="0" t="s">
        <v>51</v>
      </c>
      <c r="D3020" s="0" t="n">
        <v>4</v>
      </c>
      <c r="E3020" s="2" t="n">
        <v>40819.3847222222</v>
      </c>
      <c r="F3020" s="0" t="n">
        <v>5.41</v>
      </c>
      <c r="G3020" s="0" t="n">
        <v>13606</v>
      </c>
      <c r="H3020" s="3" t="s">
        <v>14</v>
      </c>
      <c r="I3020" s="4" t="n">
        <f aca="false">D3020*F3020</f>
        <v>21.64</v>
      </c>
      <c r="J3020" s="3" t="n">
        <f aca="false">IF(AND(LEFT(A3020,1)&lt;&gt;"C",D3020&gt;0,F3020&gt;0),1,0)</f>
        <v>1</v>
      </c>
      <c r="K3020" s="3" t="n">
        <f aca="false">IF(AND(H3020="United Kingdom",G3020&lt;&gt;"",COUNTIFS($G$2:G3020,G3020,$H$2:H3020,"United Kingdom")=1),1,0)</f>
        <v>0</v>
      </c>
    </row>
    <row r="3021" customFormat="false" ht="15" hidden="false" customHeight="false" outlineLevel="0" collapsed="false">
      <c r="A3021" s="0" t="s">
        <v>645</v>
      </c>
      <c r="B3021" s="0" t="s">
        <v>75</v>
      </c>
      <c r="C3021" s="0" t="s">
        <v>76</v>
      </c>
      <c r="D3021" s="0" t="n">
        <v>1</v>
      </c>
      <c r="E3021" s="2" t="n">
        <v>40819.4625</v>
      </c>
      <c r="F3021" s="0" t="n">
        <v>1.97</v>
      </c>
      <c r="H3021" s="3" t="s">
        <v>14</v>
      </c>
      <c r="I3021" s="4" t="n">
        <f aca="false">D3021*F3021</f>
        <v>1.97</v>
      </c>
      <c r="J3021" s="3" t="n">
        <f aca="false">IF(AND(LEFT(A3021,1)&lt;&gt;"C",D3021&gt;0,F3021&gt;0),1,0)</f>
        <v>1</v>
      </c>
      <c r="K3021" s="3" t="n">
        <f aca="false">IF(AND(H3021="United Kingdom",G3021&lt;&gt;"",COUNTIFS($G$2:G3021,G3021,$H$2:H3021,"United Kingdom")=1),1,0)</f>
        <v>0</v>
      </c>
    </row>
    <row r="3022" customFormat="false" ht="15" hidden="false" customHeight="false" outlineLevel="0" collapsed="false">
      <c r="A3022" s="0" t="s">
        <v>645</v>
      </c>
      <c r="B3022" s="0" t="s">
        <v>77</v>
      </c>
      <c r="C3022" s="0" t="s">
        <v>78</v>
      </c>
      <c r="D3022" s="0" t="n">
        <v>4</v>
      </c>
      <c r="E3022" s="2" t="n">
        <v>40819.4625</v>
      </c>
      <c r="F3022" s="0" t="n">
        <v>3.41</v>
      </c>
      <c r="H3022" s="3" t="s">
        <v>14</v>
      </c>
      <c r="I3022" s="4" t="n">
        <f aca="false">D3022*F3022</f>
        <v>13.64</v>
      </c>
      <c r="J3022" s="3" t="n">
        <f aca="false">IF(AND(LEFT(A3022,1)&lt;&gt;"C",D3022&gt;0,F3022&gt;0),1,0)</f>
        <v>1</v>
      </c>
      <c r="K3022" s="3" t="n">
        <f aca="false">IF(AND(H3022="United Kingdom",G3022&lt;&gt;"",COUNTIFS($G$2:G3022,G3022,$H$2:H3022,"United Kingdom")=1),1,0)</f>
        <v>0</v>
      </c>
    </row>
    <row r="3023" customFormat="false" ht="15" hidden="false" customHeight="false" outlineLevel="0" collapsed="false">
      <c r="A3023" s="0" t="s">
        <v>645</v>
      </c>
      <c r="B3023" s="0" t="s">
        <v>80</v>
      </c>
      <c r="C3023" s="0" t="s">
        <v>81</v>
      </c>
      <c r="D3023" s="0" t="n">
        <v>8</v>
      </c>
      <c r="E3023" s="2" t="n">
        <v>40819.4625</v>
      </c>
      <c r="F3023" s="0" t="n">
        <v>1.53</v>
      </c>
      <c r="H3023" s="3" t="s">
        <v>14</v>
      </c>
      <c r="I3023" s="4" t="n">
        <f aca="false">D3023*F3023</f>
        <v>12.24</v>
      </c>
      <c r="J3023" s="3" t="n">
        <f aca="false">IF(AND(LEFT(A3023,1)&lt;&gt;"C",D3023&gt;0,F3023&gt;0),1,0)</f>
        <v>1</v>
      </c>
      <c r="K3023" s="3" t="n">
        <f aca="false">IF(AND(H3023="United Kingdom",G3023&lt;&gt;"",COUNTIFS($G$2:G3023,G3023,$H$2:H3023,"United Kingdom")=1),1,0)</f>
        <v>0</v>
      </c>
    </row>
    <row r="3024" customFormat="false" ht="15" hidden="false" customHeight="false" outlineLevel="0" collapsed="false">
      <c r="A3024" s="0" t="s">
        <v>645</v>
      </c>
      <c r="B3024" s="0" t="s">
        <v>22</v>
      </c>
      <c r="C3024" s="0" t="s">
        <v>23</v>
      </c>
      <c r="D3024" s="0" t="n">
        <v>2</v>
      </c>
      <c r="E3024" s="2" t="n">
        <v>40819.4625</v>
      </c>
      <c r="F3024" s="0" t="n">
        <v>3.18</v>
      </c>
      <c r="H3024" s="3" t="s">
        <v>14</v>
      </c>
      <c r="I3024" s="4" t="n">
        <f aca="false">D3024*F3024</f>
        <v>6.36</v>
      </c>
      <c r="J3024" s="3" t="n">
        <f aca="false">IF(AND(LEFT(A3024,1)&lt;&gt;"C",D3024&gt;0,F3024&gt;0),1,0)</f>
        <v>1</v>
      </c>
      <c r="K3024" s="3" t="n">
        <f aca="false">IF(AND(H3024="United Kingdom",G3024&lt;&gt;"",COUNTIFS($G$2:G3024,G3024,$H$2:H3024,"United Kingdom")=1),1,0)</f>
        <v>0</v>
      </c>
    </row>
    <row r="3025" customFormat="false" ht="15" hidden="false" customHeight="false" outlineLevel="0" collapsed="false">
      <c r="A3025" s="0" t="s">
        <v>645</v>
      </c>
      <c r="B3025" s="0" t="s">
        <v>63</v>
      </c>
      <c r="C3025" s="0" t="s">
        <v>64</v>
      </c>
      <c r="D3025" s="0" t="n">
        <v>1</v>
      </c>
      <c r="E3025" s="2" t="n">
        <v>40819.4625</v>
      </c>
      <c r="F3025" s="0" t="n">
        <v>2.43</v>
      </c>
      <c r="H3025" s="3" t="s">
        <v>14</v>
      </c>
      <c r="I3025" s="4" t="n">
        <f aca="false">D3025*F3025</f>
        <v>2.43</v>
      </c>
      <c r="J3025" s="3" t="n">
        <f aca="false">IF(AND(LEFT(A3025,1)&lt;&gt;"C",D3025&gt;0,F3025&gt;0),1,0)</f>
        <v>1</v>
      </c>
      <c r="K3025" s="3" t="n">
        <f aca="false">IF(AND(H3025="United Kingdom",G3025&lt;&gt;"",COUNTIFS($G$2:G3025,G3025,$H$2:H3025,"United Kingdom")=1),1,0)</f>
        <v>0</v>
      </c>
    </row>
    <row r="3026" customFormat="false" ht="15" hidden="false" customHeight="false" outlineLevel="0" collapsed="false">
      <c r="A3026" s="0" t="s">
        <v>645</v>
      </c>
      <c r="B3026" s="0" t="s">
        <v>27</v>
      </c>
      <c r="C3026" s="0" t="s">
        <v>28</v>
      </c>
      <c r="D3026" s="0" t="n">
        <v>6</v>
      </c>
      <c r="E3026" s="2" t="n">
        <v>40819.4625</v>
      </c>
      <c r="F3026" s="0" t="n">
        <v>4.55</v>
      </c>
      <c r="H3026" s="3" t="s">
        <v>14</v>
      </c>
      <c r="I3026" s="4" t="n">
        <f aca="false">D3026*F3026</f>
        <v>27.3</v>
      </c>
      <c r="J3026" s="3" t="n">
        <f aca="false">IF(AND(LEFT(A3026,1)&lt;&gt;"C",D3026&gt;0,F3026&gt;0),1,0)</f>
        <v>1</v>
      </c>
      <c r="K3026" s="3" t="n">
        <f aca="false">IF(AND(H3026="United Kingdom",G3026&lt;&gt;"",COUNTIFS($G$2:G3026,G3026,$H$2:H3026,"United Kingdom")=1),1,0)</f>
        <v>0</v>
      </c>
    </row>
    <row r="3027" customFormat="false" ht="15" hidden="false" customHeight="false" outlineLevel="0" collapsed="false">
      <c r="A3027" s="0" t="s">
        <v>645</v>
      </c>
      <c r="B3027" s="0" t="s">
        <v>25</v>
      </c>
      <c r="C3027" s="0" t="s">
        <v>26</v>
      </c>
      <c r="D3027" s="0" t="n">
        <v>2</v>
      </c>
      <c r="E3027" s="2" t="n">
        <v>40819.4625</v>
      </c>
      <c r="F3027" s="0" t="n">
        <v>2.21</v>
      </c>
      <c r="H3027" s="3" t="s">
        <v>14</v>
      </c>
      <c r="I3027" s="4" t="n">
        <f aca="false">D3027*F3027</f>
        <v>4.42</v>
      </c>
      <c r="J3027" s="3" t="n">
        <f aca="false">IF(AND(LEFT(A3027,1)&lt;&gt;"C",D3027&gt;0,F3027&gt;0),1,0)</f>
        <v>1</v>
      </c>
      <c r="K3027" s="3" t="n">
        <f aca="false">IF(AND(H3027="United Kingdom",G3027&lt;&gt;"",COUNTIFS($G$2:G3027,G3027,$H$2:H3027,"United Kingdom")=1),1,0)</f>
        <v>0</v>
      </c>
    </row>
    <row r="3028" customFormat="false" ht="15" hidden="false" customHeight="false" outlineLevel="0" collapsed="false">
      <c r="A3028" s="0" t="s">
        <v>646</v>
      </c>
      <c r="B3028" s="0" t="s">
        <v>63</v>
      </c>
      <c r="C3028" s="0" t="s">
        <v>64</v>
      </c>
      <c r="D3028" s="0" t="n">
        <v>12</v>
      </c>
      <c r="E3028" s="2" t="n">
        <v>40819.5069444445</v>
      </c>
      <c r="F3028" s="0" t="n">
        <v>2.43</v>
      </c>
      <c r="H3028" s="3" t="s">
        <v>14</v>
      </c>
      <c r="I3028" s="4" t="n">
        <f aca="false">D3028*F3028</f>
        <v>29.16</v>
      </c>
      <c r="J3028" s="3" t="n">
        <f aca="false">IF(AND(LEFT(A3028,1)&lt;&gt;"C",D3028&gt;0,F3028&gt;0),1,0)</f>
        <v>1</v>
      </c>
      <c r="K3028" s="3" t="n">
        <f aca="false">IF(AND(H3028="United Kingdom",G3028&lt;&gt;"",COUNTIFS($G$2:G3028,G3028,$H$2:H3028,"United Kingdom")=1),1,0)</f>
        <v>0</v>
      </c>
    </row>
    <row r="3029" customFormat="false" ht="15" hidden="false" customHeight="false" outlineLevel="0" collapsed="false">
      <c r="A3029" s="0" t="s">
        <v>646</v>
      </c>
      <c r="B3029" s="0" t="s">
        <v>68</v>
      </c>
      <c r="C3029" s="0" t="s">
        <v>69</v>
      </c>
      <c r="D3029" s="0" t="n">
        <v>4</v>
      </c>
      <c r="E3029" s="2" t="n">
        <v>40819.5069444445</v>
      </c>
      <c r="F3029" s="0" t="n">
        <v>1.26</v>
      </c>
      <c r="H3029" s="3" t="s">
        <v>14</v>
      </c>
      <c r="I3029" s="4" t="n">
        <f aca="false">D3029*F3029</f>
        <v>5.04</v>
      </c>
      <c r="J3029" s="3" t="n">
        <f aca="false">IF(AND(LEFT(A3029,1)&lt;&gt;"C",D3029&gt;0,F3029&gt;0),1,0)</f>
        <v>1</v>
      </c>
      <c r="K3029" s="3" t="n">
        <f aca="false">IF(AND(H3029="United Kingdom",G3029&lt;&gt;"",COUNTIFS($G$2:G3029,G3029,$H$2:H3029,"United Kingdom")=1),1,0)</f>
        <v>0</v>
      </c>
    </row>
    <row r="3030" customFormat="false" ht="15" hidden="false" customHeight="false" outlineLevel="0" collapsed="false">
      <c r="A3030" s="0" t="s">
        <v>646</v>
      </c>
      <c r="B3030" s="0" t="s">
        <v>22</v>
      </c>
      <c r="C3030" s="0" t="s">
        <v>23</v>
      </c>
      <c r="D3030" s="0" t="n">
        <v>4</v>
      </c>
      <c r="E3030" s="2" t="n">
        <v>40819.5069444445</v>
      </c>
      <c r="F3030" s="0" t="n">
        <v>3.18</v>
      </c>
      <c r="H3030" s="3" t="s">
        <v>14</v>
      </c>
      <c r="I3030" s="4" t="n">
        <f aca="false">D3030*F3030</f>
        <v>12.72</v>
      </c>
      <c r="J3030" s="3" t="n">
        <f aca="false">IF(AND(LEFT(A3030,1)&lt;&gt;"C",D3030&gt;0,F3030&gt;0),1,0)</f>
        <v>1</v>
      </c>
      <c r="K3030" s="3" t="n">
        <f aca="false">IF(AND(H3030="United Kingdom",G3030&lt;&gt;"",COUNTIFS($G$2:G3030,G3030,$H$2:H3030,"United Kingdom")=1),1,0)</f>
        <v>0</v>
      </c>
    </row>
    <row r="3031" customFormat="false" ht="15" hidden="false" customHeight="false" outlineLevel="0" collapsed="false">
      <c r="A3031" s="0" t="s">
        <v>646</v>
      </c>
      <c r="B3031" s="0" t="s">
        <v>12</v>
      </c>
      <c r="C3031" s="0" t="s">
        <v>13</v>
      </c>
      <c r="D3031" s="0" t="n">
        <v>8</v>
      </c>
      <c r="E3031" s="2" t="n">
        <v>40819.5069444445</v>
      </c>
      <c r="F3031" s="0" t="n">
        <v>3.33</v>
      </c>
      <c r="H3031" s="3" t="s">
        <v>14</v>
      </c>
      <c r="I3031" s="4" t="n">
        <f aca="false">D3031*F3031</f>
        <v>26.64</v>
      </c>
      <c r="J3031" s="3" t="n">
        <f aca="false">IF(AND(LEFT(A3031,1)&lt;&gt;"C",D3031&gt;0,F3031&gt;0),1,0)</f>
        <v>1</v>
      </c>
      <c r="K3031" s="3" t="n">
        <f aca="false">IF(AND(H3031="United Kingdom",G3031&lt;&gt;"",COUNTIFS($G$2:G3031,G3031,$H$2:H3031,"United Kingdom")=1),1,0)</f>
        <v>0</v>
      </c>
    </row>
    <row r="3032" customFormat="false" ht="15" hidden="false" customHeight="false" outlineLevel="0" collapsed="false">
      <c r="A3032" s="0" t="s">
        <v>646</v>
      </c>
      <c r="B3032" s="0" t="s">
        <v>17</v>
      </c>
      <c r="C3032" s="0" t="s">
        <v>18</v>
      </c>
      <c r="D3032" s="0" t="n">
        <v>2</v>
      </c>
      <c r="E3032" s="2" t="n">
        <v>40819.5069444445</v>
      </c>
      <c r="F3032" s="0" t="n">
        <v>1.92</v>
      </c>
      <c r="H3032" s="3" t="s">
        <v>14</v>
      </c>
      <c r="I3032" s="4" t="n">
        <f aca="false">D3032*F3032</f>
        <v>3.84</v>
      </c>
      <c r="J3032" s="3" t="n">
        <f aca="false">IF(AND(LEFT(A3032,1)&lt;&gt;"C",D3032&gt;0,F3032&gt;0),1,0)</f>
        <v>1</v>
      </c>
      <c r="K3032" s="3" t="n">
        <f aca="false">IF(AND(H3032="United Kingdom",G3032&lt;&gt;"",COUNTIFS($G$2:G3032,G3032,$H$2:H3032,"United Kingdom")=1),1,0)</f>
        <v>0</v>
      </c>
    </row>
    <row r="3033" customFormat="false" ht="15" hidden="false" customHeight="false" outlineLevel="0" collapsed="false">
      <c r="A3033" s="0" t="s">
        <v>646</v>
      </c>
      <c r="B3033" s="0" t="s">
        <v>37</v>
      </c>
      <c r="C3033" s="0" t="s">
        <v>38</v>
      </c>
      <c r="D3033" s="0" t="n">
        <v>8</v>
      </c>
      <c r="E3033" s="2" t="n">
        <v>40819.5069444445</v>
      </c>
      <c r="F3033" s="0" t="n">
        <v>1.82</v>
      </c>
      <c r="H3033" s="3" t="s">
        <v>14</v>
      </c>
      <c r="I3033" s="4" t="n">
        <f aca="false">D3033*F3033</f>
        <v>14.56</v>
      </c>
      <c r="J3033" s="3" t="n">
        <f aca="false">IF(AND(LEFT(A3033,1)&lt;&gt;"C",D3033&gt;0,F3033&gt;0),1,0)</f>
        <v>1</v>
      </c>
      <c r="K3033" s="3" t="n">
        <f aca="false">IF(AND(H3033="United Kingdom",G3033&lt;&gt;"",COUNTIFS($G$2:G3033,G3033,$H$2:H3033,"United Kingdom")=1),1,0)</f>
        <v>0</v>
      </c>
    </row>
    <row r="3034" customFormat="false" ht="15" hidden="false" customHeight="false" outlineLevel="0" collapsed="false">
      <c r="A3034" s="0" t="s">
        <v>647</v>
      </c>
      <c r="B3034" s="0" t="s">
        <v>48</v>
      </c>
      <c r="C3034" s="0" t="s">
        <v>49</v>
      </c>
      <c r="D3034" s="0" t="n">
        <v>1</v>
      </c>
      <c r="E3034" s="2" t="n">
        <v>40819.6138888889</v>
      </c>
      <c r="F3034" s="0" t="n">
        <v>1.35</v>
      </c>
      <c r="G3034" s="0" t="n">
        <v>15135</v>
      </c>
      <c r="H3034" s="3" t="s">
        <v>57</v>
      </c>
      <c r="I3034" s="4" t="n">
        <f aca="false">D3034*F3034</f>
        <v>1.35</v>
      </c>
      <c r="J3034" s="3" t="n">
        <f aca="false">IF(AND(LEFT(A3034,1)&lt;&gt;"C",D3034&gt;0,F3034&gt;0),1,0)</f>
        <v>1</v>
      </c>
      <c r="K3034" s="3" t="n">
        <f aca="false">IF(AND(H3034="United Kingdom",G3034&lt;&gt;"",COUNTIFS($G$2:G3034,G3034,$H$2:H3034,"United Kingdom")=1),1,0)</f>
        <v>0</v>
      </c>
    </row>
    <row r="3035" customFormat="false" ht="15" hidden="false" customHeight="false" outlineLevel="0" collapsed="false">
      <c r="A3035" s="0" t="s">
        <v>647</v>
      </c>
      <c r="B3035" s="0" t="s">
        <v>75</v>
      </c>
      <c r="C3035" s="0" t="s">
        <v>76</v>
      </c>
      <c r="D3035" s="0" t="n">
        <v>3</v>
      </c>
      <c r="E3035" s="2" t="n">
        <v>40819.6138888889</v>
      </c>
      <c r="F3035" s="0" t="n">
        <v>1.97</v>
      </c>
      <c r="G3035" s="0" t="n">
        <v>15135</v>
      </c>
      <c r="H3035" s="3" t="s">
        <v>57</v>
      </c>
      <c r="I3035" s="4" t="n">
        <f aca="false">D3035*F3035</f>
        <v>5.91</v>
      </c>
      <c r="J3035" s="3" t="n">
        <f aca="false">IF(AND(LEFT(A3035,1)&lt;&gt;"C",D3035&gt;0,F3035&gt;0),1,0)</f>
        <v>1</v>
      </c>
      <c r="K3035" s="3" t="n">
        <f aca="false">IF(AND(H3035="United Kingdom",G3035&lt;&gt;"",COUNTIFS($G$2:G3035,G3035,$H$2:H3035,"United Kingdom")=1),1,0)</f>
        <v>0</v>
      </c>
    </row>
    <row r="3036" customFormat="false" ht="15" hidden="false" customHeight="false" outlineLevel="0" collapsed="false">
      <c r="A3036" s="0" t="s">
        <v>648</v>
      </c>
      <c r="B3036" s="0" t="s">
        <v>48</v>
      </c>
      <c r="C3036" s="0" t="s">
        <v>49</v>
      </c>
      <c r="D3036" s="0" t="n">
        <v>6</v>
      </c>
      <c r="E3036" s="2" t="n">
        <v>40819.7118055556</v>
      </c>
      <c r="F3036" s="0" t="n">
        <v>1.35</v>
      </c>
      <c r="G3036" s="0" t="n">
        <v>14386</v>
      </c>
      <c r="H3036" s="3" t="s">
        <v>14</v>
      </c>
      <c r="I3036" s="4" t="n">
        <f aca="false">D3036*F3036</f>
        <v>8.1</v>
      </c>
      <c r="J3036" s="3" t="n">
        <f aca="false">IF(AND(LEFT(A3036,1)&lt;&gt;"C",D3036&gt;0,F3036&gt;0),1,0)</f>
        <v>1</v>
      </c>
      <c r="K3036" s="3" t="n">
        <f aca="false">IF(AND(H3036="United Kingdom",G3036&lt;&gt;"",COUNTIFS($G$2:G3036,G3036,$H$2:H3036,"United Kingdom")=1),1,0)</f>
        <v>0</v>
      </c>
    </row>
    <row r="3037" customFormat="false" ht="15" hidden="false" customHeight="false" outlineLevel="0" collapsed="false">
      <c r="A3037" s="0" t="s">
        <v>649</v>
      </c>
      <c r="B3037" s="0" t="s">
        <v>60</v>
      </c>
      <c r="C3037" s="0" t="s">
        <v>61</v>
      </c>
      <c r="D3037" s="0" t="n">
        <v>1</v>
      </c>
      <c r="E3037" s="2" t="n">
        <v>40819.7465277778</v>
      </c>
      <c r="F3037" s="0" t="n">
        <v>0.63</v>
      </c>
      <c r="G3037" s="0" t="n">
        <v>17009</v>
      </c>
      <c r="H3037" s="3" t="s">
        <v>14</v>
      </c>
      <c r="I3037" s="4" t="n">
        <f aca="false">D3037*F3037</f>
        <v>0.63</v>
      </c>
      <c r="J3037" s="3" t="n">
        <f aca="false">IF(AND(LEFT(A3037,1)&lt;&gt;"C",D3037&gt;0,F3037&gt;0),1,0)</f>
        <v>1</v>
      </c>
      <c r="K3037" s="3" t="n">
        <f aca="false">IF(AND(H3037="United Kingdom",G3037&lt;&gt;"",COUNTIFS($G$2:G3037,G3037,$H$2:H3037,"United Kingdom")=1),1,0)</f>
        <v>0</v>
      </c>
    </row>
    <row r="3038" customFormat="false" ht="15" hidden="false" customHeight="false" outlineLevel="0" collapsed="false">
      <c r="A3038" s="0" t="s">
        <v>649</v>
      </c>
      <c r="B3038" s="0" t="s">
        <v>113</v>
      </c>
      <c r="C3038" s="0" t="s">
        <v>114</v>
      </c>
      <c r="D3038" s="0" t="n">
        <v>6</v>
      </c>
      <c r="E3038" s="2" t="n">
        <v>40819.7465277778</v>
      </c>
      <c r="F3038" s="0" t="n">
        <v>3.57</v>
      </c>
      <c r="G3038" s="0" t="n">
        <v>17009</v>
      </c>
      <c r="H3038" s="3" t="s">
        <v>14</v>
      </c>
      <c r="I3038" s="4" t="n">
        <f aca="false">D3038*F3038</f>
        <v>21.42</v>
      </c>
      <c r="J3038" s="3" t="n">
        <f aca="false">IF(AND(LEFT(A3038,1)&lt;&gt;"C",D3038&gt;0,F3038&gt;0),1,0)</f>
        <v>1</v>
      </c>
      <c r="K3038" s="3" t="n">
        <f aca="false">IF(AND(H3038="United Kingdom",G3038&lt;&gt;"",COUNTIFS($G$2:G3038,G3038,$H$2:H3038,"United Kingdom")=1),1,0)</f>
        <v>0</v>
      </c>
    </row>
    <row r="3039" customFormat="false" ht="15" hidden="false" customHeight="false" outlineLevel="0" collapsed="false">
      <c r="A3039" s="0" t="s">
        <v>649</v>
      </c>
      <c r="B3039" s="0" t="s">
        <v>50</v>
      </c>
      <c r="C3039" s="0" t="s">
        <v>51</v>
      </c>
      <c r="D3039" s="0" t="n">
        <v>2</v>
      </c>
      <c r="E3039" s="2" t="n">
        <v>40819.7465277778</v>
      </c>
      <c r="F3039" s="0" t="n">
        <v>5.41</v>
      </c>
      <c r="G3039" s="0" t="n">
        <v>17009</v>
      </c>
      <c r="H3039" s="3" t="s">
        <v>14</v>
      </c>
      <c r="I3039" s="4" t="n">
        <f aca="false">D3039*F3039</f>
        <v>10.82</v>
      </c>
      <c r="J3039" s="3" t="n">
        <f aca="false">IF(AND(LEFT(A3039,1)&lt;&gt;"C",D3039&gt;0,F3039&gt;0),1,0)</f>
        <v>1</v>
      </c>
      <c r="K3039" s="3" t="n">
        <f aca="false">IF(AND(H3039="United Kingdom",G3039&lt;&gt;"",COUNTIFS($G$2:G3039,G3039,$H$2:H3039,"United Kingdom")=1),1,0)</f>
        <v>0</v>
      </c>
    </row>
    <row r="3040" customFormat="false" ht="15" hidden="false" customHeight="false" outlineLevel="0" collapsed="false">
      <c r="A3040" s="0" t="s">
        <v>649</v>
      </c>
      <c r="B3040" s="0" t="s">
        <v>72</v>
      </c>
      <c r="C3040" s="0" t="s">
        <v>73</v>
      </c>
      <c r="D3040" s="0" t="n">
        <v>2</v>
      </c>
      <c r="E3040" s="2" t="n">
        <v>40819.7465277778</v>
      </c>
      <c r="F3040" s="0" t="n">
        <v>2.69</v>
      </c>
      <c r="G3040" s="0" t="n">
        <v>17009</v>
      </c>
      <c r="H3040" s="3" t="s">
        <v>14</v>
      </c>
      <c r="I3040" s="4" t="n">
        <f aca="false">D3040*F3040</f>
        <v>5.38</v>
      </c>
      <c r="J3040" s="3" t="n">
        <f aca="false">IF(AND(LEFT(A3040,1)&lt;&gt;"C",D3040&gt;0,F3040&gt;0),1,0)</f>
        <v>1</v>
      </c>
      <c r="K3040" s="3" t="n">
        <f aca="false">IF(AND(H3040="United Kingdom",G3040&lt;&gt;"",COUNTIFS($G$2:G3040,G3040,$H$2:H3040,"United Kingdom")=1),1,0)</f>
        <v>0</v>
      </c>
    </row>
    <row r="3041" customFormat="false" ht="15" hidden="false" customHeight="false" outlineLevel="0" collapsed="false">
      <c r="A3041" s="0" t="s">
        <v>650</v>
      </c>
      <c r="B3041" s="0" t="s">
        <v>63</v>
      </c>
      <c r="C3041" s="0" t="s">
        <v>64</v>
      </c>
      <c r="D3041" s="0" t="n">
        <v>12</v>
      </c>
      <c r="E3041" s="2" t="n">
        <v>40820.3993055556</v>
      </c>
      <c r="F3041" s="0" t="n">
        <v>2.43</v>
      </c>
      <c r="G3041" s="0" t="n">
        <v>17892</v>
      </c>
      <c r="H3041" s="3" t="s">
        <v>14</v>
      </c>
      <c r="I3041" s="4" t="n">
        <f aca="false">D3041*F3041</f>
        <v>29.16</v>
      </c>
      <c r="J3041" s="3" t="n">
        <f aca="false">IF(AND(LEFT(A3041,1)&lt;&gt;"C",D3041&gt;0,F3041&gt;0),1,0)</f>
        <v>1</v>
      </c>
      <c r="K3041" s="3" t="n">
        <f aca="false">IF(AND(H3041="United Kingdom",G3041&lt;&gt;"",COUNTIFS($G$2:G3041,G3041,$H$2:H3041,"United Kingdom")=1),1,0)</f>
        <v>0</v>
      </c>
    </row>
    <row r="3042" customFormat="false" ht="15" hidden="false" customHeight="false" outlineLevel="0" collapsed="false">
      <c r="A3042" s="0" t="s">
        <v>650</v>
      </c>
      <c r="B3042" s="0" t="s">
        <v>27</v>
      </c>
      <c r="C3042" s="0" t="s">
        <v>28</v>
      </c>
      <c r="D3042" s="0" t="n">
        <v>6</v>
      </c>
      <c r="E3042" s="2" t="n">
        <v>40820.3993055556</v>
      </c>
      <c r="F3042" s="0" t="n">
        <v>4.55</v>
      </c>
      <c r="G3042" s="0" t="n">
        <v>17892</v>
      </c>
      <c r="H3042" s="3" t="s">
        <v>14</v>
      </c>
      <c r="I3042" s="4" t="n">
        <f aca="false">D3042*F3042</f>
        <v>27.3</v>
      </c>
      <c r="J3042" s="3" t="n">
        <f aca="false">IF(AND(LEFT(A3042,1)&lt;&gt;"C",D3042&gt;0,F3042&gt;0),1,0)</f>
        <v>1</v>
      </c>
      <c r="K3042" s="3" t="n">
        <f aca="false">IF(AND(H3042="United Kingdom",G3042&lt;&gt;"",COUNTIFS($G$2:G3042,G3042,$H$2:H3042,"United Kingdom")=1),1,0)</f>
        <v>0</v>
      </c>
    </row>
    <row r="3043" customFormat="false" ht="15" hidden="false" customHeight="false" outlineLevel="0" collapsed="false">
      <c r="A3043" s="0" t="s">
        <v>650</v>
      </c>
      <c r="B3043" s="0" t="s">
        <v>17</v>
      </c>
      <c r="C3043" s="0" t="s">
        <v>18</v>
      </c>
      <c r="D3043" s="0" t="n">
        <v>4</v>
      </c>
      <c r="E3043" s="2" t="n">
        <v>40820.3993055556</v>
      </c>
      <c r="F3043" s="0" t="n">
        <v>1.92</v>
      </c>
      <c r="G3043" s="0" t="n">
        <v>17892</v>
      </c>
      <c r="H3043" s="3" t="s">
        <v>14</v>
      </c>
      <c r="I3043" s="4" t="n">
        <f aca="false">D3043*F3043</f>
        <v>7.68</v>
      </c>
      <c r="J3043" s="3" t="n">
        <f aca="false">IF(AND(LEFT(A3043,1)&lt;&gt;"C",D3043&gt;0,F3043&gt;0),1,0)</f>
        <v>1</v>
      </c>
      <c r="K3043" s="3" t="n">
        <f aca="false">IF(AND(H3043="United Kingdom",G3043&lt;&gt;"",COUNTIFS($G$2:G3043,G3043,$H$2:H3043,"United Kingdom")=1),1,0)</f>
        <v>0</v>
      </c>
    </row>
    <row r="3044" customFormat="false" ht="15" hidden="false" customHeight="false" outlineLevel="0" collapsed="false">
      <c r="A3044" s="0" t="s">
        <v>651</v>
      </c>
      <c r="B3044" s="0" t="s">
        <v>39</v>
      </c>
      <c r="C3044" s="0" t="s">
        <v>40</v>
      </c>
      <c r="D3044" s="0" t="n">
        <v>6</v>
      </c>
      <c r="E3044" s="2" t="n">
        <v>40820.4118055556</v>
      </c>
      <c r="F3044" s="0" t="n">
        <v>2.58</v>
      </c>
      <c r="G3044" s="0" t="n">
        <v>16228</v>
      </c>
      <c r="H3044" s="3" t="s">
        <v>14</v>
      </c>
      <c r="I3044" s="4" t="n">
        <f aca="false">D3044*F3044</f>
        <v>15.48</v>
      </c>
      <c r="J3044" s="3" t="n">
        <f aca="false">IF(AND(LEFT(A3044,1)&lt;&gt;"C",D3044&gt;0,F3044&gt;0),1,0)</f>
        <v>1</v>
      </c>
      <c r="K3044" s="3" t="n">
        <f aca="false">IF(AND(H3044="United Kingdom",G3044&lt;&gt;"",COUNTIFS($G$2:G3044,G3044,$H$2:H3044,"United Kingdom")=1),1,0)</f>
        <v>0</v>
      </c>
    </row>
    <row r="3045" customFormat="false" ht="15" hidden="false" customHeight="false" outlineLevel="0" collapsed="false">
      <c r="A3045" s="0" t="s">
        <v>651</v>
      </c>
      <c r="B3045" s="0" t="s">
        <v>72</v>
      </c>
      <c r="C3045" s="0" t="s">
        <v>73</v>
      </c>
      <c r="D3045" s="0" t="n">
        <v>1</v>
      </c>
      <c r="E3045" s="2" t="n">
        <v>40820.4118055556</v>
      </c>
      <c r="F3045" s="0" t="n">
        <v>2.69</v>
      </c>
      <c r="G3045" s="0" t="n">
        <v>16228</v>
      </c>
      <c r="H3045" s="3" t="s">
        <v>14</v>
      </c>
      <c r="I3045" s="4" t="n">
        <f aca="false">D3045*F3045</f>
        <v>2.69</v>
      </c>
      <c r="J3045" s="3" t="n">
        <f aca="false">IF(AND(LEFT(A3045,1)&lt;&gt;"C",D3045&gt;0,F3045&gt;0),1,0)</f>
        <v>1</v>
      </c>
      <c r="K3045" s="3" t="n">
        <f aca="false">IF(AND(H3045="United Kingdom",G3045&lt;&gt;"",COUNTIFS($G$2:G3045,G3045,$H$2:H3045,"United Kingdom")=1),1,0)</f>
        <v>0</v>
      </c>
    </row>
    <row r="3046" customFormat="false" ht="15" hidden="false" customHeight="false" outlineLevel="0" collapsed="false">
      <c r="A3046" s="0" t="s">
        <v>651</v>
      </c>
      <c r="B3046" s="0" t="s">
        <v>15</v>
      </c>
      <c r="C3046" s="0" t="s">
        <v>16</v>
      </c>
      <c r="D3046" s="0" t="n">
        <v>2</v>
      </c>
      <c r="E3046" s="2" t="n">
        <v>40820.4118055556</v>
      </c>
      <c r="F3046" s="0" t="n">
        <v>3.18</v>
      </c>
      <c r="G3046" s="0" t="n">
        <v>16228</v>
      </c>
      <c r="H3046" s="3" t="s">
        <v>14</v>
      </c>
      <c r="I3046" s="4" t="n">
        <f aca="false">D3046*F3046</f>
        <v>6.36</v>
      </c>
      <c r="J3046" s="3" t="n">
        <f aca="false">IF(AND(LEFT(A3046,1)&lt;&gt;"C",D3046&gt;0,F3046&gt;0),1,0)</f>
        <v>1</v>
      </c>
      <c r="K3046" s="3" t="n">
        <f aca="false">IF(AND(H3046="United Kingdom",G3046&lt;&gt;"",COUNTIFS($G$2:G3046,G3046,$H$2:H3046,"United Kingdom")=1),1,0)</f>
        <v>0</v>
      </c>
    </row>
    <row r="3047" customFormat="false" ht="15" hidden="false" customHeight="false" outlineLevel="0" collapsed="false">
      <c r="A3047" s="0" t="s">
        <v>651</v>
      </c>
      <c r="B3047" s="0" t="s">
        <v>25</v>
      </c>
      <c r="C3047" s="0" t="s">
        <v>26</v>
      </c>
      <c r="D3047" s="0" t="n">
        <v>1</v>
      </c>
      <c r="E3047" s="2" t="n">
        <v>40820.4118055556</v>
      </c>
      <c r="F3047" s="0" t="n">
        <v>2.21</v>
      </c>
      <c r="G3047" s="0" t="n">
        <v>16228</v>
      </c>
      <c r="H3047" s="3" t="s">
        <v>14</v>
      </c>
      <c r="I3047" s="4" t="n">
        <f aca="false">D3047*F3047</f>
        <v>2.21</v>
      </c>
      <c r="J3047" s="3" t="n">
        <f aca="false">IF(AND(LEFT(A3047,1)&lt;&gt;"C",D3047&gt;0,F3047&gt;0),1,0)</f>
        <v>1</v>
      </c>
      <c r="K3047" s="3" t="n">
        <f aca="false">IF(AND(H3047="United Kingdom",G3047&lt;&gt;"",COUNTIFS($G$2:G3047,G3047,$H$2:H3047,"United Kingdom")=1),1,0)</f>
        <v>0</v>
      </c>
    </row>
    <row r="3048" customFormat="false" ht="15" hidden="false" customHeight="false" outlineLevel="0" collapsed="false">
      <c r="A3048" s="0" t="s">
        <v>652</v>
      </c>
      <c r="B3048" s="0" t="s">
        <v>29</v>
      </c>
      <c r="C3048" s="0" t="s">
        <v>30</v>
      </c>
      <c r="D3048" s="0" t="n">
        <v>24</v>
      </c>
      <c r="E3048" s="2" t="n">
        <v>40820.4138888889</v>
      </c>
      <c r="F3048" s="0" t="n">
        <v>5.79</v>
      </c>
      <c r="G3048" s="0" t="n">
        <v>14012</v>
      </c>
      <c r="H3048" s="3" t="s">
        <v>97</v>
      </c>
      <c r="I3048" s="4" t="n">
        <f aca="false">D3048*F3048</f>
        <v>138.96</v>
      </c>
      <c r="J3048" s="3" t="n">
        <f aca="false">IF(AND(LEFT(A3048,1)&lt;&gt;"C",D3048&gt;0,F3048&gt;0),1,0)</f>
        <v>1</v>
      </c>
      <c r="K3048" s="3" t="n">
        <f aca="false">IF(AND(H3048="United Kingdom",G3048&lt;&gt;"",COUNTIFS($G$2:G3048,G3048,$H$2:H3048,"United Kingdom")=1),1,0)</f>
        <v>0</v>
      </c>
    </row>
    <row r="3049" customFormat="false" ht="15" hidden="false" customHeight="false" outlineLevel="0" collapsed="false">
      <c r="A3049" s="0" t="s">
        <v>652</v>
      </c>
      <c r="B3049" s="0" t="s">
        <v>43</v>
      </c>
      <c r="C3049" s="0" t="s">
        <v>44</v>
      </c>
      <c r="D3049" s="0" t="n">
        <v>96</v>
      </c>
      <c r="E3049" s="2" t="n">
        <v>40820.4138888889</v>
      </c>
      <c r="F3049" s="0" t="n">
        <v>1.35</v>
      </c>
      <c r="G3049" s="0" t="n">
        <v>14012</v>
      </c>
      <c r="H3049" s="3" t="s">
        <v>97</v>
      </c>
      <c r="I3049" s="4" t="n">
        <f aca="false">D3049*F3049</f>
        <v>129.6</v>
      </c>
      <c r="J3049" s="3" t="n">
        <f aca="false">IF(AND(LEFT(A3049,1)&lt;&gt;"C",D3049&gt;0,F3049&gt;0),1,0)</f>
        <v>1</v>
      </c>
      <c r="K3049" s="3" t="n">
        <f aca="false">IF(AND(H3049="United Kingdom",G3049&lt;&gt;"",COUNTIFS($G$2:G3049,G3049,$H$2:H3049,"United Kingdom")=1),1,0)</f>
        <v>0</v>
      </c>
    </row>
    <row r="3050" customFormat="false" ht="15" hidden="false" customHeight="false" outlineLevel="0" collapsed="false">
      <c r="A3050" s="0" t="s">
        <v>652</v>
      </c>
      <c r="B3050" s="0" t="s">
        <v>80</v>
      </c>
      <c r="C3050" s="0" t="s">
        <v>81</v>
      </c>
      <c r="D3050" s="0" t="n">
        <v>48</v>
      </c>
      <c r="E3050" s="2" t="n">
        <v>40820.4138888889</v>
      </c>
      <c r="F3050" s="0" t="n">
        <v>1.53</v>
      </c>
      <c r="G3050" s="0" t="n">
        <v>14012</v>
      </c>
      <c r="H3050" s="3" t="s">
        <v>97</v>
      </c>
      <c r="I3050" s="4" t="n">
        <f aca="false">D3050*F3050</f>
        <v>73.44</v>
      </c>
      <c r="J3050" s="3" t="n">
        <f aca="false">IF(AND(LEFT(A3050,1)&lt;&gt;"C",D3050&gt;0,F3050&gt;0),1,0)</f>
        <v>1</v>
      </c>
      <c r="K3050" s="3" t="n">
        <f aca="false">IF(AND(H3050="United Kingdom",G3050&lt;&gt;"",COUNTIFS($G$2:G3050,G3050,$H$2:H3050,"United Kingdom")=1),1,0)</f>
        <v>0</v>
      </c>
    </row>
    <row r="3051" customFormat="false" ht="15" hidden="false" customHeight="false" outlineLevel="0" collapsed="false">
      <c r="A3051" s="0" t="s">
        <v>652</v>
      </c>
      <c r="B3051" s="0" t="s">
        <v>72</v>
      </c>
      <c r="C3051" s="0" t="s">
        <v>73</v>
      </c>
      <c r="D3051" s="0" t="n">
        <v>12</v>
      </c>
      <c r="E3051" s="2" t="n">
        <v>40820.4138888889</v>
      </c>
      <c r="F3051" s="0" t="n">
        <v>2.69</v>
      </c>
      <c r="G3051" s="0" t="n">
        <v>14012</v>
      </c>
      <c r="H3051" s="3" t="s">
        <v>97</v>
      </c>
      <c r="I3051" s="4" t="n">
        <f aca="false">D3051*F3051</f>
        <v>32.28</v>
      </c>
      <c r="J3051" s="3" t="n">
        <f aca="false">IF(AND(LEFT(A3051,1)&lt;&gt;"C",D3051&gt;0,F3051&gt;0),1,0)</f>
        <v>1</v>
      </c>
      <c r="K3051" s="3" t="n">
        <f aca="false">IF(AND(H3051="United Kingdom",G3051&lt;&gt;"",COUNTIFS($G$2:G3051,G3051,$H$2:H3051,"United Kingdom")=1),1,0)</f>
        <v>0</v>
      </c>
    </row>
    <row r="3052" customFormat="false" ht="15" hidden="false" customHeight="false" outlineLevel="0" collapsed="false">
      <c r="A3052" s="0" t="s">
        <v>652</v>
      </c>
      <c r="B3052" s="0" t="s">
        <v>15</v>
      </c>
      <c r="C3052" s="0" t="s">
        <v>16</v>
      </c>
      <c r="D3052" s="0" t="n">
        <v>144</v>
      </c>
      <c r="E3052" s="2" t="n">
        <v>40820.4138888889</v>
      </c>
      <c r="F3052" s="0" t="n">
        <v>3.18</v>
      </c>
      <c r="G3052" s="0" t="n">
        <v>14012</v>
      </c>
      <c r="H3052" s="3" t="s">
        <v>97</v>
      </c>
      <c r="I3052" s="4" t="n">
        <f aca="false">D3052*F3052</f>
        <v>457.92</v>
      </c>
      <c r="J3052" s="3" t="n">
        <f aca="false">IF(AND(LEFT(A3052,1)&lt;&gt;"C",D3052&gt;0,F3052&gt;0),1,0)</f>
        <v>1</v>
      </c>
      <c r="K3052" s="3" t="n">
        <f aca="false">IF(AND(H3052="United Kingdom",G3052&lt;&gt;"",COUNTIFS($G$2:G3052,G3052,$H$2:H3052,"United Kingdom")=1),1,0)</f>
        <v>0</v>
      </c>
    </row>
    <row r="3053" customFormat="false" ht="15" hidden="false" customHeight="false" outlineLevel="0" collapsed="false">
      <c r="A3053" s="0" t="s">
        <v>652</v>
      </c>
      <c r="B3053" s="0" t="s">
        <v>54</v>
      </c>
      <c r="C3053" s="0" t="s">
        <v>55</v>
      </c>
      <c r="D3053" s="0" t="n">
        <v>144</v>
      </c>
      <c r="E3053" s="2" t="n">
        <v>40820.4138888889</v>
      </c>
      <c r="F3053" s="0" t="n">
        <v>0.99</v>
      </c>
      <c r="G3053" s="0" t="n">
        <v>14012</v>
      </c>
      <c r="H3053" s="3" t="s">
        <v>97</v>
      </c>
      <c r="I3053" s="4" t="n">
        <f aca="false">D3053*F3053</f>
        <v>142.56</v>
      </c>
      <c r="J3053" s="3" t="n">
        <f aca="false">IF(AND(LEFT(A3053,1)&lt;&gt;"C",D3053&gt;0,F3053&gt;0),1,0)</f>
        <v>1</v>
      </c>
      <c r="K3053" s="3" t="n">
        <f aca="false">IF(AND(H3053="United Kingdom",G3053&lt;&gt;"",COUNTIFS($G$2:G3053,G3053,$H$2:H3053,"United Kingdom")=1),1,0)</f>
        <v>0</v>
      </c>
    </row>
    <row r="3054" customFormat="false" ht="15" hidden="false" customHeight="false" outlineLevel="0" collapsed="false">
      <c r="A3054" s="0" t="s">
        <v>653</v>
      </c>
      <c r="B3054" s="0" t="s">
        <v>12</v>
      </c>
      <c r="C3054" s="0" t="s">
        <v>13</v>
      </c>
      <c r="D3054" s="0" t="n">
        <v>6</v>
      </c>
      <c r="E3054" s="2" t="n">
        <v>40820.4680555556</v>
      </c>
      <c r="F3054" s="0" t="n">
        <v>3.33</v>
      </c>
      <c r="G3054" s="0" t="n">
        <v>13034</v>
      </c>
      <c r="H3054" s="3" t="s">
        <v>57</v>
      </c>
      <c r="I3054" s="4" t="n">
        <f aca="false">D3054*F3054</f>
        <v>19.98</v>
      </c>
      <c r="J3054" s="3" t="n">
        <f aca="false">IF(AND(LEFT(A3054,1)&lt;&gt;"C",D3054&gt;0,F3054&gt;0),1,0)</f>
        <v>1</v>
      </c>
      <c r="K3054" s="3" t="n">
        <f aca="false">IF(AND(H3054="United Kingdom",G3054&lt;&gt;"",COUNTIFS($G$2:G3054,G3054,$H$2:H3054,"United Kingdom")=1),1,0)</f>
        <v>0</v>
      </c>
    </row>
    <row r="3055" customFormat="false" ht="15" hidden="false" customHeight="false" outlineLevel="0" collapsed="false">
      <c r="A3055" s="0" t="s">
        <v>653</v>
      </c>
      <c r="B3055" s="0" t="s">
        <v>63</v>
      </c>
      <c r="C3055" s="0" t="s">
        <v>64</v>
      </c>
      <c r="D3055" s="0" t="n">
        <v>25</v>
      </c>
      <c r="E3055" s="2" t="n">
        <v>40820.4680555556</v>
      </c>
      <c r="F3055" s="0" t="n">
        <v>2.43</v>
      </c>
      <c r="G3055" s="0" t="n">
        <v>13034</v>
      </c>
      <c r="H3055" s="3" t="s">
        <v>57</v>
      </c>
      <c r="I3055" s="4" t="n">
        <f aca="false">D3055*F3055</f>
        <v>60.75</v>
      </c>
      <c r="J3055" s="3" t="n">
        <f aca="false">IF(AND(LEFT(A3055,1)&lt;&gt;"C",D3055&gt;0,F3055&gt;0),1,0)</f>
        <v>1</v>
      </c>
      <c r="K3055" s="3" t="n">
        <f aca="false">IF(AND(H3055="United Kingdom",G3055&lt;&gt;"",COUNTIFS($G$2:G3055,G3055,$H$2:H3055,"United Kingdom")=1),1,0)</f>
        <v>0</v>
      </c>
    </row>
    <row r="3056" customFormat="false" ht="15" hidden="false" customHeight="false" outlineLevel="0" collapsed="false">
      <c r="A3056" s="0" t="s">
        <v>653</v>
      </c>
      <c r="B3056" s="0" t="s">
        <v>58</v>
      </c>
      <c r="C3056" s="0" t="s">
        <v>59</v>
      </c>
      <c r="D3056" s="0" t="n">
        <v>3</v>
      </c>
      <c r="E3056" s="2" t="n">
        <v>40820.4680555556</v>
      </c>
      <c r="F3056" s="0" t="n">
        <v>2.16</v>
      </c>
      <c r="G3056" s="0" t="n">
        <v>13034</v>
      </c>
      <c r="H3056" s="3" t="s">
        <v>57</v>
      </c>
      <c r="I3056" s="4" t="n">
        <f aca="false">D3056*F3056</f>
        <v>6.48</v>
      </c>
      <c r="J3056" s="3" t="n">
        <f aca="false">IF(AND(LEFT(A3056,1)&lt;&gt;"C",D3056&gt;0,F3056&gt;0),1,0)</f>
        <v>1</v>
      </c>
      <c r="K3056" s="3" t="n">
        <f aca="false">IF(AND(H3056="United Kingdom",G3056&lt;&gt;"",COUNTIFS($G$2:G3056,G3056,$H$2:H3056,"United Kingdom")=1),1,0)</f>
        <v>0</v>
      </c>
    </row>
    <row r="3057" customFormat="false" ht="15" hidden="false" customHeight="false" outlineLevel="0" collapsed="false">
      <c r="A3057" s="0" t="s">
        <v>654</v>
      </c>
      <c r="B3057" s="0" t="s">
        <v>12</v>
      </c>
      <c r="C3057" s="0" t="s">
        <v>13</v>
      </c>
      <c r="D3057" s="0" t="n">
        <v>144</v>
      </c>
      <c r="E3057" s="2" t="n">
        <v>40820.5256944444</v>
      </c>
      <c r="F3057" s="0" t="n">
        <v>3.33</v>
      </c>
      <c r="H3057" s="3" t="s">
        <v>14</v>
      </c>
      <c r="I3057" s="4" t="n">
        <f aca="false">D3057*F3057</f>
        <v>479.52</v>
      </c>
      <c r="J3057" s="3" t="n">
        <f aca="false">IF(AND(LEFT(A3057,1)&lt;&gt;"C",D3057&gt;0,F3057&gt;0),1,0)</f>
        <v>1</v>
      </c>
      <c r="K3057" s="3" t="n">
        <f aca="false">IF(AND(H3057="United Kingdom",G3057&lt;&gt;"",COUNTIFS($G$2:G3057,G3057,$H$2:H3057,"United Kingdom")=1),1,0)</f>
        <v>0</v>
      </c>
    </row>
    <row r="3058" customFormat="false" ht="15" hidden="false" customHeight="false" outlineLevel="0" collapsed="false">
      <c r="A3058" s="0" t="s">
        <v>654</v>
      </c>
      <c r="B3058" s="0" t="s">
        <v>68</v>
      </c>
      <c r="C3058" s="0" t="s">
        <v>69</v>
      </c>
      <c r="D3058" s="0" t="n">
        <v>96</v>
      </c>
      <c r="E3058" s="2" t="n">
        <v>40820.5256944444</v>
      </c>
      <c r="F3058" s="0" t="n">
        <v>1.26</v>
      </c>
      <c r="H3058" s="3" t="s">
        <v>14</v>
      </c>
      <c r="I3058" s="4" t="n">
        <f aca="false">D3058*F3058</f>
        <v>120.96</v>
      </c>
      <c r="J3058" s="3" t="n">
        <f aca="false">IF(AND(LEFT(A3058,1)&lt;&gt;"C",D3058&gt;0,F3058&gt;0),1,0)</f>
        <v>1</v>
      </c>
      <c r="K3058" s="3" t="n">
        <f aca="false">IF(AND(H3058="United Kingdom",G3058&lt;&gt;"",COUNTIFS($G$2:G3058,G3058,$H$2:H3058,"United Kingdom")=1),1,0)</f>
        <v>0</v>
      </c>
    </row>
    <row r="3059" customFormat="false" ht="15" hidden="false" customHeight="false" outlineLevel="0" collapsed="false">
      <c r="A3059" s="0" t="s">
        <v>654</v>
      </c>
      <c r="B3059" s="0" t="s">
        <v>29</v>
      </c>
      <c r="C3059" s="0" t="s">
        <v>30</v>
      </c>
      <c r="D3059" s="0" t="n">
        <v>432</v>
      </c>
      <c r="E3059" s="2" t="n">
        <v>40820.5256944444</v>
      </c>
      <c r="F3059" s="0" t="n">
        <v>5.79</v>
      </c>
      <c r="H3059" s="3" t="s">
        <v>14</v>
      </c>
      <c r="I3059" s="4" t="n">
        <f aca="false">D3059*F3059</f>
        <v>2501.28</v>
      </c>
      <c r="J3059" s="3" t="n">
        <f aca="false">IF(AND(LEFT(A3059,1)&lt;&gt;"C",D3059&gt;0,F3059&gt;0),1,0)</f>
        <v>1</v>
      </c>
      <c r="K3059" s="3" t="n">
        <f aca="false">IF(AND(H3059="United Kingdom",G3059&lt;&gt;"",COUNTIFS($G$2:G3059,G3059,$H$2:H3059,"United Kingdom")=1),1,0)</f>
        <v>0</v>
      </c>
    </row>
    <row r="3060" customFormat="false" ht="15" hidden="false" customHeight="false" outlineLevel="0" collapsed="false">
      <c r="A3060" s="0" t="s">
        <v>654</v>
      </c>
      <c r="B3060" s="0" t="s">
        <v>90</v>
      </c>
      <c r="C3060" s="0" t="s">
        <v>91</v>
      </c>
      <c r="D3060" s="0" t="n">
        <v>72</v>
      </c>
      <c r="E3060" s="2" t="n">
        <v>40820.5256944444</v>
      </c>
      <c r="F3060" s="0" t="n">
        <v>3.04</v>
      </c>
      <c r="H3060" s="3" t="s">
        <v>14</v>
      </c>
      <c r="I3060" s="4" t="n">
        <f aca="false">D3060*F3060</f>
        <v>218.88</v>
      </c>
      <c r="J3060" s="3" t="n">
        <f aca="false">IF(AND(LEFT(A3060,1)&lt;&gt;"C",D3060&gt;0,F3060&gt;0),1,0)</f>
        <v>1</v>
      </c>
      <c r="K3060" s="3" t="n">
        <f aca="false">IF(AND(H3060="United Kingdom",G3060&lt;&gt;"",COUNTIFS($G$2:G3060,G3060,$H$2:H3060,"United Kingdom")=1),1,0)</f>
        <v>0</v>
      </c>
    </row>
    <row r="3061" customFormat="false" ht="15" hidden="false" customHeight="false" outlineLevel="0" collapsed="false">
      <c r="A3061" s="0" t="s">
        <v>654</v>
      </c>
      <c r="B3061" s="0" t="s">
        <v>48</v>
      </c>
      <c r="C3061" s="0" t="s">
        <v>49</v>
      </c>
      <c r="D3061" s="0" t="n">
        <v>6</v>
      </c>
      <c r="E3061" s="2" t="n">
        <v>40820.5256944444</v>
      </c>
      <c r="F3061" s="0" t="n">
        <v>1.35</v>
      </c>
      <c r="H3061" s="3" t="s">
        <v>14</v>
      </c>
      <c r="I3061" s="4" t="n">
        <f aca="false">D3061*F3061</f>
        <v>8.1</v>
      </c>
      <c r="J3061" s="3" t="n">
        <f aca="false">IF(AND(LEFT(A3061,1)&lt;&gt;"C",D3061&gt;0,F3061&gt;0),1,0)</f>
        <v>1</v>
      </c>
      <c r="K3061" s="3" t="n">
        <f aca="false">IF(AND(H3061="United Kingdom",G3061&lt;&gt;"",COUNTIFS($G$2:G3061,G3061,$H$2:H3061,"United Kingdom")=1),1,0)</f>
        <v>0</v>
      </c>
    </row>
    <row r="3062" customFormat="false" ht="15" hidden="false" customHeight="false" outlineLevel="0" collapsed="false">
      <c r="A3062" s="0" t="s">
        <v>654</v>
      </c>
      <c r="B3062" s="0" t="s">
        <v>63</v>
      </c>
      <c r="C3062" s="0" t="s">
        <v>64</v>
      </c>
      <c r="D3062" s="0" t="n">
        <v>12</v>
      </c>
      <c r="E3062" s="2" t="n">
        <v>40820.5256944444</v>
      </c>
      <c r="F3062" s="0" t="n">
        <v>2.43</v>
      </c>
      <c r="H3062" s="3" t="s">
        <v>14</v>
      </c>
      <c r="I3062" s="4" t="n">
        <f aca="false">D3062*F3062</f>
        <v>29.16</v>
      </c>
      <c r="J3062" s="3" t="n">
        <f aca="false">IF(AND(LEFT(A3062,1)&lt;&gt;"C",D3062&gt;0,F3062&gt;0),1,0)</f>
        <v>1</v>
      </c>
      <c r="K3062" s="3" t="n">
        <f aca="false">IF(AND(H3062="United Kingdom",G3062&lt;&gt;"",COUNTIFS($G$2:G3062,G3062,$H$2:H3062,"United Kingdom")=1),1,0)</f>
        <v>0</v>
      </c>
    </row>
    <row r="3063" customFormat="false" ht="15" hidden="false" customHeight="false" outlineLevel="0" collapsed="false">
      <c r="A3063" s="0" t="s">
        <v>655</v>
      </c>
      <c r="B3063" s="0" t="s">
        <v>72</v>
      </c>
      <c r="C3063" s="0" t="s">
        <v>73</v>
      </c>
      <c r="D3063" s="0" t="n">
        <v>2</v>
      </c>
      <c r="E3063" s="2" t="n">
        <v>40820.59375</v>
      </c>
      <c r="F3063" s="0" t="n">
        <v>2.69</v>
      </c>
      <c r="G3063" s="0" t="n">
        <v>13513</v>
      </c>
      <c r="H3063" s="3" t="s">
        <v>97</v>
      </c>
      <c r="I3063" s="4" t="n">
        <f aca="false">D3063*F3063</f>
        <v>5.38</v>
      </c>
      <c r="J3063" s="3" t="n">
        <f aca="false">IF(AND(LEFT(A3063,1)&lt;&gt;"C",D3063&gt;0,F3063&gt;0),1,0)</f>
        <v>1</v>
      </c>
      <c r="K3063" s="3" t="n">
        <f aca="false">IF(AND(H3063="United Kingdom",G3063&lt;&gt;"",COUNTIFS($G$2:G3063,G3063,$H$2:H3063,"United Kingdom")=1),1,0)</f>
        <v>0</v>
      </c>
    </row>
    <row r="3064" customFormat="false" ht="15" hidden="false" customHeight="false" outlineLevel="0" collapsed="false">
      <c r="A3064" s="0" t="s">
        <v>655</v>
      </c>
      <c r="B3064" s="0" t="s">
        <v>39</v>
      </c>
      <c r="C3064" s="0" t="s">
        <v>40</v>
      </c>
      <c r="D3064" s="0" t="n">
        <v>24</v>
      </c>
      <c r="E3064" s="2" t="n">
        <v>40820.59375</v>
      </c>
      <c r="F3064" s="0" t="n">
        <v>2.58</v>
      </c>
      <c r="G3064" s="0" t="n">
        <v>13513</v>
      </c>
      <c r="H3064" s="3" t="s">
        <v>97</v>
      </c>
      <c r="I3064" s="4" t="n">
        <f aca="false">D3064*F3064</f>
        <v>61.92</v>
      </c>
      <c r="J3064" s="3" t="n">
        <f aca="false">IF(AND(LEFT(A3064,1)&lt;&gt;"C",D3064&gt;0,F3064&gt;0),1,0)</f>
        <v>1</v>
      </c>
      <c r="K3064" s="3" t="n">
        <f aca="false">IF(AND(H3064="United Kingdom",G3064&lt;&gt;"",COUNTIFS($G$2:G3064,G3064,$H$2:H3064,"United Kingdom")=1),1,0)</f>
        <v>0</v>
      </c>
    </row>
    <row r="3065" customFormat="false" ht="15" hidden="false" customHeight="false" outlineLevel="0" collapsed="false">
      <c r="A3065" s="0" t="s">
        <v>655</v>
      </c>
      <c r="B3065" s="0" t="s">
        <v>77</v>
      </c>
      <c r="C3065" s="0" t="s">
        <v>78</v>
      </c>
      <c r="D3065" s="0" t="n">
        <v>2</v>
      </c>
      <c r="E3065" s="2" t="n">
        <v>40820.59375</v>
      </c>
      <c r="F3065" s="0" t="n">
        <v>3.41</v>
      </c>
      <c r="G3065" s="0" t="n">
        <v>13513</v>
      </c>
      <c r="H3065" s="3" t="s">
        <v>97</v>
      </c>
      <c r="I3065" s="4" t="n">
        <f aca="false">D3065*F3065</f>
        <v>6.82</v>
      </c>
      <c r="J3065" s="3" t="n">
        <f aca="false">IF(AND(LEFT(A3065,1)&lt;&gt;"C",D3065&gt;0,F3065&gt;0),1,0)</f>
        <v>1</v>
      </c>
      <c r="K3065" s="3" t="n">
        <f aca="false">IF(AND(H3065="United Kingdom",G3065&lt;&gt;"",COUNTIFS($G$2:G3065,G3065,$H$2:H3065,"United Kingdom")=1),1,0)</f>
        <v>0</v>
      </c>
    </row>
    <row r="3066" customFormat="false" ht="15" hidden="false" customHeight="false" outlineLevel="0" collapsed="false">
      <c r="A3066" s="0" t="s">
        <v>656</v>
      </c>
      <c r="B3066" s="0" t="s">
        <v>45</v>
      </c>
      <c r="C3066" s="0" t="s">
        <v>46</v>
      </c>
      <c r="D3066" s="0" t="n">
        <v>5</v>
      </c>
      <c r="E3066" s="2" t="n">
        <v>40820.7104166667</v>
      </c>
      <c r="F3066" s="0" t="n">
        <v>4.55</v>
      </c>
      <c r="G3066" s="0" t="n">
        <v>13777</v>
      </c>
      <c r="H3066" s="3" t="s">
        <v>120</v>
      </c>
      <c r="I3066" s="4" t="n">
        <f aca="false">D3066*F3066</f>
        <v>22.75</v>
      </c>
      <c r="J3066" s="3" t="n">
        <f aca="false">IF(AND(LEFT(A3066,1)&lt;&gt;"C",D3066&gt;0,F3066&gt;0),1,0)</f>
        <v>1</v>
      </c>
      <c r="K3066" s="3" t="n">
        <f aca="false">IF(AND(H3066="United Kingdom",G3066&lt;&gt;"",COUNTIFS($G$2:G3066,G3066,$H$2:H3066,"United Kingdom")=1),1,0)</f>
        <v>0</v>
      </c>
    </row>
    <row r="3067" customFormat="false" ht="15" hidden="false" customHeight="false" outlineLevel="0" collapsed="false">
      <c r="A3067" s="0" t="s">
        <v>656</v>
      </c>
      <c r="B3067" s="0" t="s">
        <v>17</v>
      </c>
      <c r="C3067" s="0" t="s">
        <v>18</v>
      </c>
      <c r="D3067" s="0" t="n">
        <v>31</v>
      </c>
      <c r="E3067" s="2" t="n">
        <v>40820.7104166667</v>
      </c>
      <c r="F3067" s="0" t="n">
        <v>1.92</v>
      </c>
      <c r="G3067" s="0" t="n">
        <v>13777</v>
      </c>
      <c r="H3067" s="3" t="s">
        <v>120</v>
      </c>
      <c r="I3067" s="4" t="n">
        <f aca="false">D3067*F3067</f>
        <v>59.52</v>
      </c>
      <c r="J3067" s="3" t="n">
        <f aca="false">IF(AND(LEFT(A3067,1)&lt;&gt;"C",D3067&gt;0,F3067&gt;0),1,0)</f>
        <v>1</v>
      </c>
      <c r="K3067" s="3" t="n">
        <f aca="false">IF(AND(H3067="United Kingdom",G3067&lt;&gt;"",COUNTIFS($G$2:G3067,G3067,$H$2:H3067,"United Kingdom")=1),1,0)</f>
        <v>0</v>
      </c>
    </row>
    <row r="3068" customFormat="false" ht="15" hidden="false" customHeight="false" outlineLevel="0" collapsed="false">
      <c r="A3068" s="0" t="s">
        <v>656</v>
      </c>
      <c r="B3068" s="0" t="s">
        <v>72</v>
      </c>
      <c r="C3068" s="0" t="s">
        <v>73</v>
      </c>
      <c r="D3068" s="0" t="n">
        <v>5</v>
      </c>
      <c r="E3068" s="2" t="n">
        <v>40820.7104166667</v>
      </c>
      <c r="F3068" s="0" t="n">
        <v>2.69</v>
      </c>
      <c r="G3068" s="0" t="n">
        <v>13777</v>
      </c>
      <c r="H3068" s="3" t="s">
        <v>120</v>
      </c>
      <c r="I3068" s="4" t="n">
        <f aca="false">D3068*F3068</f>
        <v>13.45</v>
      </c>
      <c r="J3068" s="3" t="n">
        <f aca="false">IF(AND(LEFT(A3068,1)&lt;&gt;"C",D3068&gt;0,F3068&gt;0),1,0)</f>
        <v>1</v>
      </c>
      <c r="K3068" s="3" t="n">
        <f aca="false">IF(AND(H3068="United Kingdom",G3068&lt;&gt;"",COUNTIFS($G$2:G3068,G3068,$H$2:H3068,"United Kingdom")=1),1,0)</f>
        <v>0</v>
      </c>
    </row>
    <row r="3069" customFormat="false" ht="15" hidden="false" customHeight="false" outlineLevel="0" collapsed="false">
      <c r="A3069" s="0" t="s">
        <v>656</v>
      </c>
      <c r="B3069" s="0" t="s">
        <v>43</v>
      </c>
      <c r="C3069" s="0" t="s">
        <v>44</v>
      </c>
      <c r="D3069" s="0" t="n">
        <v>5</v>
      </c>
      <c r="E3069" s="2" t="n">
        <v>40820.7104166667</v>
      </c>
      <c r="F3069" s="0" t="n">
        <v>1.35</v>
      </c>
      <c r="G3069" s="0" t="n">
        <v>13777</v>
      </c>
      <c r="H3069" s="3" t="s">
        <v>120</v>
      </c>
      <c r="I3069" s="4" t="n">
        <f aca="false">D3069*F3069</f>
        <v>6.75</v>
      </c>
      <c r="J3069" s="3" t="n">
        <f aca="false">IF(AND(LEFT(A3069,1)&lt;&gt;"C",D3069&gt;0,F3069&gt;0),1,0)</f>
        <v>1</v>
      </c>
      <c r="K3069" s="3" t="n">
        <f aca="false">IF(AND(H3069="United Kingdom",G3069&lt;&gt;"",COUNTIFS($G$2:G3069,G3069,$H$2:H3069,"United Kingdom")=1),1,0)</f>
        <v>0</v>
      </c>
    </row>
    <row r="3070" customFormat="false" ht="15" hidden="false" customHeight="false" outlineLevel="0" collapsed="false">
      <c r="A3070" s="0" t="s">
        <v>656</v>
      </c>
      <c r="B3070" s="0" t="s">
        <v>60</v>
      </c>
      <c r="C3070" s="0" t="s">
        <v>61</v>
      </c>
      <c r="D3070" s="0" t="n">
        <v>2</v>
      </c>
      <c r="E3070" s="2" t="n">
        <v>40820.7104166667</v>
      </c>
      <c r="F3070" s="0" t="n">
        <v>0.63</v>
      </c>
      <c r="G3070" s="0" t="n">
        <v>13777</v>
      </c>
      <c r="H3070" s="3" t="s">
        <v>120</v>
      </c>
      <c r="I3070" s="4" t="n">
        <f aca="false">D3070*F3070</f>
        <v>1.26</v>
      </c>
      <c r="J3070" s="3" t="n">
        <f aca="false">IF(AND(LEFT(A3070,1)&lt;&gt;"C",D3070&gt;0,F3070&gt;0),1,0)</f>
        <v>1</v>
      </c>
      <c r="K3070" s="3" t="n">
        <f aca="false">IF(AND(H3070="United Kingdom",G3070&lt;&gt;"",COUNTIFS($G$2:G3070,G3070,$H$2:H3070,"United Kingdom")=1),1,0)</f>
        <v>0</v>
      </c>
    </row>
    <row r="3071" customFormat="false" ht="15" hidden="false" customHeight="false" outlineLevel="0" collapsed="false">
      <c r="A3071" s="0" t="s">
        <v>656</v>
      </c>
      <c r="B3071" s="0" t="s">
        <v>32</v>
      </c>
      <c r="C3071" s="0" t="s">
        <v>33</v>
      </c>
      <c r="D3071" s="0" t="n">
        <v>5</v>
      </c>
      <c r="E3071" s="2" t="n">
        <v>40820.7104166667</v>
      </c>
      <c r="F3071" s="0" t="n">
        <v>1.19</v>
      </c>
      <c r="G3071" s="0" t="n">
        <v>13777</v>
      </c>
      <c r="H3071" s="3" t="s">
        <v>120</v>
      </c>
      <c r="I3071" s="4" t="n">
        <f aca="false">D3071*F3071</f>
        <v>5.95</v>
      </c>
      <c r="J3071" s="3" t="n">
        <f aca="false">IF(AND(LEFT(A3071,1)&lt;&gt;"C",D3071&gt;0,F3071&gt;0),1,0)</f>
        <v>1</v>
      </c>
      <c r="K3071" s="3" t="n">
        <f aca="false">IF(AND(H3071="United Kingdom",G3071&lt;&gt;"",COUNTIFS($G$2:G3071,G3071,$H$2:H3071,"United Kingdom")=1),1,0)</f>
        <v>0</v>
      </c>
    </row>
    <row r="3072" customFormat="false" ht="15" hidden="false" customHeight="false" outlineLevel="0" collapsed="false">
      <c r="A3072" s="0" t="s">
        <v>657</v>
      </c>
      <c r="B3072" s="0" t="s">
        <v>48</v>
      </c>
      <c r="C3072" s="0" t="s">
        <v>49</v>
      </c>
      <c r="D3072" s="0" t="n">
        <v>1</v>
      </c>
      <c r="E3072" s="2" t="n">
        <v>40821.4902777778</v>
      </c>
      <c r="F3072" s="0" t="n">
        <v>1.35</v>
      </c>
      <c r="G3072" s="0" t="n">
        <v>16238</v>
      </c>
      <c r="H3072" s="3" t="s">
        <v>14</v>
      </c>
      <c r="I3072" s="4" t="n">
        <f aca="false">D3072*F3072</f>
        <v>1.35</v>
      </c>
      <c r="J3072" s="3" t="n">
        <f aca="false">IF(AND(LEFT(A3072,1)&lt;&gt;"C",D3072&gt;0,F3072&gt;0),1,0)</f>
        <v>1</v>
      </c>
      <c r="K3072" s="3" t="n">
        <f aca="false">IF(AND(H3072="United Kingdom",G3072&lt;&gt;"",COUNTIFS($G$2:G3072,G3072,$H$2:H3072,"United Kingdom")=1),1,0)</f>
        <v>0</v>
      </c>
    </row>
    <row r="3073" customFormat="false" ht="15" hidden="false" customHeight="false" outlineLevel="0" collapsed="false">
      <c r="A3073" s="0" t="s">
        <v>657</v>
      </c>
      <c r="B3073" s="0" t="s">
        <v>17</v>
      </c>
      <c r="C3073" s="0" t="s">
        <v>18</v>
      </c>
      <c r="D3073" s="0" t="n">
        <v>4</v>
      </c>
      <c r="E3073" s="2" t="n">
        <v>40821.4902777778</v>
      </c>
      <c r="F3073" s="0" t="n">
        <v>1.92</v>
      </c>
      <c r="G3073" s="0" t="n">
        <v>16238</v>
      </c>
      <c r="H3073" s="3" t="s">
        <v>14</v>
      </c>
      <c r="I3073" s="4" t="n">
        <f aca="false">D3073*F3073</f>
        <v>7.68</v>
      </c>
      <c r="J3073" s="3" t="n">
        <f aca="false">IF(AND(LEFT(A3073,1)&lt;&gt;"C",D3073&gt;0,F3073&gt;0),1,0)</f>
        <v>1</v>
      </c>
      <c r="K3073" s="3" t="n">
        <f aca="false">IF(AND(H3073="United Kingdom",G3073&lt;&gt;"",COUNTIFS($G$2:G3073,G3073,$H$2:H3073,"United Kingdom")=1),1,0)</f>
        <v>0</v>
      </c>
    </row>
    <row r="3074" customFormat="false" ht="15" hidden="false" customHeight="false" outlineLevel="0" collapsed="false">
      <c r="A3074" s="0" t="s">
        <v>657</v>
      </c>
      <c r="B3074" s="0" t="s">
        <v>72</v>
      </c>
      <c r="C3074" s="0" t="s">
        <v>73</v>
      </c>
      <c r="D3074" s="0" t="n">
        <v>8</v>
      </c>
      <c r="E3074" s="2" t="n">
        <v>40821.4902777778</v>
      </c>
      <c r="F3074" s="0" t="n">
        <v>2.69</v>
      </c>
      <c r="G3074" s="0" t="n">
        <v>16238</v>
      </c>
      <c r="H3074" s="3" t="s">
        <v>14</v>
      </c>
      <c r="I3074" s="4" t="n">
        <f aca="false">D3074*F3074</f>
        <v>21.52</v>
      </c>
      <c r="J3074" s="3" t="n">
        <f aca="false">IF(AND(LEFT(A3074,1)&lt;&gt;"C",D3074&gt;0,F3074&gt;0),1,0)</f>
        <v>1</v>
      </c>
      <c r="K3074" s="3" t="n">
        <f aca="false">IF(AND(H3074="United Kingdom",G3074&lt;&gt;"",COUNTIFS($G$2:G3074,G3074,$H$2:H3074,"United Kingdom")=1),1,0)</f>
        <v>0</v>
      </c>
    </row>
    <row r="3075" customFormat="false" ht="15" hidden="false" customHeight="false" outlineLevel="0" collapsed="false">
      <c r="A3075" s="0" t="s">
        <v>657</v>
      </c>
      <c r="B3075" s="0" t="s">
        <v>113</v>
      </c>
      <c r="C3075" s="0" t="s">
        <v>114</v>
      </c>
      <c r="D3075" s="0" t="n">
        <v>2</v>
      </c>
      <c r="E3075" s="2" t="n">
        <v>40821.4902777778</v>
      </c>
      <c r="F3075" s="0" t="n">
        <v>3.57</v>
      </c>
      <c r="G3075" s="0" t="n">
        <v>16238</v>
      </c>
      <c r="H3075" s="3" t="s">
        <v>14</v>
      </c>
      <c r="I3075" s="4" t="n">
        <f aca="false">D3075*F3075</f>
        <v>7.14</v>
      </c>
      <c r="J3075" s="3" t="n">
        <f aca="false">IF(AND(LEFT(A3075,1)&lt;&gt;"C",D3075&gt;0,F3075&gt;0),1,0)</f>
        <v>1</v>
      </c>
      <c r="K3075" s="3" t="n">
        <f aca="false">IF(AND(H3075="United Kingdom",G3075&lt;&gt;"",COUNTIFS($G$2:G3075,G3075,$H$2:H3075,"United Kingdom")=1),1,0)</f>
        <v>0</v>
      </c>
    </row>
    <row r="3076" customFormat="false" ht="15" hidden="false" customHeight="false" outlineLevel="0" collapsed="false">
      <c r="A3076" s="0" t="s">
        <v>657</v>
      </c>
      <c r="B3076" s="0" t="s">
        <v>34</v>
      </c>
      <c r="C3076" s="0" t="s">
        <v>35</v>
      </c>
      <c r="D3076" s="0" t="n">
        <v>12</v>
      </c>
      <c r="E3076" s="2" t="n">
        <v>40821.4902777778</v>
      </c>
      <c r="F3076" s="0" t="n">
        <v>2.38</v>
      </c>
      <c r="G3076" s="0" t="n">
        <v>16238</v>
      </c>
      <c r="H3076" s="3" t="s">
        <v>14</v>
      </c>
      <c r="I3076" s="4" t="n">
        <f aca="false">D3076*F3076</f>
        <v>28.56</v>
      </c>
      <c r="J3076" s="3" t="n">
        <f aca="false">IF(AND(LEFT(A3076,1)&lt;&gt;"C",D3076&gt;0,F3076&gt;0),1,0)</f>
        <v>1</v>
      </c>
      <c r="K3076" s="3" t="n">
        <f aca="false">IF(AND(H3076="United Kingdom",G3076&lt;&gt;"",COUNTIFS($G$2:G3076,G3076,$H$2:H3076,"United Kingdom")=1),1,0)</f>
        <v>0</v>
      </c>
    </row>
    <row r="3077" customFormat="false" ht="15" hidden="false" customHeight="false" outlineLevel="0" collapsed="false">
      <c r="A3077" s="0" t="s">
        <v>657</v>
      </c>
      <c r="B3077" s="0" t="s">
        <v>29</v>
      </c>
      <c r="C3077" s="0" t="s">
        <v>30</v>
      </c>
      <c r="D3077" s="0" t="n">
        <v>12</v>
      </c>
      <c r="E3077" s="2" t="n">
        <v>40821.4902777778</v>
      </c>
      <c r="F3077" s="0" t="n">
        <v>5.79</v>
      </c>
      <c r="G3077" s="0" t="n">
        <v>16238</v>
      </c>
      <c r="H3077" s="3" t="s">
        <v>14</v>
      </c>
      <c r="I3077" s="4" t="n">
        <f aca="false">D3077*F3077</f>
        <v>69.48</v>
      </c>
      <c r="J3077" s="3" t="n">
        <f aca="false">IF(AND(LEFT(A3077,1)&lt;&gt;"C",D3077&gt;0,F3077&gt;0),1,0)</f>
        <v>1</v>
      </c>
      <c r="K3077" s="3" t="n">
        <f aca="false">IF(AND(H3077="United Kingdom",G3077&lt;&gt;"",COUNTIFS($G$2:G3077,G3077,$H$2:H3077,"United Kingdom")=1),1,0)</f>
        <v>0</v>
      </c>
    </row>
    <row r="3078" customFormat="false" ht="15" hidden="false" customHeight="false" outlineLevel="0" collapsed="false">
      <c r="A3078" s="0" t="s">
        <v>657</v>
      </c>
      <c r="B3078" s="0" t="s">
        <v>39</v>
      </c>
      <c r="C3078" s="0" t="s">
        <v>40</v>
      </c>
      <c r="D3078" s="0" t="n">
        <v>16</v>
      </c>
      <c r="E3078" s="2" t="n">
        <v>40821.4902777778</v>
      </c>
      <c r="F3078" s="0" t="n">
        <v>2.58</v>
      </c>
      <c r="G3078" s="0" t="n">
        <v>16238</v>
      </c>
      <c r="H3078" s="3" t="s">
        <v>14</v>
      </c>
      <c r="I3078" s="4" t="n">
        <f aca="false">D3078*F3078</f>
        <v>41.28</v>
      </c>
      <c r="J3078" s="3" t="n">
        <f aca="false">IF(AND(LEFT(A3078,1)&lt;&gt;"C",D3078&gt;0,F3078&gt;0),1,0)</f>
        <v>1</v>
      </c>
      <c r="K3078" s="3" t="n">
        <f aca="false">IF(AND(H3078="United Kingdom",G3078&lt;&gt;"",COUNTIFS($G$2:G3078,G3078,$H$2:H3078,"United Kingdom")=1),1,0)</f>
        <v>0</v>
      </c>
    </row>
    <row r="3079" customFormat="false" ht="15" hidden="false" customHeight="false" outlineLevel="0" collapsed="false">
      <c r="A3079" s="0" t="s">
        <v>657</v>
      </c>
      <c r="B3079" s="0" t="s">
        <v>50</v>
      </c>
      <c r="C3079" s="0" t="s">
        <v>51</v>
      </c>
      <c r="D3079" s="0" t="n">
        <v>6</v>
      </c>
      <c r="E3079" s="2" t="n">
        <v>40821.4902777778</v>
      </c>
      <c r="F3079" s="0" t="n">
        <v>5.41</v>
      </c>
      <c r="G3079" s="0" t="n">
        <v>16238</v>
      </c>
      <c r="H3079" s="3" t="s">
        <v>14</v>
      </c>
      <c r="I3079" s="4" t="n">
        <f aca="false">D3079*F3079</f>
        <v>32.46</v>
      </c>
      <c r="J3079" s="3" t="n">
        <f aca="false">IF(AND(LEFT(A3079,1)&lt;&gt;"C",D3079&gt;0,F3079&gt;0),1,0)</f>
        <v>1</v>
      </c>
      <c r="K3079" s="3" t="n">
        <f aca="false">IF(AND(H3079="United Kingdom",G3079&lt;&gt;"",COUNTIFS($G$2:G3079,G3079,$H$2:H3079,"United Kingdom")=1),1,0)</f>
        <v>0</v>
      </c>
    </row>
    <row r="3080" customFormat="false" ht="15" hidden="false" customHeight="false" outlineLevel="0" collapsed="false">
      <c r="A3080" s="0" t="s">
        <v>657</v>
      </c>
      <c r="B3080" s="0" t="s">
        <v>32</v>
      </c>
      <c r="C3080" s="0" t="s">
        <v>33</v>
      </c>
      <c r="D3080" s="0" t="n">
        <v>1</v>
      </c>
      <c r="E3080" s="2" t="n">
        <v>40821.4902777778</v>
      </c>
      <c r="F3080" s="0" t="n">
        <v>1.19</v>
      </c>
      <c r="G3080" s="0" t="n">
        <v>16238</v>
      </c>
      <c r="H3080" s="3" t="s">
        <v>14</v>
      </c>
      <c r="I3080" s="4" t="n">
        <f aca="false">D3080*F3080</f>
        <v>1.19</v>
      </c>
      <c r="J3080" s="3" t="n">
        <f aca="false">IF(AND(LEFT(A3080,1)&lt;&gt;"C",D3080&gt;0,F3080&gt;0),1,0)</f>
        <v>1</v>
      </c>
      <c r="K3080" s="3" t="n">
        <f aca="false">IF(AND(H3080="United Kingdom",G3080&lt;&gt;"",COUNTIFS($G$2:G3080,G3080,$H$2:H3080,"United Kingdom")=1),1,0)</f>
        <v>0</v>
      </c>
    </row>
    <row r="3081" customFormat="false" ht="15" hidden="false" customHeight="false" outlineLevel="0" collapsed="false">
      <c r="A3081" s="0" t="s">
        <v>657</v>
      </c>
      <c r="B3081" s="0" t="s">
        <v>22</v>
      </c>
      <c r="C3081" s="0" t="s">
        <v>23</v>
      </c>
      <c r="D3081" s="0" t="n">
        <v>2</v>
      </c>
      <c r="E3081" s="2" t="n">
        <v>40821.4902777778</v>
      </c>
      <c r="F3081" s="0" t="n">
        <v>3.18</v>
      </c>
      <c r="G3081" s="0" t="n">
        <v>16238</v>
      </c>
      <c r="H3081" s="3" t="s">
        <v>14</v>
      </c>
      <c r="I3081" s="4" t="n">
        <f aca="false">D3081*F3081</f>
        <v>6.36</v>
      </c>
      <c r="J3081" s="3" t="n">
        <f aca="false">IF(AND(LEFT(A3081,1)&lt;&gt;"C",D3081&gt;0,F3081&gt;0),1,0)</f>
        <v>1</v>
      </c>
      <c r="K3081" s="3" t="n">
        <f aca="false">IF(AND(H3081="United Kingdom",G3081&lt;&gt;"",COUNTIFS($G$2:G3081,G3081,$H$2:H3081,"United Kingdom")=1),1,0)</f>
        <v>0</v>
      </c>
    </row>
    <row r="3082" customFormat="false" ht="15" hidden="false" customHeight="false" outlineLevel="0" collapsed="false">
      <c r="A3082" s="0" t="s">
        <v>657</v>
      </c>
      <c r="B3082" s="0" t="s">
        <v>75</v>
      </c>
      <c r="C3082" s="0" t="s">
        <v>76</v>
      </c>
      <c r="D3082" s="0" t="n">
        <v>12</v>
      </c>
      <c r="E3082" s="2" t="n">
        <v>40821.4902777778</v>
      </c>
      <c r="F3082" s="0" t="n">
        <v>1.97</v>
      </c>
      <c r="G3082" s="0" t="n">
        <v>16238</v>
      </c>
      <c r="H3082" s="3" t="s">
        <v>14</v>
      </c>
      <c r="I3082" s="4" t="n">
        <f aca="false">D3082*F3082</f>
        <v>23.64</v>
      </c>
      <c r="J3082" s="3" t="n">
        <f aca="false">IF(AND(LEFT(A3082,1)&lt;&gt;"C",D3082&gt;0,F3082&gt;0),1,0)</f>
        <v>1</v>
      </c>
      <c r="K3082" s="3" t="n">
        <f aca="false">IF(AND(H3082="United Kingdom",G3082&lt;&gt;"",COUNTIFS($G$2:G3082,G3082,$H$2:H3082,"United Kingdom")=1),1,0)</f>
        <v>0</v>
      </c>
    </row>
    <row r="3083" customFormat="false" ht="15" hidden="false" customHeight="false" outlineLevel="0" collapsed="false">
      <c r="A3083" s="0" t="s">
        <v>658</v>
      </c>
      <c r="B3083" s="0" t="s">
        <v>60</v>
      </c>
      <c r="C3083" s="0" t="s">
        <v>61</v>
      </c>
      <c r="D3083" s="0" t="n">
        <v>8</v>
      </c>
      <c r="E3083" s="2" t="n">
        <v>40821.5583333333</v>
      </c>
      <c r="F3083" s="0" t="n">
        <v>0.63</v>
      </c>
      <c r="G3083" s="0" t="n">
        <v>17540</v>
      </c>
      <c r="H3083" s="3" t="s">
        <v>97</v>
      </c>
      <c r="I3083" s="4" t="n">
        <f aca="false">D3083*F3083</f>
        <v>5.04</v>
      </c>
      <c r="J3083" s="3" t="n">
        <f aca="false">IF(AND(LEFT(A3083,1)&lt;&gt;"C",D3083&gt;0,F3083&gt;0),1,0)</f>
        <v>1</v>
      </c>
      <c r="K3083" s="3" t="n">
        <f aca="false">IF(AND(H3083="United Kingdom",G3083&lt;&gt;"",COUNTIFS($G$2:G3083,G3083,$H$2:H3083,"United Kingdom")=1),1,0)</f>
        <v>0</v>
      </c>
    </row>
    <row r="3084" customFormat="false" ht="15" hidden="false" customHeight="false" outlineLevel="0" collapsed="false">
      <c r="A3084" s="0" t="s">
        <v>658</v>
      </c>
      <c r="B3084" s="0" t="s">
        <v>80</v>
      </c>
      <c r="C3084" s="0" t="s">
        <v>81</v>
      </c>
      <c r="D3084" s="0" t="n">
        <v>24</v>
      </c>
      <c r="E3084" s="2" t="n">
        <v>40821.5583333333</v>
      </c>
      <c r="F3084" s="0" t="n">
        <v>1.53</v>
      </c>
      <c r="G3084" s="0" t="n">
        <v>17540</v>
      </c>
      <c r="H3084" s="3" t="s">
        <v>97</v>
      </c>
      <c r="I3084" s="4" t="n">
        <f aca="false">D3084*F3084</f>
        <v>36.72</v>
      </c>
      <c r="J3084" s="3" t="n">
        <f aca="false">IF(AND(LEFT(A3084,1)&lt;&gt;"C",D3084&gt;0,F3084&gt;0),1,0)</f>
        <v>1</v>
      </c>
      <c r="K3084" s="3" t="n">
        <f aca="false">IF(AND(H3084="United Kingdom",G3084&lt;&gt;"",COUNTIFS($G$2:G3084,G3084,$H$2:H3084,"United Kingdom")=1),1,0)</f>
        <v>0</v>
      </c>
    </row>
    <row r="3085" customFormat="false" ht="15" hidden="false" customHeight="false" outlineLevel="0" collapsed="false">
      <c r="A3085" s="0" t="s">
        <v>658</v>
      </c>
      <c r="B3085" s="0" t="s">
        <v>41</v>
      </c>
      <c r="C3085" s="0" t="s">
        <v>42</v>
      </c>
      <c r="D3085" s="0" t="n">
        <v>4</v>
      </c>
      <c r="E3085" s="2" t="n">
        <v>40821.5583333333</v>
      </c>
      <c r="F3085" s="0" t="n">
        <v>3.28</v>
      </c>
      <c r="G3085" s="0" t="n">
        <v>17540</v>
      </c>
      <c r="H3085" s="3" t="s">
        <v>97</v>
      </c>
      <c r="I3085" s="4" t="n">
        <f aca="false">D3085*F3085</f>
        <v>13.12</v>
      </c>
      <c r="J3085" s="3" t="n">
        <f aca="false">IF(AND(LEFT(A3085,1)&lt;&gt;"C",D3085&gt;0,F3085&gt;0),1,0)</f>
        <v>1</v>
      </c>
      <c r="K3085" s="3" t="n">
        <f aca="false">IF(AND(H3085="United Kingdom",G3085&lt;&gt;"",COUNTIFS($G$2:G3085,G3085,$H$2:H3085,"United Kingdom")=1),1,0)</f>
        <v>0</v>
      </c>
    </row>
    <row r="3086" customFormat="false" ht="15" hidden="false" customHeight="false" outlineLevel="0" collapsed="false">
      <c r="A3086" s="0" t="s">
        <v>658</v>
      </c>
      <c r="B3086" s="0" t="s">
        <v>39</v>
      </c>
      <c r="C3086" s="0" t="s">
        <v>40</v>
      </c>
      <c r="D3086" s="0" t="n">
        <v>8</v>
      </c>
      <c r="E3086" s="2" t="n">
        <v>40821.5583333333</v>
      </c>
      <c r="F3086" s="0" t="n">
        <v>2.58</v>
      </c>
      <c r="G3086" s="0" t="n">
        <v>17540</v>
      </c>
      <c r="H3086" s="3" t="s">
        <v>97</v>
      </c>
      <c r="I3086" s="4" t="n">
        <f aca="false">D3086*F3086</f>
        <v>20.64</v>
      </c>
      <c r="J3086" s="3" t="n">
        <f aca="false">IF(AND(LEFT(A3086,1)&lt;&gt;"C",D3086&gt;0,F3086&gt;0),1,0)</f>
        <v>1</v>
      </c>
      <c r="K3086" s="3" t="n">
        <f aca="false">IF(AND(H3086="United Kingdom",G3086&lt;&gt;"",COUNTIFS($G$2:G3086,G3086,$H$2:H3086,"United Kingdom")=1),1,0)</f>
        <v>0</v>
      </c>
    </row>
    <row r="3087" customFormat="false" ht="15" hidden="false" customHeight="false" outlineLevel="0" collapsed="false">
      <c r="A3087" s="0" t="s">
        <v>658</v>
      </c>
      <c r="B3087" s="0" t="s">
        <v>58</v>
      </c>
      <c r="C3087" s="0" t="s">
        <v>59</v>
      </c>
      <c r="D3087" s="0" t="n">
        <v>4</v>
      </c>
      <c r="E3087" s="2" t="n">
        <v>40821.5583333333</v>
      </c>
      <c r="F3087" s="0" t="n">
        <v>2.16</v>
      </c>
      <c r="G3087" s="0" t="n">
        <v>17540</v>
      </c>
      <c r="H3087" s="3" t="s">
        <v>97</v>
      </c>
      <c r="I3087" s="4" t="n">
        <f aca="false">D3087*F3087</f>
        <v>8.64</v>
      </c>
      <c r="J3087" s="3" t="n">
        <f aca="false">IF(AND(LEFT(A3087,1)&lt;&gt;"C",D3087&gt;0,F3087&gt;0),1,0)</f>
        <v>1</v>
      </c>
      <c r="K3087" s="3" t="n">
        <f aca="false">IF(AND(H3087="United Kingdom",G3087&lt;&gt;"",COUNTIFS($G$2:G3087,G3087,$H$2:H3087,"United Kingdom")=1),1,0)</f>
        <v>0</v>
      </c>
    </row>
    <row r="3088" customFormat="false" ht="15" hidden="false" customHeight="false" outlineLevel="0" collapsed="false">
      <c r="A3088" s="0" t="s">
        <v>658</v>
      </c>
      <c r="B3088" s="0" t="s">
        <v>37</v>
      </c>
      <c r="C3088" s="0" t="s">
        <v>38</v>
      </c>
      <c r="D3088" s="0" t="n">
        <v>6</v>
      </c>
      <c r="E3088" s="2" t="n">
        <v>40821.5583333333</v>
      </c>
      <c r="F3088" s="0" t="n">
        <v>1.82</v>
      </c>
      <c r="G3088" s="0" t="n">
        <v>17540</v>
      </c>
      <c r="H3088" s="3" t="s">
        <v>97</v>
      </c>
      <c r="I3088" s="4" t="n">
        <f aca="false">D3088*F3088</f>
        <v>10.92</v>
      </c>
      <c r="J3088" s="3" t="n">
        <f aca="false">IF(AND(LEFT(A3088,1)&lt;&gt;"C",D3088&gt;0,F3088&gt;0),1,0)</f>
        <v>1</v>
      </c>
      <c r="K3088" s="3" t="n">
        <f aca="false">IF(AND(H3088="United Kingdom",G3088&lt;&gt;"",COUNTIFS($G$2:G3088,G3088,$H$2:H3088,"United Kingdom")=1),1,0)</f>
        <v>0</v>
      </c>
    </row>
    <row r="3089" customFormat="false" ht="15" hidden="false" customHeight="false" outlineLevel="0" collapsed="false">
      <c r="A3089" s="0" t="s">
        <v>658</v>
      </c>
      <c r="B3089" s="0" t="s">
        <v>22</v>
      </c>
      <c r="C3089" s="0" t="s">
        <v>23</v>
      </c>
      <c r="D3089" s="0" t="n">
        <v>16</v>
      </c>
      <c r="E3089" s="2" t="n">
        <v>40821.5583333333</v>
      </c>
      <c r="F3089" s="0" t="n">
        <v>3.18</v>
      </c>
      <c r="G3089" s="0" t="n">
        <v>17540</v>
      </c>
      <c r="H3089" s="3" t="s">
        <v>97</v>
      </c>
      <c r="I3089" s="4" t="n">
        <f aca="false">D3089*F3089</f>
        <v>50.88</v>
      </c>
      <c r="J3089" s="3" t="n">
        <f aca="false">IF(AND(LEFT(A3089,1)&lt;&gt;"C",D3089&gt;0,F3089&gt;0),1,0)</f>
        <v>1</v>
      </c>
      <c r="K3089" s="3" t="n">
        <f aca="false">IF(AND(H3089="United Kingdom",G3089&lt;&gt;"",COUNTIFS($G$2:G3089,G3089,$H$2:H3089,"United Kingdom")=1),1,0)</f>
        <v>0</v>
      </c>
    </row>
    <row r="3090" customFormat="false" ht="15" hidden="false" customHeight="false" outlineLevel="0" collapsed="false">
      <c r="A3090" s="0" t="s">
        <v>658</v>
      </c>
      <c r="B3090" s="0" t="s">
        <v>48</v>
      </c>
      <c r="C3090" s="0" t="s">
        <v>49</v>
      </c>
      <c r="D3090" s="0" t="n">
        <v>6</v>
      </c>
      <c r="E3090" s="2" t="n">
        <v>40821.5583333333</v>
      </c>
      <c r="F3090" s="0" t="n">
        <v>1.35</v>
      </c>
      <c r="G3090" s="0" t="n">
        <v>17540</v>
      </c>
      <c r="H3090" s="3" t="s">
        <v>97</v>
      </c>
      <c r="I3090" s="4" t="n">
        <f aca="false">D3090*F3090</f>
        <v>8.1</v>
      </c>
      <c r="J3090" s="3" t="n">
        <f aca="false">IF(AND(LEFT(A3090,1)&lt;&gt;"C",D3090&gt;0,F3090&gt;0),1,0)</f>
        <v>1</v>
      </c>
      <c r="K3090" s="3" t="n">
        <f aca="false">IF(AND(H3090="United Kingdom",G3090&lt;&gt;"",COUNTIFS($G$2:G3090,G3090,$H$2:H3090,"United Kingdom")=1),1,0)</f>
        <v>0</v>
      </c>
    </row>
    <row r="3091" customFormat="false" ht="15" hidden="false" customHeight="false" outlineLevel="0" collapsed="false">
      <c r="A3091" s="0" t="s">
        <v>658</v>
      </c>
      <c r="B3091" s="0" t="s">
        <v>12</v>
      </c>
      <c r="C3091" s="0" t="s">
        <v>13</v>
      </c>
      <c r="D3091" s="0" t="n">
        <v>6</v>
      </c>
      <c r="E3091" s="2" t="n">
        <v>40821.5583333333</v>
      </c>
      <c r="F3091" s="0" t="n">
        <v>3.33</v>
      </c>
      <c r="G3091" s="0" t="n">
        <v>17540</v>
      </c>
      <c r="H3091" s="3" t="s">
        <v>97</v>
      </c>
      <c r="I3091" s="4" t="n">
        <f aca="false">D3091*F3091</f>
        <v>19.98</v>
      </c>
      <c r="J3091" s="3" t="n">
        <f aca="false">IF(AND(LEFT(A3091,1)&lt;&gt;"C",D3091&gt;0,F3091&gt;0),1,0)</f>
        <v>1</v>
      </c>
      <c r="K3091" s="3" t="n">
        <f aca="false">IF(AND(H3091="United Kingdom",G3091&lt;&gt;"",COUNTIFS($G$2:G3091,G3091,$H$2:H3091,"United Kingdom")=1),1,0)</f>
        <v>0</v>
      </c>
    </row>
    <row r="3092" customFormat="false" ht="15" hidden="false" customHeight="false" outlineLevel="0" collapsed="false">
      <c r="A3092" s="0" t="s">
        <v>658</v>
      </c>
      <c r="B3092" s="0" t="s">
        <v>29</v>
      </c>
      <c r="C3092" s="0" t="s">
        <v>30</v>
      </c>
      <c r="D3092" s="0" t="n">
        <v>16</v>
      </c>
      <c r="E3092" s="2" t="n">
        <v>40821.5583333333</v>
      </c>
      <c r="F3092" s="0" t="n">
        <v>5.79</v>
      </c>
      <c r="G3092" s="0" t="n">
        <v>17540</v>
      </c>
      <c r="H3092" s="3" t="s">
        <v>97</v>
      </c>
      <c r="I3092" s="4" t="n">
        <f aca="false">D3092*F3092</f>
        <v>92.64</v>
      </c>
      <c r="J3092" s="3" t="n">
        <f aca="false">IF(AND(LEFT(A3092,1)&lt;&gt;"C",D3092&gt;0,F3092&gt;0),1,0)</f>
        <v>1</v>
      </c>
      <c r="K3092" s="3" t="n">
        <f aca="false">IF(AND(H3092="United Kingdom",G3092&lt;&gt;"",COUNTIFS($G$2:G3092,G3092,$H$2:H3092,"United Kingdom")=1),1,0)</f>
        <v>0</v>
      </c>
    </row>
    <row r="3093" customFormat="false" ht="15" hidden="false" customHeight="false" outlineLevel="0" collapsed="false">
      <c r="A3093" s="0" t="s">
        <v>658</v>
      </c>
      <c r="B3093" s="0" t="s">
        <v>54</v>
      </c>
      <c r="C3093" s="0" t="s">
        <v>55</v>
      </c>
      <c r="D3093" s="0" t="n">
        <v>2</v>
      </c>
      <c r="E3093" s="2" t="n">
        <v>40821.5583333333</v>
      </c>
      <c r="F3093" s="0" t="n">
        <v>0.99</v>
      </c>
      <c r="G3093" s="0" t="n">
        <v>17540</v>
      </c>
      <c r="H3093" s="3" t="s">
        <v>97</v>
      </c>
      <c r="I3093" s="4" t="n">
        <f aca="false">D3093*F3093</f>
        <v>1.98</v>
      </c>
      <c r="J3093" s="3" t="n">
        <f aca="false">IF(AND(LEFT(A3093,1)&lt;&gt;"C",D3093&gt;0,F3093&gt;0),1,0)</f>
        <v>1</v>
      </c>
      <c r="K3093" s="3" t="n">
        <f aca="false">IF(AND(H3093="United Kingdom",G3093&lt;&gt;"",COUNTIFS($G$2:G3093,G3093,$H$2:H3093,"United Kingdom")=1),1,0)</f>
        <v>0</v>
      </c>
    </row>
    <row r="3094" customFormat="false" ht="15" hidden="false" customHeight="false" outlineLevel="0" collapsed="false">
      <c r="A3094" s="0" t="s">
        <v>658</v>
      </c>
      <c r="B3094" s="0" t="s">
        <v>45</v>
      </c>
      <c r="C3094" s="0" t="s">
        <v>46</v>
      </c>
      <c r="D3094" s="0" t="n">
        <v>12</v>
      </c>
      <c r="E3094" s="2" t="n">
        <v>40821.5583333333</v>
      </c>
      <c r="F3094" s="0" t="n">
        <v>4.55</v>
      </c>
      <c r="G3094" s="0" t="n">
        <v>17540</v>
      </c>
      <c r="H3094" s="3" t="s">
        <v>97</v>
      </c>
      <c r="I3094" s="4" t="n">
        <f aca="false">D3094*F3094</f>
        <v>54.6</v>
      </c>
      <c r="J3094" s="3" t="n">
        <f aca="false">IF(AND(LEFT(A3094,1)&lt;&gt;"C",D3094&gt;0,F3094&gt;0),1,0)</f>
        <v>1</v>
      </c>
      <c r="K3094" s="3" t="n">
        <f aca="false">IF(AND(H3094="United Kingdom",G3094&lt;&gt;"",COUNTIFS($G$2:G3094,G3094,$H$2:H3094,"United Kingdom")=1),1,0)</f>
        <v>0</v>
      </c>
    </row>
    <row r="3095" customFormat="false" ht="15" hidden="false" customHeight="false" outlineLevel="0" collapsed="false">
      <c r="A3095" s="0" t="s">
        <v>658</v>
      </c>
      <c r="B3095" s="0" t="s">
        <v>52</v>
      </c>
      <c r="C3095" s="0" t="s">
        <v>53</v>
      </c>
      <c r="D3095" s="0" t="n">
        <v>4</v>
      </c>
      <c r="E3095" s="2" t="n">
        <v>40821.5583333333</v>
      </c>
      <c r="F3095" s="0" t="n">
        <v>4.16</v>
      </c>
      <c r="G3095" s="0" t="n">
        <v>17540</v>
      </c>
      <c r="H3095" s="3" t="s">
        <v>97</v>
      </c>
      <c r="I3095" s="4" t="n">
        <f aca="false">D3095*F3095</f>
        <v>16.64</v>
      </c>
      <c r="J3095" s="3" t="n">
        <f aca="false">IF(AND(LEFT(A3095,1)&lt;&gt;"C",D3095&gt;0,F3095&gt;0),1,0)</f>
        <v>1</v>
      </c>
      <c r="K3095" s="3" t="n">
        <f aca="false">IF(AND(H3095="United Kingdom",G3095&lt;&gt;"",COUNTIFS($G$2:G3095,G3095,$H$2:H3095,"United Kingdom")=1),1,0)</f>
        <v>0</v>
      </c>
    </row>
    <row r="3096" customFormat="false" ht="15" hidden="false" customHeight="false" outlineLevel="0" collapsed="false">
      <c r="A3096" s="0" t="s">
        <v>659</v>
      </c>
      <c r="B3096" s="0" t="s">
        <v>25</v>
      </c>
      <c r="C3096" s="0" t="s">
        <v>26</v>
      </c>
      <c r="D3096" s="0" t="n">
        <v>6</v>
      </c>
      <c r="E3096" s="2" t="n">
        <v>40822.6152777778</v>
      </c>
      <c r="F3096" s="0" t="n">
        <v>2.21</v>
      </c>
      <c r="G3096" s="0" t="n">
        <v>13970</v>
      </c>
      <c r="H3096" s="3" t="s">
        <v>14</v>
      </c>
      <c r="I3096" s="4" t="n">
        <f aca="false">D3096*F3096</f>
        <v>13.26</v>
      </c>
      <c r="J3096" s="3" t="n">
        <f aca="false">IF(AND(LEFT(A3096,1)&lt;&gt;"C",D3096&gt;0,F3096&gt;0),1,0)</f>
        <v>1</v>
      </c>
      <c r="K3096" s="3" t="n">
        <f aca="false">IF(AND(H3096="United Kingdom",G3096&lt;&gt;"",COUNTIFS($G$2:G3096,G3096,$H$2:H3096,"United Kingdom")=1),1,0)</f>
        <v>0</v>
      </c>
    </row>
    <row r="3097" customFormat="false" ht="15" hidden="false" customHeight="false" outlineLevel="0" collapsed="false">
      <c r="A3097" s="0" t="s">
        <v>659</v>
      </c>
      <c r="B3097" s="0" t="s">
        <v>72</v>
      </c>
      <c r="C3097" s="0" t="s">
        <v>73</v>
      </c>
      <c r="D3097" s="0" t="n">
        <v>4</v>
      </c>
      <c r="E3097" s="2" t="n">
        <v>40822.6152777778</v>
      </c>
      <c r="F3097" s="0" t="n">
        <v>2.69</v>
      </c>
      <c r="G3097" s="0" t="n">
        <v>13970</v>
      </c>
      <c r="H3097" s="3" t="s">
        <v>14</v>
      </c>
      <c r="I3097" s="4" t="n">
        <f aca="false">D3097*F3097</f>
        <v>10.76</v>
      </c>
      <c r="J3097" s="3" t="n">
        <f aca="false">IF(AND(LEFT(A3097,1)&lt;&gt;"C",D3097&gt;0,F3097&gt;0),1,0)</f>
        <v>1</v>
      </c>
      <c r="K3097" s="3" t="n">
        <f aca="false">IF(AND(H3097="United Kingdom",G3097&lt;&gt;"",COUNTIFS($G$2:G3097,G3097,$H$2:H3097,"United Kingdom")=1),1,0)</f>
        <v>0</v>
      </c>
    </row>
    <row r="3098" customFormat="false" ht="15" hidden="false" customHeight="false" outlineLevel="0" collapsed="false">
      <c r="A3098" s="0" t="s">
        <v>659</v>
      </c>
      <c r="B3098" s="0" t="s">
        <v>22</v>
      </c>
      <c r="C3098" s="0" t="s">
        <v>23</v>
      </c>
      <c r="D3098" s="0" t="n">
        <v>1</v>
      </c>
      <c r="E3098" s="2" t="n">
        <v>40822.6152777778</v>
      </c>
      <c r="F3098" s="0" t="n">
        <v>3.18</v>
      </c>
      <c r="G3098" s="0" t="n">
        <v>13970</v>
      </c>
      <c r="H3098" s="3" t="s">
        <v>14</v>
      </c>
      <c r="I3098" s="4" t="n">
        <f aca="false">D3098*F3098</f>
        <v>3.18</v>
      </c>
      <c r="J3098" s="3" t="n">
        <f aca="false">IF(AND(LEFT(A3098,1)&lt;&gt;"C",D3098&gt;0,F3098&gt;0),1,0)</f>
        <v>1</v>
      </c>
      <c r="K3098" s="3" t="n">
        <f aca="false">IF(AND(H3098="United Kingdom",G3098&lt;&gt;"",COUNTIFS($G$2:G3098,G3098,$H$2:H3098,"United Kingdom")=1),1,0)</f>
        <v>0</v>
      </c>
    </row>
    <row r="3099" customFormat="false" ht="15" hidden="false" customHeight="false" outlineLevel="0" collapsed="false">
      <c r="A3099" s="0" t="s">
        <v>660</v>
      </c>
      <c r="B3099" s="0" t="s">
        <v>60</v>
      </c>
      <c r="C3099" s="0" t="s">
        <v>61</v>
      </c>
      <c r="D3099" s="0" t="n">
        <v>216</v>
      </c>
      <c r="E3099" s="2" t="n">
        <v>40822.6527777778</v>
      </c>
      <c r="F3099" s="0" t="n">
        <v>0.63</v>
      </c>
      <c r="G3099" s="0" t="n">
        <v>17746</v>
      </c>
      <c r="H3099" s="3" t="s">
        <v>14</v>
      </c>
      <c r="I3099" s="4" t="n">
        <f aca="false">D3099*F3099</f>
        <v>136.08</v>
      </c>
      <c r="J3099" s="3" t="n">
        <f aca="false">IF(AND(LEFT(A3099,1)&lt;&gt;"C",D3099&gt;0,F3099&gt;0),1,0)</f>
        <v>1</v>
      </c>
      <c r="K3099" s="3" t="n">
        <f aca="false">IF(AND(H3099="United Kingdom",G3099&lt;&gt;"",COUNTIFS($G$2:G3099,G3099,$H$2:H3099,"United Kingdom")=1),1,0)</f>
        <v>0</v>
      </c>
    </row>
    <row r="3100" customFormat="false" ht="15" hidden="false" customHeight="false" outlineLevel="0" collapsed="false">
      <c r="A3100" s="0" t="s">
        <v>660</v>
      </c>
      <c r="B3100" s="0" t="s">
        <v>52</v>
      </c>
      <c r="C3100" s="0" t="s">
        <v>53</v>
      </c>
      <c r="D3100" s="0" t="n">
        <v>108</v>
      </c>
      <c r="E3100" s="2" t="n">
        <v>40822.6527777778</v>
      </c>
      <c r="F3100" s="0" t="n">
        <v>4.16</v>
      </c>
      <c r="G3100" s="0" t="n">
        <v>17746</v>
      </c>
      <c r="H3100" s="3" t="s">
        <v>14</v>
      </c>
      <c r="I3100" s="4" t="n">
        <f aca="false">D3100*F3100</f>
        <v>449.28</v>
      </c>
      <c r="J3100" s="3" t="n">
        <f aca="false">IF(AND(LEFT(A3100,1)&lt;&gt;"C",D3100&gt;0,F3100&gt;0),1,0)</f>
        <v>1</v>
      </c>
      <c r="K3100" s="3" t="n">
        <f aca="false">IF(AND(H3100="United Kingdom",G3100&lt;&gt;"",COUNTIFS($G$2:G3100,G3100,$H$2:H3100,"United Kingdom")=1),1,0)</f>
        <v>0</v>
      </c>
    </row>
    <row r="3101" customFormat="false" ht="15" hidden="false" customHeight="false" outlineLevel="0" collapsed="false">
      <c r="A3101" s="0" t="s">
        <v>660</v>
      </c>
      <c r="B3101" s="0" t="s">
        <v>32</v>
      </c>
      <c r="C3101" s="0" t="s">
        <v>33</v>
      </c>
      <c r="D3101" s="0" t="n">
        <v>48</v>
      </c>
      <c r="E3101" s="2" t="n">
        <v>40822.6527777778</v>
      </c>
      <c r="F3101" s="0" t="n">
        <v>1.19</v>
      </c>
      <c r="G3101" s="0" t="n">
        <v>17746</v>
      </c>
      <c r="H3101" s="3" t="s">
        <v>14</v>
      </c>
      <c r="I3101" s="4" t="n">
        <f aca="false">D3101*F3101</f>
        <v>57.12</v>
      </c>
      <c r="J3101" s="3" t="n">
        <f aca="false">IF(AND(LEFT(A3101,1)&lt;&gt;"C",D3101&gt;0,F3101&gt;0),1,0)</f>
        <v>1</v>
      </c>
      <c r="K3101" s="3" t="n">
        <f aca="false">IF(AND(H3101="United Kingdom",G3101&lt;&gt;"",COUNTIFS($G$2:G3101,G3101,$H$2:H3101,"United Kingdom")=1),1,0)</f>
        <v>0</v>
      </c>
    </row>
    <row r="3102" customFormat="false" ht="15" hidden="false" customHeight="false" outlineLevel="0" collapsed="false">
      <c r="A3102" s="0" t="s">
        <v>660</v>
      </c>
      <c r="B3102" s="0" t="s">
        <v>48</v>
      </c>
      <c r="C3102" s="0" t="s">
        <v>49</v>
      </c>
      <c r="D3102" s="0" t="n">
        <v>24</v>
      </c>
      <c r="E3102" s="2" t="n">
        <v>40822.6527777778</v>
      </c>
      <c r="F3102" s="0" t="n">
        <v>1.35</v>
      </c>
      <c r="G3102" s="0" t="n">
        <v>17746</v>
      </c>
      <c r="H3102" s="3" t="s">
        <v>14</v>
      </c>
      <c r="I3102" s="4" t="n">
        <f aca="false">D3102*F3102</f>
        <v>32.4</v>
      </c>
      <c r="J3102" s="3" t="n">
        <f aca="false">IF(AND(LEFT(A3102,1)&lt;&gt;"C",D3102&gt;0,F3102&gt;0),1,0)</f>
        <v>1</v>
      </c>
      <c r="K3102" s="3" t="n">
        <f aca="false">IF(AND(H3102="United Kingdom",G3102&lt;&gt;"",COUNTIFS($G$2:G3102,G3102,$H$2:H3102,"United Kingdom")=1),1,0)</f>
        <v>0</v>
      </c>
    </row>
    <row r="3103" customFormat="false" ht="15" hidden="false" customHeight="false" outlineLevel="0" collapsed="false">
      <c r="A3103" s="0" t="s">
        <v>660</v>
      </c>
      <c r="B3103" s="0" t="s">
        <v>45</v>
      </c>
      <c r="C3103" s="0" t="s">
        <v>46</v>
      </c>
      <c r="D3103" s="0" t="n">
        <v>144</v>
      </c>
      <c r="E3103" s="2" t="n">
        <v>40822.6527777778</v>
      </c>
      <c r="F3103" s="0" t="n">
        <v>4.55</v>
      </c>
      <c r="G3103" s="0" t="n">
        <v>17746</v>
      </c>
      <c r="H3103" s="3" t="s">
        <v>14</v>
      </c>
      <c r="I3103" s="4" t="n">
        <f aca="false">D3103*F3103</f>
        <v>655.2</v>
      </c>
      <c r="J3103" s="3" t="n">
        <f aca="false">IF(AND(LEFT(A3103,1)&lt;&gt;"C",D3103&gt;0,F3103&gt;0),1,0)</f>
        <v>1</v>
      </c>
      <c r="K3103" s="3" t="n">
        <f aca="false">IF(AND(H3103="United Kingdom",G3103&lt;&gt;"",COUNTIFS($G$2:G3103,G3103,$H$2:H3103,"United Kingdom")=1),1,0)</f>
        <v>0</v>
      </c>
    </row>
    <row r="3104" customFormat="false" ht="15" hidden="false" customHeight="false" outlineLevel="0" collapsed="false">
      <c r="A3104" s="0" t="s">
        <v>660</v>
      </c>
      <c r="B3104" s="0" t="s">
        <v>65</v>
      </c>
      <c r="C3104" s="0" t="s">
        <v>66</v>
      </c>
      <c r="D3104" s="0" t="n">
        <v>72</v>
      </c>
      <c r="E3104" s="2" t="n">
        <v>40822.6527777778</v>
      </c>
      <c r="F3104" s="0" t="n">
        <v>4.75</v>
      </c>
      <c r="G3104" s="0" t="n">
        <v>17746</v>
      </c>
      <c r="H3104" s="3" t="s">
        <v>14</v>
      </c>
      <c r="I3104" s="4" t="n">
        <f aca="false">D3104*F3104</f>
        <v>342</v>
      </c>
      <c r="J3104" s="3" t="n">
        <f aca="false">IF(AND(LEFT(A3104,1)&lt;&gt;"C",D3104&gt;0,F3104&gt;0),1,0)</f>
        <v>1</v>
      </c>
      <c r="K3104" s="3" t="n">
        <f aca="false">IF(AND(H3104="United Kingdom",G3104&lt;&gt;"",COUNTIFS($G$2:G3104,G3104,$H$2:H3104,"United Kingdom")=1),1,0)</f>
        <v>0</v>
      </c>
    </row>
    <row r="3105" customFormat="false" ht="15" hidden="false" customHeight="false" outlineLevel="0" collapsed="false">
      <c r="A3105" s="0" t="s">
        <v>660</v>
      </c>
      <c r="B3105" s="0" t="s">
        <v>17</v>
      </c>
      <c r="C3105" s="0" t="s">
        <v>18</v>
      </c>
      <c r="D3105" s="0" t="n">
        <v>96</v>
      </c>
      <c r="E3105" s="2" t="n">
        <v>40822.6527777778</v>
      </c>
      <c r="F3105" s="0" t="n">
        <v>1.92</v>
      </c>
      <c r="G3105" s="0" t="n">
        <v>17746</v>
      </c>
      <c r="H3105" s="3" t="s">
        <v>14</v>
      </c>
      <c r="I3105" s="4" t="n">
        <f aca="false">D3105*F3105</f>
        <v>184.32</v>
      </c>
      <c r="J3105" s="3" t="n">
        <f aca="false">IF(AND(LEFT(A3105,1)&lt;&gt;"C",D3105&gt;0,F3105&gt;0),1,0)</f>
        <v>1</v>
      </c>
      <c r="K3105" s="3" t="n">
        <f aca="false">IF(AND(H3105="United Kingdom",G3105&lt;&gt;"",COUNTIFS($G$2:G3105,G3105,$H$2:H3105,"United Kingdom")=1),1,0)</f>
        <v>0</v>
      </c>
    </row>
    <row r="3106" customFormat="false" ht="15" hidden="false" customHeight="false" outlineLevel="0" collapsed="false">
      <c r="A3106" s="0" t="s">
        <v>660</v>
      </c>
      <c r="B3106" s="0" t="s">
        <v>37</v>
      </c>
      <c r="C3106" s="0" t="s">
        <v>38</v>
      </c>
      <c r="D3106" s="0" t="n">
        <v>48</v>
      </c>
      <c r="E3106" s="2" t="n">
        <v>40822.6527777778</v>
      </c>
      <c r="F3106" s="0" t="n">
        <v>1.82</v>
      </c>
      <c r="G3106" s="0" t="n">
        <v>17746</v>
      </c>
      <c r="H3106" s="3" t="s">
        <v>14</v>
      </c>
      <c r="I3106" s="4" t="n">
        <f aca="false">D3106*F3106</f>
        <v>87.36</v>
      </c>
      <c r="J3106" s="3" t="n">
        <f aca="false">IF(AND(LEFT(A3106,1)&lt;&gt;"C",D3106&gt;0,F3106&gt;0),1,0)</f>
        <v>1</v>
      </c>
      <c r="K3106" s="3" t="n">
        <f aca="false">IF(AND(H3106="United Kingdom",G3106&lt;&gt;"",COUNTIFS($G$2:G3106,G3106,$H$2:H3106,"United Kingdom")=1),1,0)</f>
        <v>0</v>
      </c>
    </row>
    <row r="3107" customFormat="false" ht="15" hidden="false" customHeight="false" outlineLevel="0" collapsed="false">
      <c r="A3107" s="0" t="s">
        <v>660</v>
      </c>
      <c r="B3107" s="0" t="s">
        <v>25</v>
      </c>
      <c r="C3107" s="0" t="s">
        <v>26</v>
      </c>
      <c r="D3107" s="0" t="n">
        <v>108</v>
      </c>
      <c r="E3107" s="2" t="n">
        <v>40822.6527777778</v>
      </c>
      <c r="F3107" s="0" t="n">
        <v>2.21</v>
      </c>
      <c r="G3107" s="0" t="n">
        <v>17746</v>
      </c>
      <c r="H3107" s="3" t="s">
        <v>14</v>
      </c>
      <c r="I3107" s="4" t="n">
        <f aca="false">D3107*F3107</f>
        <v>238.68</v>
      </c>
      <c r="J3107" s="3" t="n">
        <f aca="false">IF(AND(LEFT(A3107,1)&lt;&gt;"C",D3107&gt;0,F3107&gt;0),1,0)</f>
        <v>1</v>
      </c>
      <c r="K3107" s="3" t="n">
        <f aca="false">IF(AND(H3107="United Kingdom",G3107&lt;&gt;"",COUNTIFS($G$2:G3107,G3107,$H$2:H3107,"United Kingdom")=1),1,0)</f>
        <v>0</v>
      </c>
    </row>
    <row r="3108" customFormat="false" ht="15" hidden="false" customHeight="false" outlineLevel="0" collapsed="false">
      <c r="A3108" s="0" t="s">
        <v>660</v>
      </c>
      <c r="B3108" s="0" t="s">
        <v>22</v>
      </c>
      <c r="C3108" s="0" t="s">
        <v>23</v>
      </c>
      <c r="D3108" s="0" t="n">
        <v>24</v>
      </c>
      <c r="E3108" s="2" t="n">
        <v>40822.6527777778</v>
      </c>
      <c r="F3108" s="0" t="n">
        <v>3.18</v>
      </c>
      <c r="G3108" s="0" t="n">
        <v>17746</v>
      </c>
      <c r="H3108" s="3" t="s">
        <v>14</v>
      </c>
      <c r="I3108" s="4" t="n">
        <f aca="false">D3108*F3108</f>
        <v>76.32</v>
      </c>
      <c r="J3108" s="3" t="n">
        <f aca="false">IF(AND(LEFT(A3108,1)&lt;&gt;"C",D3108&gt;0,F3108&gt;0),1,0)</f>
        <v>1</v>
      </c>
      <c r="K3108" s="3" t="n">
        <f aca="false">IF(AND(H3108="United Kingdom",G3108&lt;&gt;"",COUNTIFS($G$2:G3108,G3108,$H$2:H3108,"United Kingdom")=1),1,0)</f>
        <v>0</v>
      </c>
    </row>
    <row r="3109" customFormat="false" ht="15" hidden="false" customHeight="false" outlineLevel="0" collapsed="false">
      <c r="A3109" s="0" t="s">
        <v>660</v>
      </c>
      <c r="B3109" s="0" t="s">
        <v>39</v>
      </c>
      <c r="C3109" s="0" t="s">
        <v>40</v>
      </c>
      <c r="D3109" s="0" t="n">
        <v>12</v>
      </c>
      <c r="E3109" s="2" t="n">
        <v>40822.6527777778</v>
      </c>
      <c r="F3109" s="0" t="n">
        <v>2.58</v>
      </c>
      <c r="G3109" s="0" t="n">
        <v>17746</v>
      </c>
      <c r="H3109" s="3" t="s">
        <v>14</v>
      </c>
      <c r="I3109" s="4" t="n">
        <f aca="false">D3109*F3109</f>
        <v>30.96</v>
      </c>
      <c r="J3109" s="3" t="n">
        <f aca="false">IF(AND(LEFT(A3109,1)&lt;&gt;"C",D3109&gt;0,F3109&gt;0),1,0)</f>
        <v>1</v>
      </c>
      <c r="K3109" s="3" t="n">
        <f aca="false">IF(AND(H3109="United Kingdom",G3109&lt;&gt;"",COUNTIFS($G$2:G3109,G3109,$H$2:H3109,"United Kingdom")=1),1,0)</f>
        <v>0</v>
      </c>
    </row>
    <row r="3110" customFormat="false" ht="15" hidden="false" customHeight="false" outlineLevel="0" collapsed="false">
      <c r="A3110" s="0" t="s">
        <v>660</v>
      </c>
      <c r="B3110" s="0" t="s">
        <v>54</v>
      </c>
      <c r="C3110" s="0" t="s">
        <v>55</v>
      </c>
      <c r="D3110" s="0" t="n">
        <v>24</v>
      </c>
      <c r="E3110" s="2" t="n">
        <v>40822.6527777778</v>
      </c>
      <c r="F3110" s="0" t="n">
        <v>0.99</v>
      </c>
      <c r="G3110" s="0" t="n">
        <v>17746</v>
      </c>
      <c r="H3110" s="3" t="s">
        <v>14</v>
      </c>
      <c r="I3110" s="4" t="n">
        <f aca="false">D3110*F3110</f>
        <v>23.76</v>
      </c>
      <c r="J3110" s="3" t="n">
        <f aca="false">IF(AND(LEFT(A3110,1)&lt;&gt;"C",D3110&gt;0,F3110&gt;0),1,0)</f>
        <v>1</v>
      </c>
      <c r="K3110" s="3" t="n">
        <f aca="false">IF(AND(H3110="United Kingdom",G3110&lt;&gt;"",COUNTIFS($G$2:G3110,G3110,$H$2:H3110,"United Kingdom")=1),1,0)</f>
        <v>0</v>
      </c>
    </row>
    <row r="3111" customFormat="false" ht="15" hidden="false" customHeight="false" outlineLevel="0" collapsed="false">
      <c r="A3111" s="0" t="s">
        <v>660</v>
      </c>
      <c r="B3111" s="0" t="s">
        <v>113</v>
      </c>
      <c r="C3111" s="0" t="s">
        <v>114</v>
      </c>
      <c r="D3111" s="0" t="n">
        <v>48</v>
      </c>
      <c r="E3111" s="2" t="n">
        <v>40822.6527777778</v>
      </c>
      <c r="F3111" s="0" t="n">
        <v>3.57</v>
      </c>
      <c r="G3111" s="0" t="n">
        <v>17746</v>
      </c>
      <c r="H3111" s="3" t="s">
        <v>14</v>
      </c>
      <c r="I3111" s="4" t="n">
        <f aca="false">D3111*F3111</f>
        <v>171.36</v>
      </c>
      <c r="J3111" s="3" t="n">
        <f aca="false">IF(AND(LEFT(A3111,1)&lt;&gt;"C",D3111&gt;0,F3111&gt;0),1,0)</f>
        <v>1</v>
      </c>
      <c r="K3111" s="3" t="n">
        <f aca="false">IF(AND(H3111="United Kingdom",G3111&lt;&gt;"",COUNTIFS($G$2:G3111,G3111,$H$2:H3111,"United Kingdom")=1),1,0)</f>
        <v>0</v>
      </c>
    </row>
    <row r="3112" customFormat="false" ht="15" hidden="false" customHeight="false" outlineLevel="0" collapsed="false">
      <c r="A3112" s="0" t="s">
        <v>660</v>
      </c>
      <c r="B3112" s="0" t="s">
        <v>63</v>
      </c>
      <c r="C3112" s="0" t="s">
        <v>64</v>
      </c>
      <c r="D3112" s="0" t="n">
        <v>6</v>
      </c>
      <c r="E3112" s="2" t="n">
        <v>40822.6527777778</v>
      </c>
      <c r="F3112" s="0" t="n">
        <v>2.43</v>
      </c>
      <c r="G3112" s="0" t="n">
        <v>17746</v>
      </c>
      <c r="H3112" s="3" t="s">
        <v>14</v>
      </c>
      <c r="I3112" s="4" t="n">
        <f aca="false">D3112*F3112</f>
        <v>14.58</v>
      </c>
      <c r="J3112" s="3" t="n">
        <f aca="false">IF(AND(LEFT(A3112,1)&lt;&gt;"C",D3112&gt;0,F3112&gt;0),1,0)</f>
        <v>1</v>
      </c>
      <c r="K3112" s="3" t="n">
        <f aca="false">IF(AND(H3112="United Kingdom",G3112&lt;&gt;"",COUNTIFS($G$2:G3112,G3112,$H$2:H3112,"United Kingdom")=1),1,0)</f>
        <v>0</v>
      </c>
    </row>
    <row r="3113" customFormat="false" ht="15" hidden="false" customHeight="false" outlineLevel="0" collapsed="false">
      <c r="A3113" s="0" t="s">
        <v>660</v>
      </c>
      <c r="B3113" s="0" t="s">
        <v>41</v>
      </c>
      <c r="C3113" s="0" t="s">
        <v>42</v>
      </c>
      <c r="D3113" s="0" t="n">
        <v>432</v>
      </c>
      <c r="E3113" s="2" t="n">
        <v>40822.6527777778</v>
      </c>
      <c r="F3113" s="0" t="n">
        <v>3.28</v>
      </c>
      <c r="G3113" s="0" t="n">
        <v>17746</v>
      </c>
      <c r="H3113" s="3" t="s">
        <v>14</v>
      </c>
      <c r="I3113" s="4" t="n">
        <f aca="false">D3113*F3113</f>
        <v>1416.96</v>
      </c>
      <c r="J3113" s="3" t="n">
        <f aca="false">IF(AND(LEFT(A3113,1)&lt;&gt;"C",D3113&gt;0,F3113&gt;0),1,0)</f>
        <v>1</v>
      </c>
      <c r="K3113" s="3" t="n">
        <f aca="false">IF(AND(H3113="United Kingdom",G3113&lt;&gt;"",COUNTIFS($G$2:G3113,G3113,$H$2:H3113,"United Kingdom")=1),1,0)</f>
        <v>0</v>
      </c>
    </row>
    <row r="3114" customFormat="false" ht="15" hidden="false" customHeight="false" outlineLevel="0" collapsed="false">
      <c r="A3114" s="0" t="s">
        <v>660</v>
      </c>
      <c r="B3114" s="0" t="s">
        <v>72</v>
      </c>
      <c r="C3114" s="0" t="s">
        <v>73</v>
      </c>
      <c r="D3114" s="0" t="n">
        <v>576</v>
      </c>
      <c r="E3114" s="2" t="n">
        <v>40822.6527777778</v>
      </c>
      <c r="F3114" s="0" t="n">
        <v>2.69</v>
      </c>
      <c r="G3114" s="0" t="n">
        <v>17746</v>
      </c>
      <c r="H3114" s="3" t="s">
        <v>14</v>
      </c>
      <c r="I3114" s="4" t="n">
        <f aca="false">D3114*F3114</f>
        <v>1549.44</v>
      </c>
      <c r="J3114" s="3" t="n">
        <f aca="false">IF(AND(LEFT(A3114,1)&lt;&gt;"C",D3114&gt;0,F3114&gt;0),1,0)</f>
        <v>1</v>
      </c>
      <c r="K3114" s="3" t="n">
        <f aca="false">IF(AND(H3114="United Kingdom",G3114&lt;&gt;"",COUNTIFS($G$2:G3114,G3114,$H$2:H3114,"United Kingdom")=1),1,0)</f>
        <v>0</v>
      </c>
    </row>
    <row r="3115" customFormat="false" ht="15" hidden="false" customHeight="false" outlineLevel="0" collapsed="false">
      <c r="A3115" s="0" t="s">
        <v>660</v>
      </c>
      <c r="B3115" s="0" t="s">
        <v>90</v>
      </c>
      <c r="C3115" s="0" t="s">
        <v>91</v>
      </c>
      <c r="D3115" s="0" t="n">
        <v>72</v>
      </c>
      <c r="E3115" s="2" t="n">
        <v>40822.6527777778</v>
      </c>
      <c r="F3115" s="0" t="n">
        <v>3.04</v>
      </c>
      <c r="G3115" s="0" t="n">
        <v>17746</v>
      </c>
      <c r="H3115" s="3" t="s">
        <v>14</v>
      </c>
      <c r="I3115" s="4" t="n">
        <f aca="false">D3115*F3115</f>
        <v>218.88</v>
      </c>
      <c r="J3115" s="3" t="n">
        <f aca="false">IF(AND(LEFT(A3115,1)&lt;&gt;"C",D3115&gt;0,F3115&gt;0),1,0)</f>
        <v>1</v>
      </c>
      <c r="K3115" s="3" t="n">
        <f aca="false">IF(AND(H3115="United Kingdom",G3115&lt;&gt;"",COUNTIFS($G$2:G3115,G3115,$H$2:H3115,"United Kingdom")=1),1,0)</f>
        <v>0</v>
      </c>
    </row>
    <row r="3116" customFormat="false" ht="15" hidden="false" customHeight="false" outlineLevel="0" collapsed="false">
      <c r="A3116" s="0" t="s">
        <v>660</v>
      </c>
      <c r="B3116" s="0" t="s">
        <v>27</v>
      </c>
      <c r="C3116" s="0" t="s">
        <v>28</v>
      </c>
      <c r="D3116" s="0" t="n">
        <v>144</v>
      </c>
      <c r="E3116" s="2" t="n">
        <v>40822.6527777778</v>
      </c>
      <c r="F3116" s="0" t="n">
        <v>4.55</v>
      </c>
      <c r="G3116" s="0" t="n">
        <v>17746</v>
      </c>
      <c r="H3116" s="3" t="s">
        <v>14</v>
      </c>
      <c r="I3116" s="4" t="n">
        <f aca="false">D3116*F3116</f>
        <v>655.2</v>
      </c>
      <c r="J3116" s="3" t="n">
        <f aca="false">IF(AND(LEFT(A3116,1)&lt;&gt;"C",D3116&gt;0,F3116&gt;0),1,0)</f>
        <v>1</v>
      </c>
      <c r="K3116" s="3" t="n">
        <f aca="false">IF(AND(H3116="United Kingdom",G3116&lt;&gt;"",COUNTIFS($G$2:G3116,G3116,$H$2:H3116,"United Kingdom")=1),1,0)</f>
        <v>0</v>
      </c>
    </row>
    <row r="3117" customFormat="false" ht="15" hidden="false" customHeight="false" outlineLevel="0" collapsed="false">
      <c r="A3117" s="0" t="s">
        <v>660</v>
      </c>
      <c r="B3117" s="0" t="s">
        <v>29</v>
      </c>
      <c r="C3117" s="0" t="s">
        <v>30</v>
      </c>
      <c r="D3117" s="0" t="n">
        <v>48</v>
      </c>
      <c r="E3117" s="2" t="n">
        <v>40822.6527777778</v>
      </c>
      <c r="F3117" s="0" t="n">
        <v>5.79</v>
      </c>
      <c r="G3117" s="0" t="n">
        <v>17746</v>
      </c>
      <c r="H3117" s="3" t="s">
        <v>14</v>
      </c>
      <c r="I3117" s="4" t="n">
        <f aca="false">D3117*F3117</f>
        <v>277.92</v>
      </c>
      <c r="J3117" s="3" t="n">
        <f aca="false">IF(AND(LEFT(A3117,1)&lt;&gt;"C",D3117&gt;0,F3117&gt;0),1,0)</f>
        <v>1</v>
      </c>
      <c r="K3117" s="3" t="n">
        <f aca="false">IF(AND(H3117="United Kingdom",G3117&lt;&gt;"",COUNTIFS($G$2:G3117,G3117,$H$2:H3117,"United Kingdom")=1),1,0)</f>
        <v>0</v>
      </c>
    </row>
    <row r="3118" customFormat="false" ht="15" hidden="false" customHeight="false" outlineLevel="0" collapsed="false">
      <c r="A3118" s="0" t="s">
        <v>660</v>
      </c>
      <c r="B3118" s="0" t="s">
        <v>20</v>
      </c>
      <c r="C3118" s="0" t="s">
        <v>21</v>
      </c>
      <c r="D3118" s="0" t="n">
        <v>24</v>
      </c>
      <c r="E3118" s="2" t="n">
        <v>40822.6527777778</v>
      </c>
      <c r="F3118" s="0" t="n">
        <v>4.24</v>
      </c>
      <c r="G3118" s="0" t="n">
        <v>17746</v>
      </c>
      <c r="H3118" s="3" t="s">
        <v>14</v>
      </c>
      <c r="I3118" s="4" t="n">
        <f aca="false">D3118*F3118</f>
        <v>101.76</v>
      </c>
      <c r="J3118" s="3" t="n">
        <f aca="false">IF(AND(LEFT(A3118,1)&lt;&gt;"C",D3118&gt;0,F3118&gt;0),1,0)</f>
        <v>1</v>
      </c>
      <c r="K3118" s="3" t="n">
        <f aca="false">IF(AND(H3118="United Kingdom",G3118&lt;&gt;"",COUNTIFS($G$2:G3118,G3118,$H$2:H3118,"United Kingdom")=1),1,0)</f>
        <v>0</v>
      </c>
    </row>
    <row r="3119" customFormat="false" ht="15" hidden="false" customHeight="false" outlineLevel="0" collapsed="false">
      <c r="A3119" s="0" t="s">
        <v>660</v>
      </c>
      <c r="B3119" s="0" t="s">
        <v>68</v>
      </c>
      <c r="C3119" s="0" t="s">
        <v>69</v>
      </c>
      <c r="D3119" s="0" t="n">
        <v>48</v>
      </c>
      <c r="E3119" s="2" t="n">
        <v>40822.6527777778</v>
      </c>
      <c r="F3119" s="0" t="n">
        <v>1.26</v>
      </c>
      <c r="G3119" s="0" t="n">
        <v>17746</v>
      </c>
      <c r="H3119" s="3" t="s">
        <v>14</v>
      </c>
      <c r="I3119" s="4" t="n">
        <f aca="false">D3119*F3119</f>
        <v>60.48</v>
      </c>
      <c r="J3119" s="3" t="n">
        <f aca="false">IF(AND(LEFT(A3119,1)&lt;&gt;"C",D3119&gt;0,F3119&gt;0),1,0)</f>
        <v>1</v>
      </c>
      <c r="K3119" s="3" t="n">
        <f aca="false">IF(AND(H3119="United Kingdom",G3119&lt;&gt;"",COUNTIFS($G$2:G3119,G3119,$H$2:H3119,"United Kingdom")=1),1,0)</f>
        <v>0</v>
      </c>
    </row>
    <row r="3120" customFormat="false" ht="15" hidden="false" customHeight="false" outlineLevel="0" collapsed="false">
      <c r="A3120" s="0" t="s">
        <v>660</v>
      </c>
      <c r="B3120" s="0" t="s">
        <v>50</v>
      </c>
      <c r="C3120" s="0" t="s">
        <v>51</v>
      </c>
      <c r="D3120" s="0" t="n">
        <v>12</v>
      </c>
      <c r="E3120" s="2" t="n">
        <v>40822.6527777778</v>
      </c>
      <c r="F3120" s="0" t="n">
        <v>5.41</v>
      </c>
      <c r="G3120" s="0" t="n">
        <v>17746</v>
      </c>
      <c r="H3120" s="3" t="s">
        <v>14</v>
      </c>
      <c r="I3120" s="4" t="n">
        <f aca="false">D3120*F3120</f>
        <v>64.92</v>
      </c>
      <c r="J3120" s="3" t="n">
        <f aca="false">IF(AND(LEFT(A3120,1)&lt;&gt;"C",D3120&gt;0,F3120&gt;0),1,0)</f>
        <v>1</v>
      </c>
      <c r="K3120" s="3" t="n">
        <f aca="false">IF(AND(H3120="United Kingdom",G3120&lt;&gt;"",COUNTIFS($G$2:G3120,G3120,$H$2:H3120,"United Kingdom")=1),1,0)</f>
        <v>0</v>
      </c>
    </row>
    <row r="3121" customFormat="false" ht="15" hidden="false" customHeight="false" outlineLevel="0" collapsed="false">
      <c r="A3121" s="0" t="s">
        <v>660</v>
      </c>
      <c r="B3121" s="0" t="s">
        <v>58</v>
      </c>
      <c r="C3121" s="0" t="s">
        <v>59</v>
      </c>
      <c r="D3121" s="0" t="n">
        <v>6</v>
      </c>
      <c r="E3121" s="2" t="n">
        <v>40822.6527777778</v>
      </c>
      <c r="F3121" s="0" t="n">
        <v>2.16</v>
      </c>
      <c r="G3121" s="0" t="n">
        <v>17746</v>
      </c>
      <c r="H3121" s="3" t="s">
        <v>14</v>
      </c>
      <c r="I3121" s="4" t="n">
        <f aca="false">D3121*F3121</f>
        <v>12.96</v>
      </c>
      <c r="J3121" s="3" t="n">
        <f aca="false">IF(AND(LEFT(A3121,1)&lt;&gt;"C",D3121&gt;0,F3121&gt;0),1,0)</f>
        <v>1</v>
      </c>
      <c r="K3121" s="3" t="n">
        <f aca="false">IF(AND(H3121="United Kingdom",G3121&lt;&gt;"",COUNTIFS($G$2:G3121,G3121,$H$2:H3121,"United Kingdom")=1),1,0)</f>
        <v>0</v>
      </c>
    </row>
    <row r="3122" customFormat="false" ht="15" hidden="false" customHeight="false" outlineLevel="0" collapsed="false">
      <c r="A3122" s="0" t="s">
        <v>660</v>
      </c>
      <c r="B3122" s="0" t="s">
        <v>12</v>
      </c>
      <c r="C3122" s="0" t="s">
        <v>13</v>
      </c>
      <c r="D3122" s="0" t="n">
        <v>96</v>
      </c>
      <c r="E3122" s="2" t="n">
        <v>40822.6527777778</v>
      </c>
      <c r="F3122" s="0" t="n">
        <v>3.33</v>
      </c>
      <c r="G3122" s="0" t="n">
        <v>17746</v>
      </c>
      <c r="H3122" s="3" t="s">
        <v>14</v>
      </c>
      <c r="I3122" s="4" t="n">
        <f aca="false">D3122*F3122</f>
        <v>319.68</v>
      </c>
      <c r="J3122" s="3" t="n">
        <f aca="false">IF(AND(LEFT(A3122,1)&lt;&gt;"C",D3122&gt;0,F3122&gt;0),1,0)</f>
        <v>1</v>
      </c>
      <c r="K3122" s="3" t="n">
        <f aca="false">IF(AND(H3122="United Kingdom",G3122&lt;&gt;"",COUNTIFS($G$2:G3122,G3122,$H$2:H3122,"United Kingdom")=1),1,0)</f>
        <v>0</v>
      </c>
    </row>
    <row r="3123" customFormat="false" ht="15" hidden="false" customHeight="false" outlineLevel="0" collapsed="false">
      <c r="A3123" s="0" t="s">
        <v>660</v>
      </c>
      <c r="B3123" s="0" t="s">
        <v>80</v>
      </c>
      <c r="C3123" s="0" t="s">
        <v>81</v>
      </c>
      <c r="D3123" s="0" t="n">
        <v>288</v>
      </c>
      <c r="E3123" s="2" t="n">
        <v>40822.6527777778</v>
      </c>
      <c r="F3123" s="0" t="n">
        <v>1.53</v>
      </c>
      <c r="G3123" s="0" t="n">
        <v>17746</v>
      </c>
      <c r="H3123" s="3" t="s">
        <v>14</v>
      </c>
      <c r="I3123" s="4" t="n">
        <f aca="false">D3123*F3123</f>
        <v>440.64</v>
      </c>
      <c r="J3123" s="3" t="n">
        <f aca="false">IF(AND(LEFT(A3123,1)&lt;&gt;"C",D3123&gt;0,F3123&gt;0),1,0)</f>
        <v>1</v>
      </c>
      <c r="K3123" s="3" t="n">
        <f aca="false">IF(AND(H3123="United Kingdom",G3123&lt;&gt;"",COUNTIFS($G$2:G3123,G3123,$H$2:H3123,"United Kingdom")=1),1,0)</f>
        <v>0</v>
      </c>
    </row>
    <row r="3124" customFormat="false" ht="15" hidden="false" customHeight="false" outlineLevel="0" collapsed="false">
      <c r="A3124" s="0" t="s">
        <v>660</v>
      </c>
      <c r="B3124" s="0" t="s">
        <v>77</v>
      </c>
      <c r="C3124" s="0" t="s">
        <v>78</v>
      </c>
      <c r="D3124" s="0" t="n">
        <v>48</v>
      </c>
      <c r="E3124" s="2" t="n">
        <v>40822.6527777778</v>
      </c>
      <c r="F3124" s="0" t="n">
        <v>3.41</v>
      </c>
      <c r="G3124" s="0" t="n">
        <v>17746</v>
      </c>
      <c r="H3124" s="3" t="s">
        <v>14</v>
      </c>
      <c r="I3124" s="4" t="n">
        <f aca="false">D3124*F3124</f>
        <v>163.68</v>
      </c>
      <c r="J3124" s="3" t="n">
        <f aca="false">IF(AND(LEFT(A3124,1)&lt;&gt;"C",D3124&gt;0,F3124&gt;0),1,0)</f>
        <v>1</v>
      </c>
      <c r="K3124" s="3" t="n">
        <f aca="false">IF(AND(H3124="United Kingdom",G3124&lt;&gt;"",COUNTIFS($G$2:G3124,G3124,$H$2:H3124,"United Kingdom")=1),1,0)</f>
        <v>0</v>
      </c>
    </row>
    <row r="3125" customFormat="false" ht="15" hidden="false" customHeight="false" outlineLevel="0" collapsed="false">
      <c r="A3125" s="0" t="s">
        <v>660</v>
      </c>
      <c r="B3125" s="0" t="s">
        <v>75</v>
      </c>
      <c r="C3125" s="0" t="s">
        <v>76</v>
      </c>
      <c r="D3125" s="0" t="n">
        <v>144</v>
      </c>
      <c r="E3125" s="2" t="n">
        <v>40822.6527777778</v>
      </c>
      <c r="F3125" s="0" t="n">
        <v>1.97</v>
      </c>
      <c r="G3125" s="0" t="n">
        <v>17746</v>
      </c>
      <c r="H3125" s="3" t="s">
        <v>14</v>
      </c>
      <c r="I3125" s="4" t="n">
        <f aca="false">D3125*F3125</f>
        <v>283.68</v>
      </c>
      <c r="J3125" s="3" t="n">
        <f aca="false">IF(AND(LEFT(A3125,1)&lt;&gt;"C",D3125&gt;0,F3125&gt;0),1,0)</f>
        <v>1</v>
      </c>
      <c r="K3125" s="3" t="n">
        <f aca="false">IF(AND(H3125="United Kingdom",G3125&lt;&gt;"",COUNTIFS($G$2:G3125,G3125,$H$2:H3125,"United Kingdom")=1),1,0)</f>
        <v>0</v>
      </c>
    </row>
    <row r="3126" customFormat="false" ht="15" hidden="false" customHeight="false" outlineLevel="0" collapsed="false">
      <c r="A3126" s="0" t="s">
        <v>661</v>
      </c>
      <c r="B3126" s="0" t="s">
        <v>90</v>
      </c>
      <c r="C3126" s="0" t="s">
        <v>91</v>
      </c>
      <c r="D3126" s="0" t="n">
        <v>12</v>
      </c>
      <c r="E3126" s="2" t="n">
        <v>40822.6715277778</v>
      </c>
      <c r="F3126" s="0" t="n">
        <v>3.04</v>
      </c>
      <c r="G3126" s="0" t="n">
        <v>12688</v>
      </c>
      <c r="H3126" s="3" t="s">
        <v>14</v>
      </c>
      <c r="I3126" s="4" t="n">
        <f aca="false">D3126*F3126</f>
        <v>36.48</v>
      </c>
      <c r="J3126" s="3" t="n">
        <f aca="false">IF(AND(LEFT(A3126,1)&lt;&gt;"C",D3126&gt;0,F3126&gt;0),1,0)</f>
        <v>1</v>
      </c>
      <c r="K3126" s="3" t="n">
        <f aca="false">IF(AND(H3126="United Kingdom",G3126&lt;&gt;"",COUNTIFS($G$2:G3126,G3126,$H$2:H3126,"United Kingdom")=1),1,0)</f>
        <v>0</v>
      </c>
    </row>
    <row r="3127" customFormat="false" ht="15" hidden="false" customHeight="false" outlineLevel="0" collapsed="false">
      <c r="A3127" s="0" t="s">
        <v>661</v>
      </c>
      <c r="B3127" s="0" t="s">
        <v>22</v>
      </c>
      <c r="C3127" s="0" t="s">
        <v>23</v>
      </c>
      <c r="D3127" s="0" t="n">
        <v>3</v>
      </c>
      <c r="E3127" s="2" t="n">
        <v>40822.6715277778</v>
      </c>
      <c r="F3127" s="0" t="n">
        <v>3.18</v>
      </c>
      <c r="G3127" s="0" t="n">
        <v>12688</v>
      </c>
      <c r="H3127" s="3" t="s">
        <v>14</v>
      </c>
      <c r="I3127" s="4" t="n">
        <f aca="false">D3127*F3127</f>
        <v>9.54</v>
      </c>
      <c r="J3127" s="3" t="n">
        <f aca="false">IF(AND(LEFT(A3127,1)&lt;&gt;"C",D3127&gt;0,F3127&gt;0),1,0)</f>
        <v>1</v>
      </c>
      <c r="K3127" s="3" t="n">
        <f aca="false">IF(AND(H3127="United Kingdom",G3127&lt;&gt;"",COUNTIFS($G$2:G3127,G3127,$H$2:H3127,"United Kingdom")=1),1,0)</f>
        <v>0</v>
      </c>
    </row>
    <row r="3128" customFormat="false" ht="15" hidden="false" customHeight="false" outlineLevel="0" collapsed="false">
      <c r="A3128" s="0" t="s">
        <v>661</v>
      </c>
      <c r="B3128" s="0" t="s">
        <v>72</v>
      </c>
      <c r="C3128" s="0" t="s">
        <v>73</v>
      </c>
      <c r="D3128" s="0" t="n">
        <v>2</v>
      </c>
      <c r="E3128" s="2" t="n">
        <v>40822.6715277778</v>
      </c>
      <c r="F3128" s="0" t="n">
        <v>2.69</v>
      </c>
      <c r="G3128" s="0" t="n">
        <v>12688</v>
      </c>
      <c r="H3128" s="3" t="s">
        <v>14</v>
      </c>
      <c r="I3128" s="4" t="n">
        <f aca="false">D3128*F3128</f>
        <v>5.38</v>
      </c>
      <c r="J3128" s="3" t="n">
        <f aca="false">IF(AND(LEFT(A3128,1)&lt;&gt;"C",D3128&gt;0,F3128&gt;0),1,0)</f>
        <v>1</v>
      </c>
      <c r="K3128" s="3" t="n">
        <f aca="false">IF(AND(H3128="United Kingdom",G3128&lt;&gt;"",COUNTIFS($G$2:G3128,G3128,$H$2:H3128,"United Kingdom")=1),1,0)</f>
        <v>0</v>
      </c>
    </row>
    <row r="3129" customFormat="false" ht="15" hidden="false" customHeight="false" outlineLevel="0" collapsed="false">
      <c r="A3129" s="0" t="s">
        <v>661</v>
      </c>
      <c r="B3129" s="0" t="s">
        <v>37</v>
      </c>
      <c r="C3129" s="0" t="s">
        <v>38</v>
      </c>
      <c r="D3129" s="0" t="n">
        <v>6</v>
      </c>
      <c r="E3129" s="2" t="n">
        <v>40822.6715277778</v>
      </c>
      <c r="F3129" s="0" t="n">
        <v>1.82</v>
      </c>
      <c r="G3129" s="0" t="n">
        <v>12688</v>
      </c>
      <c r="H3129" s="3" t="s">
        <v>14</v>
      </c>
      <c r="I3129" s="4" t="n">
        <f aca="false">D3129*F3129</f>
        <v>10.92</v>
      </c>
      <c r="J3129" s="3" t="n">
        <f aca="false">IF(AND(LEFT(A3129,1)&lt;&gt;"C",D3129&gt;0,F3129&gt;0),1,0)</f>
        <v>1</v>
      </c>
      <c r="K3129" s="3" t="n">
        <f aca="false">IF(AND(H3129="United Kingdom",G3129&lt;&gt;"",COUNTIFS($G$2:G3129,G3129,$H$2:H3129,"United Kingdom")=1),1,0)</f>
        <v>0</v>
      </c>
    </row>
    <row r="3130" customFormat="false" ht="15" hidden="false" customHeight="false" outlineLevel="0" collapsed="false">
      <c r="A3130" s="0" t="s">
        <v>661</v>
      </c>
      <c r="B3130" s="0" t="s">
        <v>80</v>
      </c>
      <c r="C3130" s="0" t="s">
        <v>81</v>
      </c>
      <c r="D3130" s="0" t="n">
        <v>2</v>
      </c>
      <c r="E3130" s="2" t="n">
        <v>40822.6715277778</v>
      </c>
      <c r="F3130" s="0" t="n">
        <v>1.53</v>
      </c>
      <c r="G3130" s="0" t="n">
        <v>12688</v>
      </c>
      <c r="H3130" s="3" t="s">
        <v>14</v>
      </c>
      <c r="I3130" s="4" t="n">
        <f aca="false">D3130*F3130</f>
        <v>3.06</v>
      </c>
      <c r="J3130" s="3" t="n">
        <f aca="false">IF(AND(LEFT(A3130,1)&lt;&gt;"C",D3130&gt;0,F3130&gt;0),1,0)</f>
        <v>1</v>
      </c>
      <c r="K3130" s="3" t="n">
        <f aca="false">IF(AND(H3130="United Kingdom",G3130&lt;&gt;"",COUNTIFS($G$2:G3130,G3130,$H$2:H3130,"United Kingdom")=1),1,0)</f>
        <v>0</v>
      </c>
    </row>
    <row r="3131" customFormat="false" ht="15" hidden="false" customHeight="false" outlineLevel="0" collapsed="false">
      <c r="A3131" s="0" t="s">
        <v>662</v>
      </c>
      <c r="B3131" s="0" t="s">
        <v>17</v>
      </c>
      <c r="C3131" s="0" t="s">
        <v>18</v>
      </c>
      <c r="D3131" s="0" t="n">
        <v>2</v>
      </c>
      <c r="E3131" s="2" t="n">
        <v>40823.3333333333</v>
      </c>
      <c r="F3131" s="0" t="n">
        <v>1.92</v>
      </c>
      <c r="G3131" s="0" t="n">
        <v>13513</v>
      </c>
      <c r="H3131" s="3" t="s">
        <v>97</v>
      </c>
      <c r="I3131" s="4" t="n">
        <f aca="false">D3131*F3131</f>
        <v>3.84</v>
      </c>
      <c r="J3131" s="3" t="n">
        <f aca="false">IF(AND(LEFT(A3131,1)&lt;&gt;"C",D3131&gt;0,F3131&gt;0),1,0)</f>
        <v>1</v>
      </c>
      <c r="K3131" s="3" t="n">
        <f aca="false">IF(AND(H3131="United Kingdom",G3131&lt;&gt;"",COUNTIFS($G$2:G3131,G3131,$H$2:H3131,"United Kingdom")=1),1,0)</f>
        <v>0</v>
      </c>
    </row>
    <row r="3132" customFormat="false" ht="15" hidden="false" customHeight="false" outlineLevel="0" collapsed="false">
      <c r="A3132" s="0" t="s">
        <v>662</v>
      </c>
      <c r="B3132" s="0" t="s">
        <v>25</v>
      </c>
      <c r="C3132" s="0" t="s">
        <v>26</v>
      </c>
      <c r="D3132" s="0" t="n">
        <v>12</v>
      </c>
      <c r="E3132" s="2" t="n">
        <v>40823.3333333333</v>
      </c>
      <c r="F3132" s="0" t="n">
        <v>2.21</v>
      </c>
      <c r="G3132" s="0" t="n">
        <v>13513</v>
      </c>
      <c r="H3132" s="3" t="s">
        <v>97</v>
      </c>
      <c r="I3132" s="4" t="n">
        <f aca="false">D3132*F3132</f>
        <v>26.52</v>
      </c>
      <c r="J3132" s="3" t="n">
        <f aca="false">IF(AND(LEFT(A3132,1)&lt;&gt;"C",D3132&gt;0,F3132&gt;0),1,0)</f>
        <v>1</v>
      </c>
      <c r="K3132" s="3" t="n">
        <f aca="false">IF(AND(H3132="United Kingdom",G3132&lt;&gt;"",COUNTIFS($G$2:G3132,G3132,$H$2:H3132,"United Kingdom")=1),1,0)</f>
        <v>0</v>
      </c>
    </row>
    <row r="3133" customFormat="false" ht="15" hidden="false" customHeight="false" outlineLevel="0" collapsed="false">
      <c r="A3133" s="0" t="s">
        <v>662</v>
      </c>
      <c r="B3133" s="0" t="s">
        <v>68</v>
      </c>
      <c r="C3133" s="0" t="s">
        <v>69</v>
      </c>
      <c r="D3133" s="0" t="n">
        <v>6</v>
      </c>
      <c r="E3133" s="2" t="n">
        <v>40823.3333333333</v>
      </c>
      <c r="F3133" s="0" t="n">
        <v>1.26</v>
      </c>
      <c r="G3133" s="0" t="n">
        <v>13513</v>
      </c>
      <c r="H3133" s="3" t="s">
        <v>97</v>
      </c>
      <c r="I3133" s="4" t="n">
        <f aca="false">D3133*F3133</f>
        <v>7.56</v>
      </c>
      <c r="J3133" s="3" t="n">
        <f aca="false">IF(AND(LEFT(A3133,1)&lt;&gt;"C",D3133&gt;0,F3133&gt;0),1,0)</f>
        <v>1</v>
      </c>
      <c r="K3133" s="3" t="n">
        <f aca="false">IF(AND(H3133="United Kingdom",G3133&lt;&gt;"",COUNTIFS($G$2:G3133,G3133,$H$2:H3133,"United Kingdom")=1),1,0)</f>
        <v>0</v>
      </c>
    </row>
    <row r="3134" customFormat="false" ht="15" hidden="false" customHeight="false" outlineLevel="0" collapsed="false">
      <c r="A3134" s="0" t="s">
        <v>663</v>
      </c>
      <c r="B3134" s="0" t="s">
        <v>65</v>
      </c>
      <c r="C3134" s="0" t="s">
        <v>66</v>
      </c>
      <c r="D3134" s="0" t="n">
        <v>32</v>
      </c>
      <c r="E3134" s="2" t="n">
        <v>40823.3375</v>
      </c>
      <c r="F3134" s="0" t="n">
        <v>4.75</v>
      </c>
      <c r="G3134" s="0" t="n">
        <v>13513</v>
      </c>
      <c r="H3134" s="3" t="s">
        <v>97</v>
      </c>
      <c r="I3134" s="4" t="n">
        <f aca="false">D3134*F3134</f>
        <v>152</v>
      </c>
      <c r="J3134" s="3" t="n">
        <f aca="false">IF(AND(LEFT(A3134,1)&lt;&gt;"C",D3134&gt;0,F3134&gt;0),1,0)</f>
        <v>1</v>
      </c>
      <c r="K3134" s="3" t="n">
        <f aca="false">IF(AND(H3134="United Kingdom",G3134&lt;&gt;"",COUNTIFS($G$2:G3134,G3134,$H$2:H3134,"United Kingdom")=1),1,0)</f>
        <v>0</v>
      </c>
    </row>
    <row r="3135" customFormat="false" ht="15" hidden="false" customHeight="false" outlineLevel="0" collapsed="false">
      <c r="A3135" s="0" t="s">
        <v>664</v>
      </c>
      <c r="B3135" s="0" t="s">
        <v>27</v>
      </c>
      <c r="C3135" s="0" t="s">
        <v>28</v>
      </c>
      <c r="D3135" s="0" t="n">
        <v>4</v>
      </c>
      <c r="E3135" s="2" t="n">
        <v>40823.3659722222</v>
      </c>
      <c r="F3135" s="0" t="n">
        <v>4.55</v>
      </c>
      <c r="G3135" s="0" t="n">
        <v>15070</v>
      </c>
      <c r="H3135" s="3" t="s">
        <v>14</v>
      </c>
      <c r="I3135" s="4" t="n">
        <f aca="false">D3135*F3135</f>
        <v>18.2</v>
      </c>
      <c r="J3135" s="3" t="n">
        <f aca="false">IF(AND(LEFT(A3135,1)&lt;&gt;"C",D3135&gt;0,F3135&gt;0),1,0)</f>
        <v>1</v>
      </c>
      <c r="K3135" s="3" t="n">
        <f aca="false">IF(AND(H3135="United Kingdom",G3135&lt;&gt;"",COUNTIFS($G$2:G3135,G3135,$H$2:H3135,"United Kingdom")=1),1,0)</f>
        <v>0</v>
      </c>
    </row>
    <row r="3136" customFormat="false" ht="15" hidden="false" customHeight="false" outlineLevel="0" collapsed="false">
      <c r="A3136" s="0" t="s">
        <v>664</v>
      </c>
      <c r="B3136" s="0" t="s">
        <v>60</v>
      </c>
      <c r="C3136" s="0" t="s">
        <v>61</v>
      </c>
      <c r="D3136" s="0" t="n">
        <v>1</v>
      </c>
      <c r="E3136" s="2" t="n">
        <v>40823.3659722222</v>
      </c>
      <c r="F3136" s="0" t="n">
        <v>0.63</v>
      </c>
      <c r="G3136" s="0" t="n">
        <v>15070</v>
      </c>
      <c r="H3136" s="3" t="s">
        <v>14</v>
      </c>
      <c r="I3136" s="4" t="n">
        <f aca="false">D3136*F3136</f>
        <v>0.63</v>
      </c>
      <c r="J3136" s="3" t="n">
        <f aca="false">IF(AND(LEFT(A3136,1)&lt;&gt;"C",D3136&gt;0,F3136&gt;0),1,0)</f>
        <v>1</v>
      </c>
      <c r="K3136" s="3" t="n">
        <f aca="false">IF(AND(H3136="United Kingdom",G3136&lt;&gt;"",COUNTIFS($G$2:G3136,G3136,$H$2:H3136,"United Kingdom")=1),1,0)</f>
        <v>0</v>
      </c>
    </row>
    <row r="3137" customFormat="false" ht="15" hidden="false" customHeight="false" outlineLevel="0" collapsed="false">
      <c r="A3137" s="0" t="s">
        <v>664</v>
      </c>
      <c r="B3137" s="0" t="s">
        <v>43</v>
      </c>
      <c r="C3137" s="0" t="s">
        <v>44</v>
      </c>
      <c r="D3137" s="0" t="n">
        <v>1</v>
      </c>
      <c r="E3137" s="2" t="n">
        <v>40823.3659722222</v>
      </c>
      <c r="F3137" s="0" t="n">
        <v>1.35</v>
      </c>
      <c r="G3137" s="0" t="n">
        <v>15070</v>
      </c>
      <c r="H3137" s="3" t="s">
        <v>14</v>
      </c>
      <c r="I3137" s="4" t="n">
        <f aca="false">D3137*F3137</f>
        <v>1.35</v>
      </c>
      <c r="J3137" s="3" t="n">
        <f aca="false">IF(AND(LEFT(A3137,1)&lt;&gt;"C",D3137&gt;0,F3137&gt;0),1,0)</f>
        <v>1</v>
      </c>
      <c r="K3137" s="3" t="n">
        <f aca="false">IF(AND(H3137="United Kingdom",G3137&lt;&gt;"",COUNTIFS($G$2:G3137,G3137,$H$2:H3137,"United Kingdom")=1),1,0)</f>
        <v>0</v>
      </c>
    </row>
    <row r="3138" customFormat="false" ht="15" hidden="false" customHeight="false" outlineLevel="0" collapsed="false">
      <c r="A3138" s="0" t="s">
        <v>665</v>
      </c>
      <c r="B3138" s="0" t="s">
        <v>39</v>
      </c>
      <c r="C3138" s="0" t="s">
        <v>40</v>
      </c>
      <c r="D3138" s="0" t="n">
        <v>4</v>
      </c>
      <c r="E3138" s="2" t="n">
        <v>40823.4388888889</v>
      </c>
      <c r="F3138" s="0" t="n">
        <v>2.58</v>
      </c>
      <c r="G3138" s="0" t="n">
        <v>15943</v>
      </c>
      <c r="H3138" s="3" t="s">
        <v>14</v>
      </c>
      <c r="I3138" s="4" t="n">
        <f aca="false">D3138*F3138</f>
        <v>10.32</v>
      </c>
      <c r="J3138" s="3" t="n">
        <f aca="false">IF(AND(LEFT(A3138,1)&lt;&gt;"C",D3138&gt;0,F3138&gt;0),1,0)</f>
        <v>1</v>
      </c>
      <c r="K3138" s="3" t="n">
        <f aca="false">IF(AND(H3138="United Kingdom",G3138&lt;&gt;"",COUNTIFS($G$2:G3138,G3138,$H$2:H3138,"United Kingdom")=1),1,0)</f>
        <v>0</v>
      </c>
    </row>
    <row r="3139" customFormat="false" ht="15" hidden="false" customHeight="false" outlineLevel="0" collapsed="false">
      <c r="A3139" s="0" t="s">
        <v>665</v>
      </c>
      <c r="B3139" s="0" t="s">
        <v>90</v>
      </c>
      <c r="C3139" s="0" t="s">
        <v>91</v>
      </c>
      <c r="D3139" s="0" t="n">
        <v>6</v>
      </c>
      <c r="E3139" s="2" t="n">
        <v>40823.4388888889</v>
      </c>
      <c r="F3139" s="0" t="n">
        <v>3.04</v>
      </c>
      <c r="G3139" s="0" t="n">
        <v>15943</v>
      </c>
      <c r="H3139" s="3" t="s">
        <v>14</v>
      </c>
      <c r="I3139" s="4" t="n">
        <f aca="false">D3139*F3139</f>
        <v>18.24</v>
      </c>
      <c r="J3139" s="3" t="n">
        <f aca="false">IF(AND(LEFT(A3139,1)&lt;&gt;"C",D3139&gt;0,F3139&gt;0),1,0)</f>
        <v>1</v>
      </c>
      <c r="K3139" s="3" t="n">
        <f aca="false">IF(AND(H3139="United Kingdom",G3139&lt;&gt;"",COUNTIFS($G$2:G3139,G3139,$H$2:H3139,"United Kingdom")=1),1,0)</f>
        <v>0</v>
      </c>
    </row>
    <row r="3140" customFormat="false" ht="15" hidden="false" customHeight="false" outlineLevel="0" collapsed="false">
      <c r="A3140" s="0" t="s">
        <v>665</v>
      </c>
      <c r="B3140" s="0" t="s">
        <v>41</v>
      </c>
      <c r="C3140" s="0" t="s">
        <v>42</v>
      </c>
      <c r="D3140" s="0" t="n">
        <v>8</v>
      </c>
      <c r="E3140" s="2" t="n">
        <v>40823.4388888889</v>
      </c>
      <c r="F3140" s="0" t="n">
        <v>3.28</v>
      </c>
      <c r="G3140" s="0" t="n">
        <v>15943</v>
      </c>
      <c r="H3140" s="3" t="s">
        <v>14</v>
      </c>
      <c r="I3140" s="4" t="n">
        <f aca="false">D3140*F3140</f>
        <v>26.24</v>
      </c>
      <c r="J3140" s="3" t="n">
        <f aca="false">IF(AND(LEFT(A3140,1)&lt;&gt;"C",D3140&gt;0,F3140&gt;0),1,0)</f>
        <v>1</v>
      </c>
      <c r="K3140" s="3" t="n">
        <f aca="false">IF(AND(H3140="United Kingdom",G3140&lt;&gt;"",COUNTIFS($G$2:G3140,G3140,$H$2:H3140,"United Kingdom")=1),1,0)</f>
        <v>0</v>
      </c>
    </row>
    <row r="3141" customFormat="false" ht="15" hidden="false" customHeight="false" outlineLevel="0" collapsed="false">
      <c r="A3141" s="0" t="s">
        <v>665</v>
      </c>
      <c r="B3141" s="0" t="s">
        <v>68</v>
      </c>
      <c r="C3141" s="0" t="s">
        <v>69</v>
      </c>
      <c r="D3141" s="0" t="n">
        <v>8</v>
      </c>
      <c r="E3141" s="2" t="n">
        <v>40823.4388888889</v>
      </c>
      <c r="F3141" s="0" t="n">
        <v>1.26</v>
      </c>
      <c r="G3141" s="0" t="n">
        <v>15943</v>
      </c>
      <c r="H3141" s="3" t="s">
        <v>14</v>
      </c>
      <c r="I3141" s="4" t="n">
        <f aca="false">D3141*F3141</f>
        <v>10.08</v>
      </c>
      <c r="J3141" s="3" t="n">
        <f aca="false">IF(AND(LEFT(A3141,1)&lt;&gt;"C",D3141&gt;0,F3141&gt;0),1,0)</f>
        <v>1</v>
      </c>
      <c r="K3141" s="3" t="n">
        <f aca="false">IF(AND(H3141="United Kingdom",G3141&lt;&gt;"",COUNTIFS($G$2:G3141,G3141,$H$2:H3141,"United Kingdom")=1),1,0)</f>
        <v>0</v>
      </c>
    </row>
    <row r="3142" customFormat="false" ht="15" hidden="false" customHeight="false" outlineLevel="0" collapsed="false">
      <c r="A3142" s="0" t="s">
        <v>666</v>
      </c>
      <c r="B3142" s="0" t="s">
        <v>41</v>
      </c>
      <c r="C3142" s="0" t="s">
        <v>42</v>
      </c>
      <c r="D3142" s="0" t="n">
        <v>4</v>
      </c>
      <c r="E3142" s="2" t="n">
        <v>40823.5138888889</v>
      </c>
      <c r="F3142" s="0" t="n">
        <v>3.28</v>
      </c>
      <c r="G3142" s="0" t="n">
        <v>12972</v>
      </c>
      <c r="H3142" s="3" t="s">
        <v>14</v>
      </c>
      <c r="I3142" s="4" t="n">
        <f aca="false">D3142*F3142</f>
        <v>13.12</v>
      </c>
      <c r="J3142" s="3" t="n">
        <f aca="false">IF(AND(LEFT(A3142,1)&lt;&gt;"C",D3142&gt;0,F3142&gt;0),1,0)</f>
        <v>1</v>
      </c>
      <c r="K3142" s="3" t="n">
        <f aca="false">IF(AND(H3142="United Kingdom",G3142&lt;&gt;"",COUNTIFS($G$2:G3142,G3142,$H$2:H3142,"United Kingdom")=1),1,0)</f>
        <v>0</v>
      </c>
    </row>
    <row r="3143" customFormat="false" ht="15" hidden="false" customHeight="false" outlineLevel="0" collapsed="false">
      <c r="A3143" s="0" t="s">
        <v>666</v>
      </c>
      <c r="B3143" s="0" t="s">
        <v>65</v>
      </c>
      <c r="C3143" s="0" t="s">
        <v>66</v>
      </c>
      <c r="D3143" s="0" t="n">
        <v>3</v>
      </c>
      <c r="E3143" s="2" t="n">
        <v>40823.5138888889</v>
      </c>
      <c r="F3143" s="0" t="n">
        <v>4.75</v>
      </c>
      <c r="G3143" s="0" t="n">
        <v>12972</v>
      </c>
      <c r="H3143" s="3" t="s">
        <v>14</v>
      </c>
      <c r="I3143" s="4" t="n">
        <f aca="false">D3143*F3143</f>
        <v>14.25</v>
      </c>
      <c r="J3143" s="3" t="n">
        <f aca="false">IF(AND(LEFT(A3143,1)&lt;&gt;"C",D3143&gt;0,F3143&gt;0),1,0)</f>
        <v>1</v>
      </c>
      <c r="K3143" s="3" t="n">
        <f aca="false">IF(AND(H3143="United Kingdom",G3143&lt;&gt;"",COUNTIFS($G$2:G3143,G3143,$H$2:H3143,"United Kingdom")=1),1,0)</f>
        <v>0</v>
      </c>
    </row>
    <row r="3144" customFormat="false" ht="15" hidden="false" customHeight="false" outlineLevel="0" collapsed="false">
      <c r="A3144" s="0" t="s">
        <v>667</v>
      </c>
      <c r="B3144" s="0" t="s">
        <v>22</v>
      </c>
      <c r="C3144" s="0" t="s">
        <v>23</v>
      </c>
      <c r="D3144" s="0" t="n">
        <v>2</v>
      </c>
      <c r="E3144" s="2" t="n">
        <v>40823.7548611111</v>
      </c>
      <c r="F3144" s="0" t="n">
        <v>3.18</v>
      </c>
      <c r="G3144" s="0" t="n">
        <v>12747</v>
      </c>
      <c r="H3144" s="3" t="s">
        <v>120</v>
      </c>
      <c r="I3144" s="4" t="n">
        <f aca="false">D3144*F3144</f>
        <v>6.36</v>
      </c>
      <c r="J3144" s="3" t="n">
        <f aca="false">IF(AND(LEFT(A3144,1)&lt;&gt;"C",D3144&gt;0,F3144&gt;0),1,0)</f>
        <v>1</v>
      </c>
      <c r="K3144" s="3" t="n">
        <f aca="false">IF(AND(H3144="United Kingdom",G3144&lt;&gt;"",COUNTIFS($G$2:G3144,G3144,$H$2:H3144,"United Kingdom")=1),1,0)</f>
        <v>0</v>
      </c>
    </row>
    <row r="3145" customFormat="false" ht="15" hidden="false" customHeight="false" outlineLevel="0" collapsed="false">
      <c r="A3145" s="0" t="s">
        <v>667</v>
      </c>
      <c r="B3145" s="0" t="s">
        <v>39</v>
      </c>
      <c r="C3145" s="0" t="s">
        <v>40</v>
      </c>
      <c r="D3145" s="0" t="n">
        <v>1</v>
      </c>
      <c r="E3145" s="2" t="n">
        <v>40823.7548611111</v>
      </c>
      <c r="F3145" s="0" t="n">
        <v>2.58</v>
      </c>
      <c r="G3145" s="0" t="n">
        <v>12747</v>
      </c>
      <c r="H3145" s="3" t="s">
        <v>120</v>
      </c>
      <c r="I3145" s="4" t="n">
        <f aca="false">D3145*F3145</f>
        <v>2.58</v>
      </c>
      <c r="J3145" s="3" t="n">
        <f aca="false">IF(AND(LEFT(A3145,1)&lt;&gt;"C",D3145&gt;0,F3145&gt;0),1,0)</f>
        <v>1</v>
      </c>
      <c r="K3145" s="3" t="n">
        <f aca="false">IF(AND(H3145="United Kingdom",G3145&lt;&gt;"",COUNTIFS($G$2:G3145,G3145,$H$2:H3145,"United Kingdom")=1),1,0)</f>
        <v>0</v>
      </c>
    </row>
    <row r="3146" customFormat="false" ht="15" hidden="false" customHeight="false" outlineLevel="0" collapsed="false">
      <c r="A3146" s="0" t="s">
        <v>667</v>
      </c>
      <c r="B3146" s="0" t="s">
        <v>58</v>
      </c>
      <c r="C3146" s="0" t="s">
        <v>59</v>
      </c>
      <c r="D3146" s="0" t="n">
        <v>7</v>
      </c>
      <c r="E3146" s="2" t="n">
        <v>40823.7548611111</v>
      </c>
      <c r="F3146" s="0" t="n">
        <v>2.16</v>
      </c>
      <c r="G3146" s="0" t="n">
        <v>12747</v>
      </c>
      <c r="H3146" s="3" t="s">
        <v>120</v>
      </c>
      <c r="I3146" s="4" t="n">
        <f aca="false">D3146*F3146</f>
        <v>15.12</v>
      </c>
      <c r="J3146" s="3" t="n">
        <f aca="false">IF(AND(LEFT(A3146,1)&lt;&gt;"C",D3146&gt;0,F3146&gt;0),1,0)</f>
        <v>1</v>
      </c>
      <c r="K3146" s="3" t="n">
        <f aca="false">IF(AND(H3146="United Kingdom",G3146&lt;&gt;"",COUNTIFS($G$2:G3146,G3146,$H$2:H3146,"United Kingdom")=1),1,0)</f>
        <v>0</v>
      </c>
    </row>
    <row r="3147" customFormat="false" ht="15" hidden="false" customHeight="false" outlineLevel="0" collapsed="false">
      <c r="A3147" s="0" t="s">
        <v>668</v>
      </c>
      <c r="B3147" s="0" t="s">
        <v>52</v>
      </c>
      <c r="C3147" s="0" t="s">
        <v>53</v>
      </c>
      <c r="D3147" s="0" t="n">
        <v>3</v>
      </c>
      <c r="E3147" s="2" t="n">
        <v>40824.41875</v>
      </c>
      <c r="F3147" s="0" t="n">
        <v>4.16</v>
      </c>
      <c r="G3147" s="0" t="n">
        <v>14902</v>
      </c>
      <c r="H3147" s="3" t="s">
        <v>14</v>
      </c>
      <c r="I3147" s="4" t="n">
        <f aca="false">D3147*F3147</f>
        <v>12.48</v>
      </c>
      <c r="J3147" s="3" t="n">
        <f aca="false">IF(AND(LEFT(A3147,1)&lt;&gt;"C",D3147&gt;0,F3147&gt;0),1,0)</f>
        <v>1</v>
      </c>
      <c r="K3147" s="3" t="n">
        <f aca="false">IF(AND(H3147="United Kingdom",G3147&lt;&gt;"",COUNTIFS($G$2:G3147,G3147,$H$2:H3147,"United Kingdom")=1),1,0)</f>
        <v>0</v>
      </c>
    </row>
    <row r="3148" customFormat="false" ht="15" hidden="false" customHeight="false" outlineLevel="0" collapsed="false">
      <c r="A3148" s="0" t="s">
        <v>668</v>
      </c>
      <c r="B3148" s="0" t="s">
        <v>43</v>
      </c>
      <c r="C3148" s="0" t="s">
        <v>44</v>
      </c>
      <c r="D3148" s="0" t="n">
        <v>6</v>
      </c>
      <c r="E3148" s="2" t="n">
        <v>40824.41875</v>
      </c>
      <c r="F3148" s="0" t="n">
        <v>1.35</v>
      </c>
      <c r="G3148" s="0" t="n">
        <v>14902</v>
      </c>
      <c r="H3148" s="3" t="s">
        <v>14</v>
      </c>
      <c r="I3148" s="4" t="n">
        <f aca="false">D3148*F3148</f>
        <v>8.1</v>
      </c>
      <c r="J3148" s="3" t="n">
        <f aca="false">IF(AND(LEFT(A3148,1)&lt;&gt;"C",D3148&gt;0,F3148&gt;0),1,0)</f>
        <v>1</v>
      </c>
      <c r="K3148" s="3" t="n">
        <f aca="false">IF(AND(H3148="United Kingdom",G3148&lt;&gt;"",COUNTIFS($G$2:G3148,G3148,$H$2:H3148,"United Kingdom")=1),1,0)</f>
        <v>0</v>
      </c>
    </row>
    <row r="3149" customFormat="false" ht="15" hidden="false" customHeight="false" outlineLevel="0" collapsed="false">
      <c r="A3149" s="0" t="s">
        <v>669</v>
      </c>
      <c r="B3149" s="0" t="s">
        <v>25</v>
      </c>
      <c r="C3149" s="0" t="s">
        <v>26</v>
      </c>
      <c r="D3149" s="0" t="n">
        <v>12</v>
      </c>
      <c r="E3149" s="2" t="n">
        <v>40824.6319444445</v>
      </c>
      <c r="F3149" s="0" t="n">
        <v>2.21</v>
      </c>
      <c r="G3149" s="0" t="n">
        <v>13246</v>
      </c>
      <c r="H3149" s="3" t="s">
        <v>14</v>
      </c>
      <c r="I3149" s="4" t="n">
        <f aca="false">D3149*F3149</f>
        <v>26.52</v>
      </c>
      <c r="J3149" s="3" t="n">
        <f aca="false">IF(AND(LEFT(A3149,1)&lt;&gt;"C",D3149&gt;0,F3149&gt;0),1,0)</f>
        <v>1</v>
      </c>
      <c r="K3149" s="3" t="n">
        <f aca="false">IF(AND(H3149="United Kingdom",G3149&lt;&gt;"",COUNTIFS($G$2:G3149,G3149,$H$2:H3149,"United Kingdom")=1),1,0)</f>
        <v>0</v>
      </c>
    </row>
    <row r="3150" customFormat="false" ht="15" hidden="false" customHeight="false" outlineLevel="0" collapsed="false">
      <c r="A3150" s="0" t="s">
        <v>669</v>
      </c>
      <c r="B3150" s="0" t="s">
        <v>27</v>
      </c>
      <c r="C3150" s="0" t="s">
        <v>28</v>
      </c>
      <c r="D3150" s="0" t="n">
        <v>72</v>
      </c>
      <c r="E3150" s="2" t="n">
        <v>40824.6319444445</v>
      </c>
      <c r="F3150" s="0" t="n">
        <v>4.55</v>
      </c>
      <c r="G3150" s="0" t="n">
        <v>13246</v>
      </c>
      <c r="H3150" s="3" t="s">
        <v>14</v>
      </c>
      <c r="I3150" s="4" t="n">
        <f aca="false">D3150*F3150</f>
        <v>327.6</v>
      </c>
      <c r="J3150" s="3" t="n">
        <f aca="false">IF(AND(LEFT(A3150,1)&lt;&gt;"C",D3150&gt;0,F3150&gt;0),1,0)</f>
        <v>1</v>
      </c>
      <c r="K3150" s="3" t="n">
        <f aca="false">IF(AND(H3150="United Kingdom",G3150&lt;&gt;"",COUNTIFS($G$2:G3150,G3150,$H$2:H3150,"United Kingdom")=1),1,0)</f>
        <v>0</v>
      </c>
    </row>
    <row r="3151" customFormat="false" ht="15" hidden="false" customHeight="false" outlineLevel="0" collapsed="false">
      <c r="A3151" s="0" t="s">
        <v>669</v>
      </c>
      <c r="B3151" s="0" t="s">
        <v>65</v>
      </c>
      <c r="C3151" s="0" t="s">
        <v>66</v>
      </c>
      <c r="D3151" s="0" t="n">
        <v>288</v>
      </c>
      <c r="E3151" s="2" t="n">
        <v>40824.6319444445</v>
      </c>
      <c r="F3151" s="0" t="n">
        <v>4.75</v>
      </c>
      <c r="G3151" s="0" t="n">
        <v>13246</v>
      </c>
      <c r="H3151" s="3" t="s">
        <v>14</v>
      </c>
      <c r="I3151" s="4" t="n">
        <f aca="false">D3151*F3151</f>
        <v>1368</v>
      </c>
      <c r="J3151" s="3" t="n">
        <f aca="false">IF(AND(LEFT(A3151,1)&lt;&gt;"C",D3151&gt;0,F3151&gt;0),1,0)</f>
        <v>1</v>
      </c>
      <c r="K3151" s="3" t="n">
        <f aca="false">IF(AND(H3151="United Kingdom",G3151&lt;&gt;"",COUNTIFS($G$2:G3151,G3151,$H$2:H3151,"United Kingdom")=1),1,0)</f>
        <v>0</v>
      </c>
    </row>
    <row r="3152" customFormat="false" ht="15" hidden="false" customHeight="false" outlineLevel="0" collapsed="false">
      <c r="A3152" s="0" t="s">
        <v>669</v>
      </c>
      <c r="B3152" s="0" t="s">
        <v>60</v>
      </c>
      <c r="C3152" s="0" t="s">
        <v>61</v>
      </c>
      <c r="D3152" s="0" t="n">
        <v>6</v>
      </c>
      <c r="E3152" s="2" t="n">
        <v>40824.6319444445</v>
      </c>
      <c r="F3152" s="0" t="n">
        <v>0.63</v>
      </c>
      <c r="G3152" s="0" t="n">
        <v>13246</v>
      </c>
      <c r="H3152" s="3" t="s">
        <v>14</v>
      </c>
      <c r="I3152" s="4" t="n">
        <f aca="false">D3152*F3152</f>
        <v>3.78</v>
      </c>
      <c r="J3152" s="3" t="n">
        <f aca="false">IF(AND(LEFT(A3152,1)&lt;&gt;"C",D3152&gt;0,F3152&gt;0),1,0)</f>
        <v>1</v>
      </c>
      <c r="K3152" s="3" t="n">
        <f aca="false">IF(AND(H3152="United Kingdom",G3152&lt;&gt;"",COUNTIFS($G$2:G3152,G3152,$H$2:H3152,"United Kingdom")=1),1,0)</f>
        <v>0</v>
      </c>
    </row>
    <row r="3153" customFormat="false" ht="15" hidden="false" customHeight="false" outlineLevel="0" collapsed="false">
      <c r="A3153" s="0" t="s">
        <v>669</v>
      </c>
      <c r="B3153" s="0" t="s">
        <v>54</v>
      </c>
      <c r="C3153" s="0" t="s">
        <v>55</v>
      </c>
      <c r="D3153" s="0" t="n">
        <v>12</v>
      </c>
      <c r="E3153" s="2" t="n">
        <v>40824.6319444445</v>
      </c>
      <c r="F3153" s="0" t="n">
        <v>0.99</v>
      </c>
      <c r="G3153" s="0" t="n">
        <v>13246</v>
      </c>
      <c r="H3153" s="3" t="s">
        <v>14</v>
      </c>
      <c r="I3153" s="4" t="n">
        <f aca="false">D3153*F3153</f>
        <v>11.88</v>
      </c>
      <c r="J3153" s="3" t="n">
        <f aca="false">IF(AND(LEFT(A3153,1)&lt;&gt;"C",D3153&gt;0,F3153&gt;0),1,0)</f>
        <v>1</v>
      </c>
      <c r="K3153" s="3" t="n">
        <f aca="false">IF(AND(H3153="United Kingdom",G3153&lt;&gt;"",COUNTIFS($G$2:G3153,G3153,$H$2:H3153,"United Kingdom")=1),1,0)</f>
        <v>0</v>
      </c>
    </row>
    <row r="3154" customFormat="false" ht="15" hidden="false" customHeight="false" outlineLevel="0" collapsed="false">
      <c r="A3154" s="0" t="s">
        <v>669</v>
      </c>
      <c r="B3154" s="0" t="s">
        <v>68</v>
      </c>
      <c r="C3154" s="0" t="s">
        <v>69</v>
      </c>
      <c r="D3154" s="0" t="n">
        <v>576</v>
      </c>
      <c r="E3154" s="2" t="n">
        <v>40824.6319444445</v>
      </c>
      <c r="F3154" s="0" t="n">
        <v>1.26</v>
      </c>
      <c r="G3154" s="0" t="n">
        <v>13246</v>
      </c>
      <c r="H3154" s="3" t="s">
        <v>14</v>
      </c>
      <c r="I3154" s="4" t="n">
        <f aca="false">D3154*F3154</f>
        <v>725.76</v>
      </c>
      <c r="J3154" s="3" t="n">
        <f aca="false">IF(AND(LEFT(A3154,1)&lt;&gt;"C",D3154&gt;0,F3154&gt;0),1,0)</f>
        <v>1</v>
      </c>
      <c r="K3154" s="3" t="n">
        <f aca="false">IF(AND(H3154="United Kingdom",G3154&lt;&gt;"",COUNTIFS($G$2:G3154,G3154,$H$2:H3154,"United Kingdom")=1),1,0)</f>
        <v>0</v>
      </c>
    </row>
    <row r="3155" customFormat="false" ht="15" hidden="false" customHeight="false" outlineLevel="0" collapsed="false">
      <c r="A3155" s="0" t="s">
        <v>670</v>
      </c>
      <c r="B3155" s="0" t="s">
        <v>60</v>
      </c>
      <c r="C3155" s="0" t="s">
        <v>61</v>
      </c>
      <c r="D3155" s="0" t="n">
        <v>12</v>
      </c>
      <c r="E3155" s="2" t="n">
        <v>40824.65625</v>
      </c>
      <c r="F3155" s="0" t="n">
        <v>0.63</v>
      </c>
      <c r="G3155" s="0" t="n">
        <v>17191</v>
      </c>
      <c r="H3155" s="3" t="s">
        <v>14</v>
      </c>
      <c r="I3155" s="4" t="n">
        <f aca="false">D3155*F3155</f>
        <v>7.56</v>
      </c>
      <c r="J3155" s="3" t="n">
        <f aca="false">IF(AND(LEFT(A3155,1)&lt;&gt;"C",D3155&gt;0,F3155&gt;0),1,0)</f>
        <v>1</v>
      </c>
      <c r="K3155" s="3" t="n">
        <f aca="false">IF(AND(H3155="United Kingdom",G3155&lt;&gt;"",COUNTIFS($G$2:G3155,G3155,$H$2:H3155,"United Kingdom")=1),1,0)</f>
        <v>0</v>
      </c>
    </row>
    <row r="3156" customFormat="false" ht="15" hidden="false" customHeight="false" outlineLevel="0" collapsed="false">
      <c r="A3156" s="0" t="s">
        <v>670</v>
      </c>
      <c r="B3156" s="0" t="s">
        <v>22</v>
      </c>
      <c r="C3156" s="0" t="s">
        <v>23</v>
      </c>
      <c r="D3156" s="0" t="n">
        <v>8</v>
      </c>
      <c r="E3156" s="2" t="n">
        <v>40824.65625</v>
      </c>
      <c r="F3156" s="0" t="n">
        <v>3.18</v>
      </c>
      <c r="G3156" s="0" t="n">
        <v>17191</v>
      </c>
      <c r="H3156" s="3" t="s">
        <v>14</v>
      </c>
      <c r="I3156" s="4" t="n">
        <f aca="false">D3156*F3156</f>
        <v>25.44</v>
      </c>
      <c r="J3156" s="3" t="n">
        <f aca="false">IF(AND(LEFT(A3156,1)&lt;&gt;"C",D3156&gt;0,F3156&gt;0),1,0)</f>
        <v>1</v>
      </c>
      <c r="K3156" s="3" t="n">
        <f aca="false">IF(AND(H3156="United Kingdom",G3156&lt;&gt;"",COUNTIFS($G$2:G3156,G3156,$H$2:H3156,"United Kingdom")=1),1,0)</f>
        <v>0</v>
      </c>
    </row>
    <row r="3157" customFormat="false" ht="15" hidden="false" customHeight="false" outlineLevel="0" collapsed="false">
      <c r="A3157" s="0" t="s">
        <v>670</v>
      </c>
      <c r="B3157" s="0" t="s">
        <v>113</v>
      </c>
      <c r="C3157" s="0" t="s">
        <v>114</v>
      </c>
      <c r="D3157" s="0" t="n">
        <v>6</v>
      </c>
      <c r="E3157" s="2" t="n">
        <v>40824.65625</v>
      </c>
      <c r="F3157" s="0" t="n">
        <v>3.57</v>
      </c>
      <c r="G3157" s="0" t="n">
        <v>17191</v>
      </c>
      <c r="H3157" s="3" t="s">
        <v>14</v>
      </c>
      <c r="I3157" s="4" t="n">
        <f aca="false">D3157*F3157</f>
        <v>21.42</v>
      </c>
      <c r="J3157" s="3" t="n">
        <f aca="false">IF(AND(LEFT(A3157,1)&lt;&gt;"C",D3157&gt;0,F3157&gt;0),1,0)</f>
        <v>1</v>
      </c>
      <c r="K3157" s="3" t="n">
        <f aca="false">IF(AND(H3157="United Kingdom",G3157&lt;&gt;"",COUNTIFS($G$2:G3157,G3157,$H$2:H3157,"United Kingdom")=1),1,0)</f>
        <v>0</v>
      </c>
    </row>
    <row r="3158" customFormat="false" ht="15" hidden="false" customHeight="false" outlineLevel="0" collapsed="false">
      <c r="A3158" s="0" t="s">
        <v>670</v>
      </c>
      <c r="B3158" s="0" t="s">
        <v>52</v>
      </c>
      <c r="C3158" s="0" t="s">
        <v>53</v>
      </c>
      <c r="D3158" s="0" t="n">
        <v>3</v>
      </c>
      <c r="E3158" s="2" t="n">
        <v>40824.65625</v>
      </c>
      <c r="F3158" s="0" t="n">
        <v>4.16</v>
      </c>
      <c r="G3158" s="0" t="n">
        <v>17191</v>
      </c>
      <c r="H3158" s="3" t="s">
        <v>14</v>
      </c>
      <c r="I3158" s="4" t="n">
        <f aca="false">D3158*F3158</f>
        <v>12.48</v>
      </c>
      <c r="J3158" s="3" t="n">
        <f aca="false">IF(AND(LEFT(A3158,1)&lt;&gt;"C",D3158&gt;0,F3158&gt;0),1,0)</f>
        <v>1</v>
      </c>
      <c r="K3158" s="3" t="n">
        <f aca="false">IF(AND(H3158="United Kingdom",G3158&lt;&gt;"",COUNTIFS($G$2:G3158,G3158,$H$2:H3158,"United Kingdom")=1),1,0)</f>
        <v>0</v>
      </c>
    </row>
    <row r="3159" customFormat="false" ht="15" hidden="false" customHeight="false" outlineLevel="0" collapsed="false">
      <c r="A3159" s="0" t="s">
        <v>671</v>
      </c>
      <c r="B3159" s="0" t="s">
        <v>58</v>
      </c>
      <c r="C3159" s="0" t="s">
        <v>59</v>
      </c>
      <c r="D3159" s="0" t="n">
        <v>6</v>
      </c>
      <c r="E3159" s="2" t="n">
        <v>40824.7194444445</v>
      </c>
      <c r="F3159" s="0" t="n">
        <v>2.16</v>
      </c>
      <c r="G3159" s="0" t="n">
        <v>16261</v>
      </c>
      <c r="H3159" s="3" t="s">
        <v>14</v>
      </c>
      <c r="I3159" s="4" t="n">
        <f aca="false">D3159*F3159</f>
        <v>12.96</v>
      </c>
      <c r="J3159" s="3" t="n">
        <f aca="false">IF(AND(LEFT(A3159,1)&lt;&gt;"C",D3159&gt;0,F3159&gt;0),1,0)</f>
        <v>1</v>
      </c>
      <c r="K3159" s="3" t="n">
        <f aca="false">IF(AND(H3159="United Kingdom",G3159&lt;&gt;"",COUNTIFS($G$2:G3159,G3159,$H$2:H3159,"United Kingdom")=1),1,0)</f>
        <v>0</v>
      </c>
    </row>
    <row r="3160" customFormat="false" ht="15" hidden="false" customHeight="false" outlineLevel="0" collapsed="false">
      <c r="A3160" s="0" t="s">
        <v>671</v>
      </c>
      <c r="B3160" s="0" t="s">
        <v>80</v>
      </c>
      <c r="C3160" s="0" t="s">
        <v>81</v>
      </c>
      <c r="D3160" s="0" t="n">
        <v>1</v>
      </c>
      <c r="E3160" s="2" t="n">
        <v>40824.7194444445</v>
      </c>
      <c r="F3160" s="0" t="n">
        <v>1.53</v>
      </c>
      <c r="G3160" s="0" t="n">
        <v>16261</v>
      </c>
      <c r="H3160" s="3" t="s">
        <v>14</v>
      </c>
      <c r="I3160" s="4" t="n">
        <f aca="false">D3160*F3160</f>
        <v>1.53</v>
      </c>
      <c r="J3160" s="3" t="n">
        <f aca="false">IF(AND(LEFT(A3160,1)&lt;&gt;"C",D3160&gt;0,F3160&gt;0),1,0)</f>
        <v>1</v>
      </c>
      <c r="K3160" s="3" t="n">
        <f aca="false">IF(AND(H3160="United Kingdom",G3160&lt;&gt;"",COUNTIFS($G$2:G3160,G3160,$H$2:H3160,"United Kingdom")=1),1,0)</f>
        <v>0</v>
      </c>
    </row>
    <row r="3161" customFormat="false" ht="15" hidden="false" customHeight="false" outlineLevel="0" collapsed="false">
      <c r="A3161" s="0" t="s">
        <v>672</v>
      </c>
      <c r="B3161" s="0" t="s">
        <v>54</v>
      </c>
      <c r="C3161" s="0" t="s">
        <v>55</v>
      </c>
      <c r="D3161" s="0" t="n">
        <v>8</v>
      </c>
      <c r="E3161" s="2" t="n">
        <v>40824.7222222222</v>
      </c>
      <c r="F3161" s="0" t="n">
        <v>0.99</v>
      </c>
      <c r="H3161" s="3" t="s">
        <v>14</v>
      </c>
      <c r="I3161" s="4" t="n">
        <f aca="false">D3161*F3161</f>
        <v>7.92</v>
      </c>
      <c r="J3161" s="3" t="n">
        <f aca="false">IF(AND(LEFT(A3161,1)&lt;&gt;"C",D3161&gt;0,F3161&gt;0),1,0)</f>
        <v>1</v>
      </c>
      <c r="K3161" s="3" t="n">
        <f aca="false">IF(AND(H3161="United Kingdom",G3161&lt;&gt;"",COUNTIFS($G$2:G3161,G3161,$H$2:H3161,"United Kingdom")=1),1,0)</f>
        <v>0</v>
      </c>
    </row>
    <row r="3162" customFormat="false" ht="15" hidden="false" customHeight="false" outlineLevel="0" collapsed="false">
      <c r="A3162" s="0" t="s">
        <v>673</v>
      </c>
      <c r="B3162" s="0" t="s">
        <v>17</v>
      </c>
      <c r="C3162" s="0" t="s">
        <v>18</v>
      </c>
      <c r="D3162" s="0" t="n">
        <v>12</v>
      </c>
      <c r="E3162" s="2" t="n">
        <v>40824.7527777778</v>
      </c>
      <c r="F3162" s="0" t="n">
        <v>1.92</v>
      </c>
      <c r="G3162" s="0" t="n">
        <v>15671</v>
      </c>
      <c r="H3162" s="3" t="s">
        <v>14</v>
      </c>
      <c r="I3162" s="4" t="n">
        <f aca="false">D3162*F3162</f>
        <v>23.04</v>
      </c>
      <c r="J3162" s="3" t="n">
        <f aca="false">IF(AND(LEFT(A3162,1)&lt;&gt;"C",D3162&gt;0,F3162&gt;0),1,0)</f>
        <v>1</v>
      </c>
      <c r="K3162" s="3" t="n">
        <f aca="false">IF(AND(H3162="United Kingdom",G3162&lt;&gt;"",COUNTIFS($G$2:G3162,G3162,$H$2:H3162,"United Kingdom")=1),1,0)</f>
        <v>0</v>
      </c>
    </row>
    <row r="3163" customFormat="false" ht="15" hidden="false" customHeight="false" outlineLevel="0" collapsed="false">
      <c r="A3163" s="0" t="s">
        <v>673</v>
      </c>
      <c r="B3163" s="0" t="s">
        <v>41</v>
      </c>
      <c r="C3163" s="0" t="s">
        <v>42</v>
      </c>
      <c r="D3163" s="0" t="n">
        <v>4</v>
      </c>
      <c r="E3163" s="2" t="n">
        <v>40824.7527777778</v>
      </c>
      <c r="F3163" s="0" t="n">
        <v>3.28</v>
      </c>
      <c r="G3163" s="0" t="n">
        <v>15671</v>
      </c>
      <c r="H3163" s="3" t="s">
        <v>14</v>
      </c>
      <c r="I3163" s="4" t="n">
        <f aca="false">D3163*F3163</f>
        <v>13.12</v>
      </c>
      <c r="J3163" s="3" t="n">
        <f aca="false">IF(AND(LEFT(A3163,1)&lt;&gt;"C",D3163&gt;0,F3163&gt;0),1,0)</f>
        <v>1</v>
      </c>
      <c r="K3163" s="3" t="n">
        <f aca="false">IF(AND(H3163="United Kingdom",G3163&lt;&gt;"",COUNTIFS($G$2:G3163,G3163,$H$2:H3163,"United Kingdom")=1),1,0)</f>
        <v>0</v>
      </c>
    </row>
    <row r="3164" customFormat="false" ht="15" hidden="false" customHeight="false" outlineLevel="0" collapsed="false">
      <c r="A3164" s="0" t="s">
        <v>674</v>
      </c>
      <c r="B3164" s="0" t="s">
        <v>34</v>
      </c>
      <c r="C3164" s="0" t="s">
        <v>35</v>
      </c>
      <c r="D3164" s="0" t="n">
        <v>24</v>
      </c>
      <c r="E3164" s="2" t="n">
        <v>40824.7777777778</v>
      </c>
      <c r="F3164" s="0" t="n">
        <v>2.38</v>
      </c>
      <c r="G3164" s="0" t="n">
        <v>13280</v>
      </c>
      <c r="H3164" s="3" t="s">
        <v>14</v>
      </c>
      <c r="I3164" s="4" t="n">
        <f aca="false">D3164*F3164</f>
        <v>57.12</v>
      </c>
      <c r="J3164" s="3" t="n">
        <f aca="false">IF(AND(LEFT(A3164,1)&lt;&gt;"C",D3164&gt;0,F3164&gt;0),1,0)</f>
        <v>1</v>
      </c>
      <c r="K3164" s="3" t="n">
        <f aca="false">IF(AND(H3164="United Kingdom",G3164&lt;&gt;"",COUNTIFS($G$2:G3164,G3164,$H$2:H3164,"United Kingdom")=1),1,0)</f>
        <v>0</v>
      </c>
    </row>
    <row r="3165" customFormat="false" ht="15" hidden="false" customHeight="false" outlineLevel="0" collapsed="false">
      <c r="A3165" s="0" t="s">
        <v>675</v>
      </c>
      <c r="B3165" s="0" t="s">
        <v>32</v>
      </c>
      <c r="C3165" s="0" t="s">
        <v>33</v>
      </c>
      <c r="D3165" s="0" t="n">
        <v>8</v>
      </c>
      <c r="E3165" s="2" t="n">
        <v>40824.7805555556</v>
      </c>
      <c r="F3165" s="0" t="n">
        <v>1.19</v>
      </c>
      <c r="G3165" s="0" t="n">
        <v>14001</v>
      </c>
      <c r="H3165" s="3" t="s">
        <v>14</v>
      </c>
      <c r="I3165" s="4" t="n">
        <f aca="false">D3165*F3165</f>
        <v>9.52</v>
      </c>
      <c r="J3165" s="3" t="n">
        <f aca="false">IF(AND(LEFT(A3165,1)&lt;&gt;"C",D3165&gt;0,F3165&gt;0),1,0)</f>
        <v>1</v>
      </c>
      <c r="K3165" s="3" t="n">
        <f aca="false">IF(AND(H3165="United Kingdom",G3165&lt;&gt;"",COUNTIFS($G$2:G3165,G3165,$H$2:H3165,"United Kingdom")=1),1,0)</f>
        <v>0</v>
      </c>
    </row>
    <row r="3166" customFormat="false" ht="15" hidden="false" customHeight="false" outlineLevel="0" collapsed="false">
      <c r="A3166" s="0" t="s">
        <v>675</v>
      </c>
      <c r="B3166" s="0" t="s">
        <v>80</v>
      </c>
      <c r="C3166" s="0" t="s">
        <v>81</v>
      </c>
      <c r="D3166" s="0" t="n">
        <v>3</v>
      </c>
      <c r="E3166" s="2" t="n">
        <v>40824.7805555556</v>
      </c>
      <c r="F3166" s="0" t="n">
        <v>1.53</v>
      </c>
      <c r="G3166" s="0" t="n">
        <v>14001</v>
      </c>
      <c r="H3166" s="3" t="s">
        <v>14</v>
      </c>
      <c r="I3166" s="4" t="n">
        <f aca="false">D3166*F3166</f>
        <v>4.59</v>
      </c>
      <c r="J3166" s="3" t="n">
        <f aca="false">IF(AND(LEFT(A3166,1)&lt;&gt;"C",D3166&gt;0,F3166&gt;0),1,0)</f>
        <v>1</v>
      </c>
      <c r="K3166" s="3" t="n">
        <f aca="false">IF(AND(H3166="United Kingdom",G3166&lt;&gt;"",COUNTIFS($G$2:G3166,G3166,$H$2:H3166,"United Kingdom")=1),1,0)</f>
        <v>0</v>
      </c>
    </row>
    <row r="3167" customFormat="false" ht="15" hidden="false" customHeight="false" outlineLevel="0" collapsed="false">
      <c r="A3167" s="0" t="s">
        <v>675</v>
      </c>
      <c r="B3167" s="0" t="s">
        <v>54</v>
      </c>
      <c r="C3167" s="0" t="s">
        <v>55</v>
      </c>
      <c r="D3167" s="0" t="n">
        <v>3</v>
      </c>
      <c r="E3167" s="2" t="n">
        <v>40824.7805555556</v>
      </c>
      <c r="F3167" s="0" t="n">
        <v>0.99</v>
      </c>
      <c r="G3167" s="0" t="n">
        <v>14001</v>
      </c>
      <c r="H3167" s="3" t="s">
        <v>14</v>
      </c>
      <c r="I3167" s="4" t="n">
        <f aca="false">D3167*F3167</f>
        <v>2.97</v>
      </c>
      <c r="J3167" s="3" t="n">
        <f aca="false">IF(AND(LEFT(A3167,1)&lt;&gt;"C",D3167&gt;0,F3167&gt;0),1,0)</f>
        <v>1</v>
      </c>
      <c r="K3167" s="3" t="n">
        <f aca="false">IF(AND(H3167="United Kingdom",G3167&lt;&gt;"",COUNTIFS($G$2:G3167,G3167,$H$2:H3167,"United Kingdom")=1),1,0)</f>
        <v>0</v>
      </c>
    </row>
    <row r="3168" customFormat="false" ht="15" hidden="false" customHeight="false" outlineLevel="0" collapsed="false">
      <c r="A3168" s="0" t="s">
        <v>675</v>
      </c>
      <c r="B3168" s="0" t="s">
        <v>65</v>
      </c>
      <c r="C3168" s="0" t="s">
        <v>66</v>
      </c>
      <c r="D3168" s="0" t="n">
        <v>4</v>
      </c>
      <c r="E3168" s="2" t="n">
        <v>40824.7805555556</v>
      </c>
      <c r="F3168" s="0" t="n">
        <v>4.75</v>
      </c>
      <c r="G3168" s="0" t="n">
        <v>14001</v>
      </c>
      <c r="H3168" s="3" t="s">
        <v>14</v>
      </c>
      <c r="I3168" s="4" t="n">
        <f aca="false">D3168*F3168</f>
        <v>19</v>
      </c>
      <c r="J3168" s="3" t="n">
        <f aca="false">IF(AND(LEFT(A3168,1)&lt;&gt;"C",D3168&gt;0,F3168&gt;0),1,0)</f>
        <v>1</v>
      </c>
      <c r="K3168" s="3" t="n">
        <f aca="false">IF(AND(H3168="United Kingdom",G3168&lt;&gt;"",COUNTIFS($G$2:G3168,G3168,$H$2:H3168,"United Kingdom")=1),1,0)</f>
        <v>0</v>
      </c>
    </row>
    <row r="3169" customFormat="false" ht="15" hidden="false" customHeight="false" outlineLevel="0" collapsed="false">
      <c r="A3169" s="0" t="s">
        <v>675</v>
      </c>
      <c r="B3169" s="0" t="s">
        <v>75</v>
      </c>
      <c r="C3169" s="0" t="s">
        <v>76</v>
      </c>
      <c r="D3169" s="0" t="n">
        <v>6</v>
      </c>
      <c r="E3169" s="2" t="n">
        <v>40824.7805555556</v>
      </c>
      <c r="F3169" s="0" t="n">
        <v>1.97</v>
      </c>
      <c r="G3169" s="0" t="n">
        <v>14001</v>
      </c>
      <c r="H3169" s="3" t="s">
        <v>14</v>
      </c>
      <c r="I3169" s="4" t="n">
        <f aca="false">D3169*F3169</f>
        <v>11.82</v>
      </c>
      <c r="J3169" s="3" t="n">
        <f aca="false">IF(AND(LEFT(A3169,1)&lt;&gt;"C",D3169&gt;0,F3169&gt;0),1,0)</f>
        <v>1</v>
      </c>
      <c r="K3169" s="3" t="n">
        <f aca="false">IF(AND(H3169="United Kingdom",G3169&lt;&gt;"",COUNTIFS($G$2:G3169,G3169,$H$2:H3169,"United Kingdom")=1),1,0)</f>
        <v>0</v>
      </c>
    </row>
    <row r="3170" customFormat="false" ht="15" hidden="false" customHeight="false" outlineLevel="0" collapsed="false">
      <c r="A3170" s="0" t="s">
        <v>675</v>
      </c>
      <c r="B3170" s="0" t="s">
        <v>77</v>
      </c>
      <c r="C3170" s="0" t="s">
        <v>78</v>
      </c>
      <c r="D3170" s="0" t="n">
        <v>6</v>
      </c>
      <c r="E3170" s="2" t="n">
        <v>40824.7805555556</v>
      </c>
      <c r="F3170" s="0" t="n">
        <v>3.41</v>
      </c>
      <c r="G3170" s="0" t="n">
        <v>14001</v>
      </c>
      <c r="H3170" s="3" t="s">
        <v>14</v>
      </c>
      <c r="I3170" s="4" t="n">
        <f aca="false">D3170*F3170</f>
        <v>20.46</v>
      </c>
      <c r="J3170" s="3" t="n">
        <f aca="false">IF(AND(LEFT(A3170,1)&lt;&gt;"C",D3170&gt;0,F3170&gt;0),1,0)</f>
        <v>1</v>
      </c>
      <c r="K3170" s="3" t="n">
        <f aca="false">IF(AND(H3170="United Kingdom",G3170&lt;&gt;"",COUNTIFS($G$2:G3170,G3170,$H$2:H3170,"United Kingdom")=1),1,0)</f>
        <v>0</v>
      </c>
    </row>
    <row r="3171" customFormat="false" ht="15" hidden="false" customHeight="false" outlineLevel="0" collapsed="false">
      <c r="A3171" s="0" t="s">
        <v>675</v>
      </c>
      <c r="B3171" s="0" t="s">
        <v>15</v>
      </c>
      <c r="C3171" s="0" t="s">
        <v>16</v>
      </c>
      <c r="D3171" s="0" t="n">
        <v>3</v>
      </c>
      <c r="E3171" s="2" t="n">
        <v>40824.7805555556</v>
      </c>
      <c r="F3171" s="0" t="n">
        <v>3.18</v>
      </c>
      <c r="G3171" s="0" t="n">
        <v>14001</v>
      </c>
      <c r="H3171" s="3" t="s">
        <v>14</v>
      </c>
      <c r="I3171" s="4" t="n">
        <f aca="false">D3171*F3171</f>
        <v>9.54</v>
      </c>
      <c r="J3171" s="3" t="n">
        <f aca="false">IF(AND(LEFT(A3171,1)&lt;&gt;"C",D3171&gt;0,F3171&gt;0),1,0)</f>
        <v>1</v>
      </c>
      <c r="K3171" s="3" t="n">
        <f aca="false">IF(AND(H3171="United Kingdom",G3171&lt;&gt;"",COUNTIFS($G$2:G3171,G3171,$H$2:H3171,"United Kingdom")=1),1,0)</f>
        <v>0</v>
      </c>
    </row>
    <row r="3172" customFormat="false" ht="15" hidden="false" customHeight="false" outlineLevel="0" collapsed="false">
      <c r="A3172" s="0" t="s">
        <v>675</v>
      </c>
      <c r="B3172" s="0" t="s">
        <v>22</v>
      </c>
      <c r="C3172" s="0" t="s">
        <v>23</v>
      </c>
      <c r="D3172" s="0" t="n">
        <v>8</v>
      </c>
      <c r="E3172" s="2" t="n">
        <v>40824.7805555556</v>
      </c>
      <c r="F3172" s="0" t="n">
        <v>3.18</v>
      </c>
      <c r="G3172" s="0" t="n">
        <v>14001</v>
      </c>
      <c r="H3172" s="3" t="s">
        <v>14</v>
      </c>
      <c r="I3172" s="4" t="n">
        <f aca="false">D3172*F3172</f>
        <v>25.44</v>
      </c>
      <c r="J3172" s="3" t="n">
        <f aca="false">IF(AND(LEFT(A3172,1)&lt;&gt;"C",D3172&gt;0,F3172&gt;0),1,0)</f>
        <v>1</v>
      </c>
      <c r="K3172" s="3" t="n">
        <f aca="false">IF(AND(H3172="United Kingdom",G3172&lt;&gt;"",COUNTIFS($G$2:G3172,G3172,$H$2:H3172,"United Kingdom")=1),1,0)</f>
        <v>0</v>
      </c>
    </row>
    <row r="3173" customFormat="false" ht="15" hidden="false" customHeight="false" outlineLevel="0" collapsed="false">
      <c r="A3173" s="0" t="s">
        <v>675</v>
      </c>
      <c r="B3173" s="0" t="s">
        <v>72</v>
      </c>
      <c r="C3173" s="0" t="s">
        <v>73</v>
      </c>
      <c r="D3173" s="0" t="n">
        <v>12</v>
      </c>
      <c r="E3173" s="2" t="n">
        <v>40824.7805555556</v>
      </c>
      <c r="F3173" s="0" t="n">
        <v>2.69</v>
      </c>
      <c r="G3173" s="0" t="n">
        <v>14001</v>
      </c>
      <c r="H3173" s="3" t="s">
        <v>14</v>
      </c>
      <c r="I3173" s="4" t="n">
        <f aca="false">D3173*F3173</f>
        <v>32.28</v>
      </c>
      <c r="J3173" s="3" t="n">
        <f aca="false">IF(AND(LEFT(A3173,1)&lt;&gt;"C",D3173&gt;0,F3173&gt;0),1,0)</f>
        <v>1</v>
      </c>
      <c r="K3173" s="3" t="n">
        <f aca="false">IF(AND(H3173="United Kingdom",G3173&lt;&gt;"",COUNTIFS($G$2:G3173,G3173,$H$2:H3173,"United Kingdom")=1),1,0)</f>
        <v>0</v>
      </c>
    </row>
    <row r="3174" customFormat="false" ht="15" hidden="false" customHeight="false" outlineLevel="0" collapsed="false">
      <c r="A3174" s="0" t="s">
        <v>675</v>
      </c>
      <c r="B3174" s="0" t="s">
        <v>34</v>
      </c>
      <c r="C3174" s="0" t="s">
        <v>35</v>
      </c>
      <c r="D3174" s="0" t="n">
        <v>4</v>
      </c>
      <c r="E3174" s="2" t="n">
        <v>40824.7805555556</v>
      </c>
      <c r="F3174" s="0" t="n">
        <v>2.38</v>
      </c>
      <c r="G3174" s="0" t="n">
        <v>14001</v>
      </c>
      <c r="H3174" s="3" t="s">
        <v>14</v>
      </c>
      <c r="I3174" s="4" t="n">
        <f aca="false">D3174*F3174</f>
        <v>9.52</v>
      </c>
      <c r="J3174" s="3" t="n">
        <f aca="false">IF(AND(LEFT(A3174,1)&lt;&gt;"C",D3174&gt;0,F3174&gt;0),1,0)</f>
        <v>1</v>
      </c>
      <c r="K3174" s="3" t="n">
        <f aca="false">IF(AND(H3174="United Kingdom",G3174&lt;&gt;"",COUNTIFS($G$2:G3174,G3174,$H$2:H3174,"United Kingdom")=1),1,0)</f>
        <v>0</v>
      </c>
    </row>
    <row r="3175" customFormat="false" ht="15" hidden="false" customHeight="false" outlineLevel="0" collapsed="false">
      <c r="A3175" s="0" t="s">
        <v>675</v>
      </c>
      <c r="B3175" s="0" t="s">
        <v>41</v>
      </c>
      <c r="C3175" s="0" t="s">
        <v>42</v>
      </c>
      <c r="D3175" s="0" t="n">
        <v>4</v>
      </c>
      <c r="E3175" s="2" t="n">
        <v>40824.7805555556</v>
      </c>
      <c r="F3175" s="0" t="n">
        <v>3.28</v>
      </c>
      <c r="G3175" s="0" t="n">
        <v>14001</v>
      </c>
      <c r="H3175" s="3" t="s">
        <v>14</v>
      </c>
      <c r="I3175" s="4" t="n">
        <f aca="false">D3175*F3175</f>
        <v>13.12</v>
      </c>
      <c r="J3175" s="3" t="n">
        <f aca="false">IF(AND(LEFT(A3175,1)&lt;&gt;"C",D3175&gt;0,F3175&gt;0),1,0)</f>
        <v>1</v>
      </c>
      <c r="K3175" s="3" t="n">
        <f aca="false">IF(AND(H3175="United Kingdom",G3175&lt;&gt;"",COUNTIFS($G$2:G3175,G3175,$H$2:H3175,"United Kingdom")=1),1,0)</f>
        <v>0</v>
      </c>
    </row>
    <row r="3176" customFormat="false" ht="15" hidden="false" customHeight="false" outlineLevel="0" collapsed="false">
      <c r="A3176" s="0" t="s">
        <v>675</v>
      </c>
      <c r="B3176" s="0" t="s">
        <v>45</v>
      </c>
      <c r="C3176" s="0" t="s">
        <v>46</v>
      </c>
      <c r="D3176" s="0" t="n">
        <v>4</v>
      </c>
      <c r="E3176" s="2" t="n">
        <v>40824.7805555556</v>
      </c>
      <c r="F3176" s="0" t="n">
        <v>4.55</v>
      </c>
      <c r="G3176" s="0" t="n">
        <v>14001</v>
      </c>
      <c r="H3176" s="3" t="s">
        <v>14</v>
      </c>
      <c r="I3176" s="4" t="n">
        <f aca="false">D3176*F3176</f>
        <v>18.2</v>
      </c>
      <c r="J3176" s="3" t="n">
        <f aca="false">IF(AND(LEFT(A3176,1)&lt;&gt;"C",D3176&gt;0,F3176&gt;0),1,0)</f>
        <v>1</v>
      </c>
      <c r="K3176" s="3" t="n">
        <f aca="false">IF(AND(H3176="United Kingdom",G3176&lt;&gt;"",COUNTIFS($G$2:G3176,G3176,$H$2:H3176,"United Kingdom")=1),1,0)</f>
        <v>0</v>
      </c>
    </row>
    <row r="3177" customFormat="false" ht="15" hidden="false" customHeight="false" outlineLevel="0" collapsed="false">
      <c r="A3177" s="0" t="s">
        <v>675</v>
      </c>
      <c r="B3177" s="0" t="s">
        <v>39</v>
      </c>
      <c r="C3177" s="0" t="s">
        <v>40</v>
      </c>
      <c r="D3177" s="0" t="n">
        <v>4</v>
      </c>
      <c r="E3177" s="2" t="n">
        <v>40824.7805555556</v>
      </c>
      <c r="F3177" s="0" t="n">
        <v>2.58</v>
      </c>
      <c r="G3177" s="0" t="n">
        <v>14001</v>
      </c>
      <c r="H3177" s="3" t="s">
        <v>14</v>
      </c>
      <c r="I3177" s="4" t="n">
        <f aca="false">D3177*F3177</f>
        <v>10.32</v>
      </c>
      <c r="J3177" s="3" t="n">
        <f aca="false">IF(AND(LEFT(A3177,1)&lt;&gt;"C",D3177&gt;0,F3177&gt;0),1,0)</f>
        <v>1</v>
      </c>
      <c r="K3177" s="3" t="n">
        <f aca="false">IF(AND(H3177="United Kingdom",G3177&lt;&gt;"",COUNTIFS($G$2:G3177,G3177,$H$2:H3177,"United Kingdom")=1),1,0)</f>
        <v>0</v>
      </c>
    </row>
    <row r="3178" customFormat="false" ht="15" hidden="false" customHeight="false" outlineLevel="0" collapsed="false">
      <c r="A3178" s="0" t="s">
        <v>675</v>
      </c>
      <c r="B3178" s="0" t="s">
        <v>27</v>
      </c>
      <c r="C3178" s="0" t="s">
        <v>28</v>
      </c>
      <c r="D3178" s="0" t="n">
        <v>4</v>
      </c>
      <c r="E3178" s="2" t="n">
        <v>40824.7805555556</v>
      </c>
      <c r="F3178" s="0" t="n">
        <v>4.55</v>
      </c>
      <c r="G3178" s="0" t="n">
        <v>14001</v>
      </c>
      <c r="H3178" s="3" t="s">
        <v>14</v>
      </c>
      <c r="I3178" s="4" t="n">
        <f aca="false">D3178*F3178</f>
        <v>18.2</v>
      </c>
      <c r="J3178" s="3" t="n">
        <f aca="false">IF(AND(LEFT(A3178,1)&lt;&gt;"C",D3178&gt;0,F3178&gt;0),1,0)</f>
        <v>1</v>
      </c>
      <c r="K3178" s="3" t="n">
        <f aca="false">IF(AND(H3178="United Kingdom",G3178&lt;&gt;"",COUNTIFS($G$2:G3178,G3178,$H$2:H3178,"United Kingdom")=1),1,0)</f>
        <v>0</v>
      </c>
    </row>
    <row r="3179" customFormat="false" ht="15" hidden="false" customHeight="false" outlineLevel="0" collapsed="false">
      <c r="A3179" s="0" t="s">
        <v>676</v>
      </c>
      <c r="B3179" s="0" t="s">
        <v>75</v>
      </c>
      <c r="C3179" s="0" t="s">
        <v>76</v>
      </c>
      <c r="D3179" s="0" t="n">
        <v>3</v>
      </c>
      <c r="E3179" s="2" t="n">
        <v>40825.3805555556</v>
      </c>
      <c r="F3179" s="0" t="n">
        <v>1.97</v>
      </c>
      <c r="G3179" s="0" t="n">
        <v>17191</v>
      </c>
      <c r="H3179" s="3" t="s">
        <v>14</v>
      </c>
      <c r="I3179" s="4" t="n">
        <f aca="false">D3179*F3179</f>
        <v>5.91</v>
      </c>
      <c r="J3179" s="3" t="n">
        <f aca="false">IF(AND(LEFT(A3179,1)&lt;&gt;"C",D3179&gt;0,F3179&gt;0),1,0)</f>
        <v>1</v>
      </c>
      <c r="K3179" s="3" t="n">
        <f aca="false">IF(AND(H3179="United Kingdom",G3179&lt;&gt;"",COUNTIFS($G$2:G3179,G3179,$H$2:H3179,"United Kingdom")=1),1,0)</f>
        <v>0</v>
      </c>
    </row>
    <row r="3180" customFormat="false" ht="15" hidden="false" customHeight="false" outlineLevel="0" collapsed="false">
      <c r="A3180" s="0" t="s">
        <v>676</v>
      </c>
      <c r="B3180" s="0" t="s">
        <v>54</v>
      </c>
      <c r="C3180" s="0" t="s">
        <v>55</v>
      </c>
      <c r="D3180" s="0" t="n">
        <v>3</v>
      </c>
      <c r="E3180" s="2" t="n">
        <v>40825.3805555556</v>
      </c>
      <c r="F3180" s="0" t="n">
        <v>0.99</v>
      </c>
      <c r="G3180" s="0" t="n">
        <v>17191</v>
      </c>
      <c r="H3180" s="3" t="s">
        <v>14</v>
      </c>
      <c r="I3180" s="4" t="n">
        <f aca="false">D3180*F3180</f>
        <v>2.97</v>
      </c>
      <c r="J3180" s="3" t="n">
        <f aca="false">IF(AND(LEFT(A3180,1)&lt;&gt;"C",D3180&gt;0,F3180&gt;0),1,0)</f>
        <v>1</v>
      </c>
      <c r="K3180" s="3" t="n">
        <f aca="false">IF(AND(H3180="United Kingdom",G3180&lt;&gt;"",COUNTIFS($G$2:G3180,G3180,$H$2:H3180,"United Kingdom")=1),1,0)</f>
        <v>0</v>
      </c>
    </row>
    <row r="3181" customFormat="false" ht="15" hidden="false" customHeight="false" outlineLevel="0" collapsed="false">
      <c r="A3181" s="0" t="s">
        <v>676</v>
      </c>
      <c r="B3181" s="0" t="s">
        <v>48</v>
      </c>
      <c r="C3181" s="0" t="s">
        <v>49</v>
      </c>
      <c r="D3181" s="0" t="n">
        <v>8</v>
      </c>
      <c r="E3181" s="2" t="n">
        <v>40825.3805555556</v>
      </c>
      <c r="F3181" s="0" t="n">
        <v>1.35</v>
      </c>
      <c r="G3181" s="0" t="n">
        <v>17191</v>
      </c>
      <c r="H3181" s="3" t="s">
        <v>14</v>
      </c>
      <c r="I3181" s="4" t="n">
        <f aca="false">D3181*F3181</f>
        <v>10.8</v>
      </c>
      <c r="J3181" s="3" t="n">
        <f aca="false">IF(AND(LEFT(A3181,1)&lt;&gt;"C",D3181&gt;0,F3181&gt;0),1,0)</f>
        <v>1</v>
      </c>
      <c r="K3181" s="3" t="n">
        <f aca="false">IF(AND(H3181="United Kingdom",G3181&lt;&gt;"",COUNTIFS($G$2:G3181,G3181,$H$2:H3181,"United Kingdom")=1),1,0)</f>
        <v>0</v>
      </c>
    </row>
    <row r="3182" customFormat="false" ht="15" hidden="false" customHeight="false" outlineLevel="0" collapsed="false">
      <c r="A3182" s="0" t="s">
        <v>676</v>
      </c>
      <c r="B3182" s="0" t="s">
        <v>45</v>
      </c>
      <c r="C3182" s="0" t="s">
        <v>46</v>
      </c>
      <c r="D3182" s="0" t="n">
        <v>24</v>
      </c>
      <c r="E3182" s="2" t="n">
        <v>40825.3805555556</v>
      </c>
      <c r="F3182" s="0" t="n">
        <v>4.55</v>
      </c>
      <c r="G3182" s="0" t="n">
        <v>17191</v>
      </c>
      <c r="H3182" s="3" t="s">
        <v>14</v>
      </c>
      <c r="I3182" s="4" t="n">
        <f aca="false">D3182*F3182</f>
        <v>109.2</v>
      </c>
      <c r="J3182" s="3" t="n">
        <f aca="false">IF(AND(LEFT(A3182,1)&lt;&gt;"C",D3182&gt;0,F3182&gt;0),1,0)</f>
        <v>1</v>
      </c>
      <c r="K3182" s="3" t="n">
        <f aca="false">IF(AND(H3182="United Kingdom",G3182&lt;&gt;"",COUNTIFS($G$2:G3182,G3182,$H$2:H3182,"United Kingdom")=1),1,0)</f>
        <v>0</v>
      </c>
    </row>
    <row r="3183" customFormat="false" ht="15" hidden="false" customHeight="false" outlineLevel="0" collapsed="false">
      <c r="A3183" s="0" t="s">
        <v>677</v>
      </c>
      <c r="B3183" s="0" t="s">
        <v>22</v>
      </c>
      <c r="C3183" s="0" t="s">
        <v>23</v>
      </c>
      <c r="D3183" s="0" t="n">
        <v>4</v>
      </c>
      <c r="E3183" s="2" t="n">
        <v>40826.5680555556</v>
      </c>
      <c r="F3183" s="0" t="n">
        <v>3.18</v>
      </c>
      <c r="G3183" s="0" t="n">
        <v>13759</v>
      </c>
      <c r="H3183" s="3" t="s">
        <v>14</v>
      </c>
      <c r="I3183" s="4" t="n">
        <f aca="false">D3183*F3183</f>
        <v>12.72</v>
      </c>
      <c r="J3183" s="3" t="n">
        <f aca="false">IF(AND(LEFT(A3183,1)&lt;&gt;"C",D3183&gt;0,F3183&gt;0),1,0)</f>
        <v>1</v>
      </c>
      <c r="K3183" s="3" t="n">
        <f aca="false">IF(AND(H3183="United Kingdom",G3183&lt;&gt;"",COUNTIFS($G$2:G3183,G3183,$H$2:H3183,"United Kingdom")=1),1,0)</f>
        <v>0</v>
      </c>
    </row>
    <row r="3184" customFormat="false" ht="15" hidden="false" customHeight="false" outlineLevel="0" collapsed="false">
      <c r="A3184" s="0" t="s">
        <v>677</v>
      </c>
      <c r="B3184" s="0" t="s">
        <v>65</v>
      </c>
      <c r="C3184" s="0" t="s">
        <v>66</v>
      </c>
      <c r="D3184" s="0" t="n">
        <v>1</v>
      </c>
      <c r="E3184" s="2" t="n">
        <v>40826.5680555556</v>
      </c>
      <c r="F3184" s="0" t="n">
        <v>4.75</v>
      </c>
      <c r="G3184" s="0" t="n">
        <v>13759</v>
      </c>
      <c r="H3184" s="3" t="s">
        <v>14</v>
      </c>
      <c r="I3184" s="4" t="n">
        <f aca="false">D3184*F3184</f>
        <v>4.75</v>
      </c>
      <c r="J3184" s="3" t="n">
        <f aca="false">IF(AND(LEFT(A3184,1)&lt;&gt;"C",D3184&gt;0,F3184&gt;0),1,0)</f>
        <v>1</v>
      </c>
      <c r="K3184" s="3" t="n">
        <f aca="false">IF(AND(H3184="United Kingdom",G3184&lt;&gt;"",COUNTIFS($G$2:G3184,G3184,$H$2:H3184,"United Kingdom")=1),1,0)</f>
        <v>0</v>
      </c>
    </row>
    <row r="3185" customFormat="false" ht="15" hidden="false" customHeight="false" outlineLevel="0" collapsed="false">
      <c r="A3185" s="0" t="s">
        <v>677</v>
      </c>
      <c r="B3185" s="0" t="s">
        <v>75</v>
      </c>
      <c r="C3185" s="0" t="s">
        <v>76</v>
      </c>
      <c r="D3185" s="0" t="n">
        <v>2</v>
      </c>
      <c r="E3185" s="2" t="n">
        <v>40826.5680555556</v>
      </c>
      <c r="F3185" s="0" t="n">
        <v>1.97</v>
      </c>
      <c r="G3185" s="0" t="n">
        <v>13759</v>
      </c>
      <c r="H3185" s="3" t="s">
        <v>14</v>
      </c>
      <c r="I3185" s="4" t="n">
        <f aca="false">D3185*F3185</f>
        <v>3.94</v>
      </c>
      <c r="J3185" s="3" t="n">
        <f aca="false">IF(AND(LEFT(A3185,1)&lt;&gt;"C",D3185&gt;0,F3185&gt;0),1,0)</f>
        <v>1</v>
      </c>
      <c r="K3185" s="3" t="n">
        <f aca="false">IF(AND(H3185="United Kingdom",G3185&lt;&gt;"",COUNTIFS($G$2:G3185,G3185,$H$2:H3185,"United Kingdom")=1),1,0)</f>
        <v>0</v>
      </c>
    </row>
    <row r="3186" customFormat="false" ht="15" hidden="false" customHeight="false" outlineLevel="0" collapsed="false">
      <c r="A3186" s="0" t="s">
        <v>677</v>
      </c>
      <c r="B3186" s="0" t="s">
        <v>41</v>
      </c>
      <c r="C3186" s="0" t="s">
        <v>42</v>
      </c>
      <c r="D3186" s="0" t="n">
        <v>12</v>
      </c>
      <c r="E3186" s="2" t="n">
        <v>40826.5680555556</v>
      </c>
      <c r="F3186" s="0" t="n">
        <v>3.28</v>
      </c>
      <c r="G3186" s="0" t="n">
        <v>13759</v>
      </c>
      <c r="H3186" s="3" t="s">
        <v>14</v>
      </c>
      <c r="I3186" s="4" t="n">
        <f aca="false">D3186*F3186</f>
        <v>39.36</v>
      </c>
      <c r="J3186" s="3" t="n">
        <f aca="false">IF(AND(LEFT(A3186,1)&lt;&gt;"C",D3186&gt;0,F3186&gt;0),1,0)</f>
        <v>1</v>
      </c>
      <c r="K3186" s="3" t="n">
        <f aca="false">IF(AND(H3186="United Kingdom",G3186&lt;&gt;"",COUNTIFS($G$2:G3186,G3186,$H$2:H3186,"United Kingdom")=1),1,0)</f>
        <v>0</v>
      </c>
    </row>
    <row r="3187" customFormat="false" ht="15" hidden="false" customHeight="false" outlineLevel="0" collapsed="false">
      <c r="A3187" s="0" t="s">
        <v>677</v>
      </c>
      <c r="B3187" s="0" t="s">
        <v>77</v>
      </c>
      <c r="C3187" s="0" t="s">
        <v>78</v>
      </c>
      <c r="D3187" s="0" t="n">
        <v>8</v>
      </c>
      <c r="E3187" s="2" t="n">
        <v>40826.5680555556</v>
      </c>
      <c r="F3187" s="0" t="n">
        <v>3.41</v>
      </c>
      <c r="G3187" s="0" t="n">
        <v>13759</v>
      </c>
      <c r="H3187" s="3" t="s">
        <v>14</v>
      </c>
      <c r="I3187" s="4" t="n">
        <f aca="false">D3187*F3187</f>
        <v>27.28</v>
      </c>
      <c r="J3187" s="3" t="n">
        <f aca="false">IF(AND(LEFT(A3187,1)&lt;&gt;"C",D3187&gt;0,F3187&gt;0),1,0)</f>
        <v>1</v>
      </c>
      <c r="K3187" s="3" t="n">
        <f aca="false">IF(AND(H3187="United Kingdom",G3187&lt;&gt;"",COUNTIFS($G$2:G3187,G3187,$H$2:H3187,"United Kingdom")=1),1,0)</f>
        <v>0</v>
      </c>
    </row>
    <row r="3188" customFormat="false" ht="15" hidden="false" customHeight="false" outlineLevel="0" collapsed="false">
      <c r="A3188" s="0" t="s">
        <v>677</v>
      </c>
      <c r="B3188" s="0" t="s">
        <v>25</v>
      </c>
      <c r="C3188" s="0" t="s">
        <v>26</v>
      </c>
      <c r="D3188" s="0" t="n">
        <v>2</v>
      </c>
      <c r="E3188" s="2" t="n">
        <v>40826.5680555556</v>
      </c>
      <c r="F3188" s="0" t="n">
        <v>2.21</v>
      </c>
      <c r="G3188" s="0" t="n">
        <v>13759</v>
      </c>
      <c r="H3188" s="3" t="s">
        <v>14</v>
      </c>
      <c r="I3188" s="4" t="n">
        <f aca="false">D3188*F3188</f>
        <v>4.42</v>
      </c>
      <c r="J3188" s="3" t="n">
        <f aca="false">IF(AND(LEFT(A3188,1)&lt;&gt;"C",D3188&gt;0,F3188&gt;0),1,0)</f>
        <v>1</v>
      </c>
      <c r="K3188" s="3" t="n">
        <f aca="false">IF(AND(H3188="United Kingdom",G3188&lt;&gt;"",COUNTIFS($G$2:G3188,G3188,$H$2:H3188,"United Kingdom")=1),1,0)</f>
        <v>0</v>
      </c>
    </row>
    <row r="3189" customFormat="false" ht="15" hidden="false" customHeight="false" outlineLevel="0" collapsed="false">
      <c r="A3189" s="0" t="s">
        <v>677</v>
      </c>
      <c r="B3189" s="0" t="s">
        <v>43</v>
      </c>
      <c r="C3189" s="0" t="s">
        <v>44</v>
      </c>
      <c r="D3189" s="0" t="n">
        <v>3</v>
      </c>
      <c r="E3189" s="2" t="n">
        <v>40826.5680555556</v>
      </c>
      <c r="F3189" s="0" t="n">
        <v>1.35</v>
      </c>
      <c r="G3189" s="0" t="n">
        <v>13759</v>
      </c>
      <c r="H3189" s="3" t="s">
        <v>14</v>
      </c>
      <c r="I3189" s="4" t="n">
        <f aca="false">D3189*F3189</f>
        <v>4.05</v>
      </c>
      <c r="J3189" s="3" t="n">
        <f aca="false">IF(AND(LEFT(A3189,1)&lt;&gt;"C",D3189&gt;0,F3189&gt;0),1,0)</f>
        <v>1</v>
      </c>
      <c r="K3189" s="3" t="n">
        <f aca="false">IF(AND(H3189="United Kingdom",G3189&lt;&gt;"",COUNTIFS($G$2:G3189,G3189,$H$2:H3189,"United Kingdom")=1),1,0)</f>
        <v>0</v>
      </c>
    </row>
    <row r="3190" customFormat="false" ht="15" hidden="false" customHeight="false" outlineLevel="0" collapsed="false">
      <c r="A3190" s="0" t="s">
        <v>677</v>
      </c>
      <c r="B3190" s="0" t="s">
        <v>34</v>
      </c>
      <c r="C3190" s="0" t="s">
        <v>35</v>
      </c>
      <c r="D3190" s="0" t="n">
        <v>3</v>
      </c>
      <c r="E3190" s="2" t="n">
        <v>40826.5680555556</v>
      </c>
      <c r="F3190" s="0" t="n">
        <v>2.38</v>
      </c>
      <c r="G3190" s="0" t="n">
        <v>13759</v>
      </c>
      <c r="H3190" s="3" t="s">
        <v>14</v>
      </c>
      <c r="I3190" s="4" t="n">
        <f aca="false">D3190*F3190</f>
        <v>7.14</v>
      </c>
      <c r="J3190" s="3" t="n">
        <f aca="false">IF(AND(LEFT(A3190,1)&lt;&gt;"C",D3190&gt;0,F3190&gt;0),1,0)</f>
        <v>1</v>
      </c>
      <c r="K3190" s="3" t="n">
        <f aca="false">IF(AND(H3190="United Kingdom",G3190&lt;&gt;"",COUNTIFS($G$2:G3190,G3190,$H$2:H3190,"United Kingdom")=1),1,0)</f>
        <v>0</v>
      </c>
    </row>
    <row r="3191" customFormat="false" ht="15" hidden="false" customHeight="false" outlineLevel="0" collapsed="false">
      <c r="A3191" s="0" t="s">
        <v>677</v>
      </c>
      <c r="B3191" s="0" t="s">
        <v>50</v>
      </c>
      <c r="C3191" s="0" t="s">
        <v>51</v>
      </c>
      <c r="D3191" s="0" t="n">
        <v>2</v>
      </c>
      <c r="E3191" s="2" t="n">
        <v>40826.5680555556</v>
      </c>
      <c r="F3191" s="0" t="n">
        <v>5.41</v>
      </c>
      <c r="G3191" s="0" t="n">
        <v>13759</v>
      </c>
      <c r="H3191" s="3" t="s">
        <v>14</v>
      </c>
      <c r="I3191" s="4" t="n">
        <f aca="false">D3191*F3191</f>
        <v>10.82</v>
      </c>
      <c r="J3191" s="3" t="n">
        <f aca="false">IF(AND(LEFT(A3191,1)&lt;&gt;"C",D3191&gt;0,F3191&gt;0),1,0)</f>
        <v>1</v>
      </c>
      <c r="K3191" s="3" t="n">
        <f aca="false">IF(AND(H3191="United Kingdom",G3191&lt;&gt;"",COUNTIFS($G$2:G3191,G3191,$H$2:H3191,"United Kingdom")=1),1,0)</f>
        <v>0</v>
      </c>
    </row>
    <row r="3192" customFormat="false" ht="15" hidden="false" customHeight="false" outlineLevel="0" collapsed="false">
      <c r="A3192" s="0" t="s">
        <v>678</v>
      </c>
      <c r="B3192" s="0" t="s">
        <v>15</v>
      </c>
      <c r="C3192" s="0" t="s">
        <v>16</v>
      </c>
      <c r="D3192" s="0" t="n">
        <v>1</v>
      </c>
      <c r="E3192" s="2" t="n">
        <v>40826.7479166667</v>
      </c>
      <c r="F3192" s="0" t="n">
        <v>3.18</v>
      </c>
      <c r="G3192" s="0" t="n">
        <v>17746</v>
      </c>
      <c r="H3192" s="3" t="s">
        <v>14</v>
      </c>
      <c r="I3192" s="4" t="n">
        <f aca="false">D3192*F3192</f>
        <v>3.18</v>
      </c>
      <c r="J3192" s="3" t="n">
        <f aca="false">IF(AND(LEFT(A3192,1)&lt;&gt;"C",D3192&gt;0,F3192&gt;0),1,0)</f>
        <v>1</v>
      </c>
      <c r="K3192" s="3" t="n">
        <f aca="false">IF(AND(H3192="United Kingdom",G3192&lt;&gt;"",COUNTIFS($G$2:G3192,G3192,$H$2:H3192,"United Kingdom")=1),1,0)</f>
        <v>0</v>
      </c>
    </row>
    <row r="3193" customFormat="false" ht="15" hidden="false" customHeight="false" outlineLevel="0" collapsed="false">
      <c r="A3193" s="0" t="s">
        <v>678</v>
      </c>
      <c r="B3193" s="0" t="s">
        <v>43</v>
      </c>
      <c r="C3193" s="0" t="s">
        <v>44</v>
      </c>
      <c r="D3193" s="0" t="n">
        <v>1</v>
      </c>
      <c r="E3193" s="2" t="n">
        <v>40826.7479166667</v>
      </c>
      <c r="F3193" s="0" t="n">
        <v>1.35</v>
      </c>
      <c r="G3193" s="0" t="n">
        <v>17746</v>
      </c>
      <c r="H3193" s="3" t="s">
        <v>14</v>
      </c>
      <c r="I3193" s="4" t="n">
        <f aca="false">D3193*F3193</f>
        <v>1.35</v>
      </c>
      <c r="J3193" s="3" t="n">
        <f aca="false">IF(AND(LEFT(A3193,1)&lt;&gt;"C",D3193&gt;0,F3193&gt;0),1,0)</f>
        <v>1</v>
      </c>
      <c r="K3193" s="3" t="n">
        <f aca="false">IF(AND(H3193="United Kingdom",G3193&lt;&gt;"",COUNTIFS($G$2:G3193,G3193,$H$2:H3193,"United Kingdom")=1),1,0)</f>
        <v>0</v>
      </c>
    </row>
    <row r="3194" customFormat="false" ht="15" hidden="false" customHeight="false" outlineLevel="0" collapsed="false">
      <c r="A3194" s="0" t="s">
        <v>678</v>
      </c>
      <c r="B3194" s="0" t="s">
        <v>52</v>
      </c>
      <c r="C3194" s="0" t="s">
        <v>53</v>
      </c>
      <c r="D3194" s="0" t="n">
        <v>12</v>
      </c>
      <c r="E3194" s="2" t="n">
        <v>40826.7479166667</v>
      </c>
      <c r="F3194" s="0" t="n">
        <v>4.16</v>
      </c>
      <c r="G3194" s="0" t="n">
        <v>17746</v>
      </c>
      <c r="H3194" s="3" t="s">
        <v>14</v>
      </c>
      <c r="I3194" s="4" t="n">
        <f aca="false">D3194*F3194</f>
        <v>49.92</v>
      </c>
      <c r="J3194" s="3" t="n">
        <f aca="false">IF(AND(LEFT(A3194,1)&lt;&gt;"C",D3194&gt;0,F3194&gt;0),1,0)</f>
        <v>1</v>
      </c>
      <c r="K3194" s="3" t="n">
        <f aca="false">IF(AND(H3194="United Kingdom",G3194&lt;&gt;"",COUNTIFS($G$2:G3194,G3194,$H$2:H3194,"United Kingdom")=1),1,0)</f>
        <v>0</v>
      </c>
    </row>
    <row r="3195" customFormat="false" ht="15" hidden="false" customHeight="false" outlineLevel="0" collapsed="false">
      <c r="A3195" s="0" t="s">
        <v>678</v>
      </c>
      <c r="B3195" s="0" t="s">
        <v>22</v>
      </c>
      <c r="C3195" s="0" t="s">
        <v>23</v>
      </c>
      <c r="D3195" s="0" t="n">
        <v>2</v>
      </c>
      <c r="E3195" s="2" t="n">
        <v>40826.7479166667</v>
      </c>
      <c r="F3195" s="0" t="n">
        <v>3.18</v>
      </c>
      <c r="G3195" s="0" t="n">
        <v>17746</v>
      </c>
      <c r="H3195" s="3" t="s">
        <v>14</v>
      </c>
      <c r="I3195" s="4" t="n">
        <f aca="false">D3195*F3195</f>
        <v>6.36</v>
      </c>
      <c r="J3195" s="3" t="n">
        <f aca="false">IF(AND(LEFT(A3195,1)&lt;&gt;"C",D3195&gt;0,F3195&gt;0),1,0)</f>
        <v>1</v>
      </c>
      <c r="K3195" s="3" t="n">
        <f aca="false">IF(AND(H3195="United Kingdom",G3195&lt;&gt;"",COUNTIFS($G$2:G3195,G3195,$H$2:H3195,"United Kingdom")=1),1,0)</f>
        <v>0</v>
      </c>
    </row>
    <row r="3196" customFormat="false" ht="15" hidden="false" customHeight="false" outlineLevel="0" collapsed="false">
      <c r="A3196" s="0" t="s">
        <v>678</v>
      </c>
      <c r="B3196" s="0" t="s">
        <v>17</v>
      </c>
      <c r="C3196" s="0" t="s">
        <v>18</v>
      </c>
      <c r="D3196" s="0" t="n">
        <v>2</v>
      </c>
      <c r="E3196" s="2" t="n">
        <v>40826.7479166667</v>
      </c>
      <c r="F3196" s="0" t="n">
        <v>1.92</v>
      </c>
      <c r="G3196" s="0" t="n">
        <v>17746</v>
      </c>
      <c r="H3196" s="3" t="s">
        <v>14</v>
      </c>
      <c r="I3196" s="4" t="n">
        <f aca="false">D3196*F3196</f>
        <v>3.84</v>
      </c>
      <c r="J3196" s="3" t="n">
        <f aca="false">IF(AND(LEFT(A3196,1)&lt;&gt;"C",D3196&gt;0,F3196&gt;0),1,0)</f>
        <v>1</v>
      </c>
      <c r="K3196" s="3" t="n">
        <f aca="false">IF(AND(H3196="United Kingdom",G3196&lt;&gt;"",COUNTIFS($G$2:G3196,G3196,$H$2:H3196,"United Kingdom")=1),1,0)</f>
        <v>0</v>
      </c>
    </row>
    <row r="3197" customFormat="false" ht="15" hidden="false" customHeight="false" outlineLevel="0" collapsed="false">
      <c r="A3197" s="0" t="s">
        <v>678</v>
      </c>
      <c r="B3197" s="0" t="s">
        <v>20</v>
      </c>
      <c r="C3197" s="0" t="s">
        <v>21</v>
      </c>
      <c r="D3197" s="0" t="n">
        <v>4</v>
      </c>
      <c r="E3197" s="2" t="n">
        <v>40826.7479166667</v>
      </c>
      <c r="F3197" s="0" t="n">
        <v>4.24</v>
      </c>
      <c r="G3197" s="0" t="n">
        <v>17746</v>
      </c>
      <c r="H3197" s="3" t="s">
        <v>14</v>
      </c>
      <c r="I3197" s="4" t="n">
        <f aca="false">D3197*F3197</f>
        <v>16.96</v>
      </c>
      <c r="J3197" s="3" t="n">
        <f aca="false">IF(AND(LEFT(A3197,1)&lt;&gt;"C",D3197&gt;0,F3197&gt;0),1,0)</f>
        <v>1</v>
      </c>
      <c r="K3197" s="3" t="n">
        <f aca="false">IF(AND(H3197="United Kingdom",G3197&lt;&gt;"",COUNTIFS($G$2:G3197,G3197,$H$2:H3197,"United Kingdom")=1),1,0)</f>
        <v>0</v>
      </c>
    </row>
    <row r="3198" customFormat="false" ht="15" hidden="false" customHeight="false" outlineLevel="0" collapsed="false">
      <c r="A3198" s="0" t="s">
        <v>678</v>
      </c>
      <c r="B3198" s="0" t="s">
        <v>32</v>
      </c>
      <c r="C3198" s="0" t="s">
        <v>33</v>
      </c>
      <c r="D3198" s="0" t="n">
        <v>3</v>
      </c>
      <c r="E3198" s="2" t="n">
        <v>40826.7479166667</v>
      </c>
      <c r="F3198" s="0" t="n">
        <v>1.19</v>
      </c>
      <c r="G3198" s="0" t="n">
        <v>17746</v>
      </c>
      <c r="H3198" s="3" t="s">
        <v>14</v>
      </c>
      <c r="I3198" s="4" t="n">
        <f aca="false">D3198*F3198</f>
        <v>3.57</v>
      </c>
      <c r="J3198" s="3" t="n">
        <f aca="false">IF(AND(LEFT(A3198,1)&lt;&gt;"C",D3198&gt;0,F3198&gt;0),1,0)</f>
        <v>1</v>
      </c>
      <c r="K3198" s="3" t="n">
        <f aca="false">IF(AND(H3198="United Kingdom",G3198&lt;&gt;"",COUNTIFS($G$2:G3198,G3198,$H$2:H3198,"United Kingdom")=1),1,0)</f>
        <v>0</v>
      </c>
    </row>
    <row r="3199" customFormat="false" ht="15" hidden="false" customHeight="false" outlineLevel="0" collapsed="false">
      <c r="A3199" s="0" t="s">
        <v>678</v>
      </c>
      <c r="B3199" s="0" t="s">
        <v>65</v>
      </c>
      <c r="C3199" s="0" t="s">
        <v>66</v>
      </c>
      <c r="D3199" s="0" t="n">
        <v>8</v>
      </c>
      <c r="E3199" s="2" t="n">
        <v>40826.7479166667</v>
      </c>
      <c r="F3199" s="0" t="n">
        <v>4.75</v>
      </c>
      <c r="G3199" s="0" t="n">
        <v>17746</v>
      </c>
      <c r="H3199" s="3" t="s">
        <v>14</v>
      </c>
      <c r="I3199" s="4" t="n">
        <f aca="false">D3199*F3199</f>
        <v>38</v>
      </c>
      <c r="J3199" s="3" t="n">
        <f aca="false">IF(AND(LEFT(A3199,1)&lt;&gt;"C",D3199&gt;0,F3199&gt;0),1,0)</f>
        <v>1</v>
      </c>
      <c r="K3199" s="3" t="n">
        <f aca="false">IF(AND(H3199="United Kingdom",G3199&lt;&gt;"",COUNTIFS($G$2:G3199,G3199,$H$2:H3199,"United Kingdom")=1),1,0)</f>
        <v>0</v>
      </c>
    </row>
    <row r="3200" customFormat="false" ht="15" hidden="false" customHeight="false" outlineLevel="0" collapsed="false">
      <c r="A3200" s="0" t="s">
        <v>678</v>
      </c>
      <c r="B3200" s="0" t="s">
        <v>68</v>
      </c>
      <c r="C3200" s="0" t="s">
        <v>69</v>
      </c>
      <c r="D3200" s="0" t="n">
        <v>12</v>
      </c>
      <c r="E3200" s="2" t="n">
        <v>40826.7479166667</v>
      </c>
      <c r="F3200" s="0" t="n">
        <v>1.26</v>
      </c>
      <c r="G3200" s="0" t="n">
        <v>17746</v>
      </c>
      <c r="H3200" s="3" t="s">
        <v>14</v>
      </c>
      <c r="I3200" s="4" t="n">
        <f aca="false">D3200*F3200</f>
        <v>15.12</v>
      </c>
      <c r="J3200" s="3" t="n">
        <f aca="false">IF(AND(LEFT(A3200,1)&lt;&gt;"C",D3200&gt;0,F3200&gt;0),1,0)</f>
        <v>1</v>
      </c>
      <c r="K3200" s="3" t="n">
        <f aca="false">IF(AND(H3200="United Kingdom",G3200&lt;&gt;"",COUNTIFS($G$2:G3200,G3200,$H$2:H3200,"United Kingdom")=1),1,0)</f>
        <v>0</v>
      </c>
    </row>
    <row r="3201" customFormat="false" ht="15" hidden="false" customHeight="false" outlineLevel="0" collapsed="false">
      <c r="A3201" s="0" t="s">
        <v>678</v>
      </c>
      <c r="B3201" s="0" t="s">
        <v>90</v>
      </c>
      <c r="C3201" s="0" t="s">
        <v>91</v>
      </c>
      <c r="D3201" s="0" t="n">
        <v>12</v>
      </c>
      <c r="E3201" s="2" t="n">
        <v>40826.7479166667</v>
      </c>
      <c r="F3201" s="0" t="n">
        <v>3.04</v>
      </c>
      <c r="G3201" s="0" t="n">
        <v>17746</v>
      </c>
      <c r="H3201" s="3" t="s">
        <v>14</v>
      </c>
      <c r="I3201" s="4" t="n">
        <f aca="false">D3201*F3201</f>
        <v>36.48</v>
      </c>
      <c r="J3201" s="3" t="n">
        <f aca="false">IF(AND(LEFT(A3201,1)&lt;&gt;"C",D3201&gt;0,F3201&gt;0),1,0)</f>
        <v>1</v>
      </c>
      <c r="K3201" s="3" t="n">
        <f aca="false">IF(AND(H3201="United Kingdom",G3201&lt;&gt;"",COUNTIFS($G$2:G3201,G3201,$H$2:H3201,"United Kingdom")=1),1,0)</f>
        <v>0</v>
      </c>
    </row>
    <row r="3202" customFormat="false" ht="15" hidden="false" customHeight="false" outlineLevel="0" collapsed="false">
      <c r="A3202" s="0" t="s">
        <v>678</v>
      </c>
      <c r="B3202" s="0" t="s">
        <v>45</v>
      </c>
      <c r="C3202" s="0" t="s">
        <v>46</v>
      </c>
      <c r="D3202" s="0" t="n">
        <v>8</v>
      </c>
      <c r="E3202" s="2" t="n">
        <v>40826.7479166667</v>
      </c>
      <c r="F3202" s="0" t="n">
        <v>4.55</v>
      </c>
      <c r="G3202" s="0" t="n">
        <v>17746</v>
      </c>
      <c r="H3202" s="3" t="s">
        <v>14</v>
      </c>
      <c r="I3202" s="4" t="n">
        <f aca="false">D3202*F3202</f>
        <v>36.4</v>
      </c>
      <c r="J3202" s="3" t="n">
        <f aca="false">IF(AND(LEFT(A3202,1)&lt;&gt;"C",D3202&gt;0,F3202&gt;0),1,0)</f>
        <v>1</v>
      </c>
      <c r="K3202" s="3" t="n">
        <f aca="false">IF(AND(H3202="United Kingdom",G3202&lt;&gt;"",COUNTIFS($G$2:G3202,G3202,$H$2:H3202,"United Kingdom")=1),1,0)</f>
        <v>0</v>
      </c>
    </row>
    <row r="3203" customFormat="false" ht="15" hidden="false" customHeight="false" outlineLevel="0" collapsed="false">
      <c r="A3203" s="0" t="s">
        <v>678</v>
      </c>
      <c r="B3203" s="0" t="s">
        <v>63</v>
      </c>
      <c r="C3203" s="0" t="s">
        <v>64</v>
      </c>
      <c r="D3203" s="0" t="n">
        <v>3</v>
      </c>
      <c r="E3203" s="2" t="n">
        <v>40826.7479166667</v>
      </c>
      <c r="F3203" s="0" t="n">
        <v>2.43</v>
      </c>
      <c r="G3203" s="0" t="n">
        <v>17746</v>
      </c>
      <c r="H3203" s="3" t="s">
        <v>14</v>
      </c>
      <c r="I3203" s="4" t="n">
        <f aca="false">D3203*F3203</f>
        <v>7.29</v>
      </c>
      <c r="J3203" s="3" t="n">
        <f aca="false">IF(AND(LEFT(A3203,1)&lt;&gt;"C",D3203&gt;0,F3203&gt;0),1,0)</f>
        <v>1</v>
      </c>
      <c r="K3203" s="3" t="n">
        <f aca="false">IF(AND(H3203="United Kingdom",G3203&lt;&gt;"",COUNTIFS($G$2:G3203,G3203,$H$2:H3203,"United Kingdom")=1),1,0)</f>
        <v>0</v>
      </c>
    </row>
    <row r="3204" customFormat="false" ht="15" hidden="false" customHeight="false" outlineLevel="0" collapsed="false">
      <c r="A3204" s="0" t="s">
        <v>678</v>
      </c>
      <c r="B3204" s="0" t="s">
        <v>34</v>
      </c>
      <c r="C3204" s="0" t="s">
        <v>35</v>
      </c>
      <c r="D3204" s="0" t="n">
        <v>1</v>
      </c>
      <c r="E3204" s="2" t="n">
        <v>40826.7479166667</v>
      </c>
      <c r="F3204" s="0" t="n">
        <v>2.38</v>
      </c>
      <c r="G3204" s="0" t="n">
        <v>17746</v>
      </c>
      <c r="H3204" s="3" t="s">
        <v>14</v>
      </c>
      <c r="I3204" s="4" t="n">
        <f aca="false">D3204*F3204</f>
        <v>2.38</v>
      </c>
      <c r="J3204" s="3" t="n">
        <f aca="false">IF(AND(LEFT(A3204,1)&lt;&gt;"C",D3204&gt;0,F3204&gt;0),1,0)</f>
        <v>1</v>
      </c>
      <c r="K3204" s="3" t="n">
        <f aca="false">IF(AND(H3204="United Kingdom",G3204&lt;&gt;"",COUNTIFS($G$2:G3204,G3204,$H$2:H3204,"United Kingdom")=1),1,0)</f>
        <v>0</v>
      </c>
    </row>
    <row r="3205" customFormat="false" ht="15" hidden="false" customHeight="false" outlineLevel="0" collapsed="false">
      <c r="A3205" s="0" t="s">
        <v>678</v>
      </c>
      <c r="B3205" s="0" t="s">
        <v>58</v>
      </c>
      <c r="C3205" s="0" t="s">
        <v>59</v>
      </c>
      <c r="D3205" s="0" t="n">
        <v>3</v>
      </c>
      <c r="E3205" s="2" t="n">
        <v>40826.7479166667</v>
      </c>
      <c r="F3205" s="0" t="n">
        <v>2.16</v>
      </c>
      <c r="G3205" s="0" t="n">
        <v>17746</v>
      </c>
      <c r="H3205" s="3" t="s">
        <v>14</v>
      </c>
      <c r="I3205" s="4" t="n">
        <f aca="false">D3205*F3205</f>
        <v>6.48</v>
      </c>
      <c r="J3205" s="3" t="n">
        <f aca="false">IF(AND(LEFT(A3205,1)&lt;&gt;"C",D3205&gt;0,F3205&gt;0),1,0)</f>
        <v>1</v>
      </c>
      <c r="K3205" s="3" t="n">
        <f aca="false">IF(AND(H3205="United Kingdom",G3205&lt;&gt;"",COUNTIFS($G$2:G3205,G3205,$H$2:H3205,"United Kingdom")=1),1,0)</f>
        <v>0</v>
      </c>
    </row>
    <row r="3206" customFormat="false" ht="15" hidden="false" customHeight="false" outlineLevel="0" collapsed="false">
      <c r="A3206" s="0" t="s">
        <v>678</v>
      </c>
      <c r="B3206" s="0" t="s">
        <v>12</v>
      </c>
      <c r="C3206" s="0" t="s">
        <v>13</v>
      </c>
      <c r="D3206" s="0" t="n">
        <v>8</v>
      </c>
      <c r="E3206" s="2" t="n">
        <v>40826.7479166667</v>
      </c>
      <c r="F3206" s="0" t="n">
        <v>3.33</v>
      </c>
      <c r="G3206" s="0" t="n">
        <v>17746</v>
      </c>
      <c r="H3206" s="3" t="s">
        <v>14</v>
      </c>
      <c r="I3206" s="4" t="n">
        <f aca="false">D3206*F3206</f>
        <v>26.64</v>
      </c>
      <c r="J3206" s="3" t="n">
        <f aca="false">IF(AND(LEFT(A3206,1)&lt;&gt;"C",D3206&gt;0,F3206&gt;0),1,0)</f>
        <v>1</v>
      </c>
      <c r="K3206" s="3" t="n">
        <f aca="false">IF(AND(H3206="United Kingdom",G3206&lt;&gt;"",COUNTIFS($G$2:G3206,G3206,$H$2:H3206,"United Kingdom")=1),1,0)</f>
        <v>0</v>
      </c>
    </row>
    <row r="3207" customFormat="false" ht="15" hidden="false" customHeight="false" outlineLevel="0" collapsed="false">
      <c r="A3207" s="0" t="s">
        <v>678</v>
      </c>
      <c r="B3207" s="0" t="s">
        <v>37</v>
      </c>
      <c r="C3207" s="0" t="s">
        <v>38</v>
      </c>
      <c r="D3207" s="0" t="n">
        <v>24</v>
      </c>
      <c r="E3207" s="2" t="n">
        <v>40826.7479166667</v>
      </c>
      <c r="F3207" s="0" t="n">
        <v>1.82</v>
      </c>
      <c r="G3207" s="0" t="n">
        <v>17746</v>
      </c>
      <c r="H3207" s="3" t="s">
        <v>14</v>
      </c>
      <c r="I3207" s="4" t="n">
        <f aca="false">D3207*F3207</f>
        <v>43.68</v>
      </c>
      <c r="J3207" s="3" t="n">
        <f aca="false">IF(AND(LEFT(A3207,1)&lt;&gt;"C",D3207&gt;0,F3207&gt;0),1,0)</f>
        <v>1</v>
      </c>
      <c r="K3207" s="3" t="n">
        <f aca="false">IF(AND(H3207="United Kingdom",G3207&lt;&gt;"",COUNTIFS($G$2:G3207,G3207,$H$2:H3207,"United Kingdom")=1),1,0)</f>
        <v>0</v>
      </c>
    </row>
    <row r="3208" customFormat="false" ht="15" hidden="false" customHeight="false" outlineLevel="0" collapsed="false">
      <c r="A3208" s="0" t="s">
        <v>678</v>
      </c>
      <c r="B3208" s="0" t="s">
        <v>80</v>
      </c>
      <c r="C3208" s="0" t="s">
        <v>81</v>
      </c>
      <c r="D3208" s="0" t="n">
        <v>16</v>
      </c>
      <c r="E3208" s="2" t="n">
        <v>40826.7479166667</v>
      </c>
      <c r="F3208" s="0" t="n">
        <v>1.53</v>
      </c>
      <c r="G3208" s="0" t="n">
        <v>17746</v>
      </c>
      <c r="H3208" s="3" t="s">
        <v>14</v>
      </c>
      <c r="I3208" s="4" t="n">
        <f aca="false">D3208*F3208</f>
        <v>24.48</v>
      </c>
      <c r="J3208" s="3" t="n">
        <f aca="false">IF(AND(LEFT(A3208,1)&lt;&gt;"C",D3208&gt;0,F3208&gt;0),1,0)</f>
        <v>1</v>
      </c>
      <c r="K3208" s="3" t="n">
        <f aca="false">IF(AND(H3208="United Kingdom",G3208&lt;&gt;"",COUNTIFS($G$2:G3208,G3208,$H$2:H3208,"United Kingdom")=1),1,0)</f>
        <v>0</v>
      </c>
    </row>
    <row r="3209" customFormat="false" ht="15" hidden="false" customHeight="false" outlineLevel="0" collapsed="false">
      <c r="A3209" s="0" t="s">
        <v>678</v>
      </c>
      <c r="B3209" s="0" t="s">
        <v>60</v>
      </c>
      <c r="C3209" s="0" t="s">
        <v>61</v>
      </c>
      <c r="D3209" s="0" t="n">
        <v>1</v>
      </c>
      <c r="E3209" s="2" t="n">
        <v>40826.7479166667</v>
      </c>
      <c r="F3209" s="0" t="n">
        <v>0.63</v>
      </c>
      <c r="G3209" s="0" t="n">
        <v>17746</v>
      </c>
      <c r="H3209" s="3" t="s">
        <v>14</v>
      </c>
      <c r="I3209" s="4" t="n">
        <f aca="false">D3209*F3209</f>
        <v>0.63</v>
      </c>
      <c r="J3209" s="3" t="n">
        <f aca="false">IF(AND(LEFT(A3209,1)&lt;&gt;"C",D3209&gt;0,F3209&gt;0),1,0)</f>
        <v>1</v>
      </c>
      <c r="K3209" s="3" t="n">
        <f aca="false">IF(AND(H3209="United Kingdom",G3209&lt;&gt;"",COUNTIFS($G$2:G3209,G3209,$H$2:H3209,"United Kingdom")=1),1,0)</f>
        <v>0</v>
      </c>
    </row>
    <row r="3210" customFormat="false" ht="15" hidden="false" customHeight="false" outlineLevel="0" collapsed="false">
      <c r="A3210" s="0" t="s">
        <v>678</v>
      </c>
      <c r="B3210" s="0" t="s">
        <v>25</v>
      </c>
      <c r="C3210" s="0" t="s">
        <v>26</v>
      </c>
      <c r="D3210" s="0" t="n">
        <v>12</v>
      </c>
      <c r="E3210" s="2" t="n">
        <v>40826.7479166667</v>
      </c>
      <c r="F3210" s="0" t="n">
        <v>2.21</v>
      </c>
      <c r="G3210" s="0" t="n">
        <v>17746</v>
      </c>
      <c r="H3210" s="3" t="s">
        <v>14</v>
      </c>
      <c r="I3210" s="4" t="n">
        <f aca="false">D3210*F3210</f>
        <v>26.52</v>
      </c>
      <c r="J3210" s="3" t="n">
        <f aca="false">IF(AND(LEFT(A3210,1)&lt;&gt;"C",D3210&gt;0,F3210&gt;0),1,0)</f>
        <v>1</v>
      </c>
      <c r="K3210" s="3" t="n">
        <f aca="false">IF(AND(H3210="United Kingdom",G3210&lt;&gt;"",COUNTIFS($G$2:G3210,G3210,$H$2:H3210,"United Kingdom")=1),1,0)</f>
        <v>0</v>
      </c>
    </row>
    <row r="3211" customFormat="false" ht="15" hidden="false" customHeight="false" outlineLevel="0" collapsed="false">
      <c r="A3211" s="0" t="s">
        <v>678</v>
      </c>
      <c r="B3211" s="0" t="s">
        <v>72</v>
      </c>
      <c r="C3211" s="0" t="s">
        <v>73</v>
      </c>
      <c r="D3211" s="0" t="n">
        <v>2</v>
      </c>
      <c r="E3211" s="2" t="n">
        <v>40826.7479166667</v>
      </c>
      <c r="F3211" s="0" t="n">
        <v>2.69</v>
      </c>
      <c r="G3211" s="0" t="n">
        <v>17746</v>
      </c>
      <c r="H3211" s="3" t="s">
        <v>14</v>
      </c>
      <c r="I3211" s="4" t="n">
        <f aca="false">D3211*F3211</f>
        <v>5.38</v>
      </c>
      <c r="J3211" s="3" t="n">
        <f aca="false">IF(AND(LEFT(A3211,1)&lt;&gt;"C",D3211&gt;0,F3211&gt;0),1,0)</f>
        <v>1</v>
      </c>
      <c r="K3211" s="3" t="n">
        <f aca="false">IF(AND(H3211="United Kingdom",G3211&lt;&gt;"",COUNTIFS($G$2:G3211,G3211,$H$2:H3211,"United Kingdom")=1),1,0)</f>
        <v>0</v>
      </c>
    </row>
    <row r="3212" customFormat="false" ht="15" hidden="false" customHeight="false" outlineLevel="0" collapsed="false">
      <c r="A3212" s="0" t="s">
        <v>679</v>
      </c>
      <c r="B3212" s="0" t="s">
        <v>68</v>
      </c>
      <c r="C3212" s="0" t="s">
        <v>69</v>
      </c>
      <c r="D3212" s="0" t="n">
        <v>2</v>
      </c>
      <c r="E3212" s="2" t="n">
        <v>40827.5708333333</v>
      </c>
      <c r="F3212" s="0" t="n">
        <v>1.26</v>
      </c>
      <c r="G3212" s="0" t="n">
        <v>14377</v>
      </c>
      <c r="H3212" s="3" t="s">
        <v>14</v>
      </c>
      <c r="I3212" s="4" t="n">
        <f aca="false">D3212*F3212</f>
        <v>2.52</v>
      </c>
      <c r="J3212" s="3" t="n">
        <f aca="false">IF(AND(LEFT(A3212,1)&lt;&gt;"C",D3212&gt;0,F3212&gt;0),1,0)</f>
        <v>1</v>
      </c>
      <c r="K3212" s="3" t="n">
        <f aca="false">IF(AND(H3212="United Kingdom",G3212&lt;&gt;"",COUNTIFS($G$2:G3212,G3212,$H$2:H3212,"United Kingdom")=1),1,0)</f>
        <v>0</v>
      </c>
    </row>
    <row r="3213" customFormat="false" ht="15" hidden="false" customHeight="false" outlineLevel="0" collapsed="false">
      <c r="A3213" s="0" t="s">
        <v>679</v>
      </c>
      <c r="B3213" s="0" t="s">
        <v>25</v>
      </c>
      <c r="C3213" s="0" t="s">
        <v>26</v>
      </c>
      <c r="D3213" s="0" t="n">
        <v>8</v>
      </c>
      <c r="E3213" s="2" t="n">
        <v>40827.5708333333</v>
      </c>
      <c r="F3213" s="0" t="n">
        <v>2.21</v>
      </c>
      <c r="G3213" s="0" t="n">
        <v>14377</v>
      </c>
      <c r="H3213" s="3" t="s">
        <v>14</v>
      </c>
      <c r="I3213" s="4" t="n">
        <f aca="false">D3213*F3213</f>
        <v>17.68</v>
      </c>
      <c r="J3213" s="3" t="n">
        <f aca="false">IF(AND(LEFT(A3213,1)&lt;&gt;"C",D3213&gt;0,F3213&gt;0),1,0)</f>
        <v>1</v>
      </c>
      <c r="K3213" s="3" t="n">
        <f aca="false">IF(AND(H3213="United Kingdom",G3213&lt;&gt;"",COUNTIFS($G$2:G3213,G3213,$H$2:H3213,"United Kingdom")=1),1,0)</f>
        <v>0</v>
      </c>
    </row>
    <row r="3214" customFormat="false" ht="15" hidden="false" customHeight="false" outlineLevel="0" collapsed="false">
      <c r="A3214" s="0" t="s">
        <v>679</v>
      </c>
      <c r="B3214" s="0" t="s">
        <v>27</v>
      </c>
      <c r="C3214" s="0" t="s">
        <v>28</v>
      </c>
      <c r="D3214" s="0" t="n">
        <v>2</v>
      </c>
      <c r="E3214" s="2" t="n">
        <v>40827.5708333333</v>
      </c>
      <c r="F3214" s="0" t="n">
        <v>4.55</v>
      </c>
      <c r="G3214" s="0" t="n">
        <v>14377</v>
      </c>
      <c r="H3214" s="3" t="s">
        <v>14</v>
      </c>
      <c r="I3214" s="4" t="n">
        <f aca="false">D3214*F3214</f>
        <v>9.1</v>
      </c>
      <c r="J3214" s="3" t="n">
        <f aca="false">IF(AND(LEFT(A3214,1)&lt;&gt;"C",D3214&gt;0,F3214&gt;0),1,0)</f>
        <v>1</v>
      </c>
      <c r="K3214" s="3" t="n">
        <f aca="false">IF(AND(H3214="United Kingdom",G3214&lt;&gt;"",COUNTIFS($G$2:G3214,G3214,$H$2:H3214,"United Kingdom")=1),1,0)</f>
        <v>0</v>
      </c>
    </row>
    <row r="3215" customFormat="false" ht="15" hidden="false" customHeight="false" outlineLevel="0" collapsed="false">
      <c r="A3215" s="0" t="s">
        <v>679</v>
      </c>
      <c r="B3215" s="0" t="s">
        <v>52</v>
      </c>
      <c r="C3215" s="0" t="s">
        <v>53</v>
      </c>
      <c r="D3215" s="0" t="n">
        <v>4</v>
      </c>
      <c r="E3215" s="2" t="n">
        <v>40827.5708333333</v>
      </c>
      <c r="F3215" s="0" t="n">
        <v>4.16</v>
      </c>
      <c r="G3215" s="0" t="n">
        <v>14377</v>
      </c>
      <c r="H3215" s="3" t="s">
        <v>14</v>
      </c>
      <c r="I3215" s="4" t="n">
        <f aca="false">D3215*F3215</f>
        <v>16.64</v>
      </c>
      <c r="J3215" s="3" t="n">
        <f aca="false">IF(AND(LEFT(A3215,1)&lt;&gt;"C",D3215&gt;0,F3215&gt;0),1,0)</f>
        <v>1</v>
      </c>
      <c r="K3215" s="3" t="n">
        <f aca="false">IF(AND(H3215="United Kingdom",G3215&lt;&gt;"",COUNTIFS($G$2:G3215,G3215,$H$2:H3215,"United Kingdom")=1),1,0)</f>
        <v>0</v>
      </c>
    </row>
    <row r="3216" customFormat="false" ht="15" hidden="false" customHeight="false" outlineLevel="0" collapsed="false">
      <c r="A3216" s="0" t="s">
        <v>679</v>
      </c>
      <c r="B3216" s="0" t="s">
        <v>43</v>
      </c>
      <c r="C3216" s="0" t="s">
        <v>44</v>
      </c>
      <c r="D3216" s="0" t="n">
        <v>12</v>
      </c>
      <c r="E3216" s="2" t="n">
        <v>40827.5708333333</v>
      </c>
      <c r="F3216" s="0" t="n">
        <v>1.35</v>
      </c>
      <c r="G3216" s="0" t="n">
        <v>14377</v>
      </c>
      <c r="H3216" s="3" t="s">
        <v>14</v>
      </c>
      <c r="I3216" s="4" t="n">
        <f aca="false">D3216*F3216</f>
        <v>16.2</v>
      </c>
      <c r="J3216" s="3" t="n">
        <f aca="false">IF(AND(LEFT(A3216,1)&lt;&gt;"C",D3216&gt;0,F3216&gt;0),1,0)</f>
        <v>1</v>
      </c>
      <c r="K3216" s="3" t="n">
        <f aca="false">IF(AND(H3216="United Kingdom",G3216&lt;&gt;"",COUNTIFS($G$2:G3216,G3216,$H$2:H3216,"United Kingdom")=1),1,0)</f>
        <v>0</v>
      </c>
    </row>
    <row r="3217" customFormat="false" ht="15" hidden="false" customHeight="false" outlineLevel="0" collapsed="false">
      <c r="A3217" s="0" t="s">
        <v>679</v>
      </c>
      <c r="B3217" s="0" t="s">
        <v>48</v>
      </c>
      <c r="C3217" s="0" t="s">
        <v>49</v>
      </c>
      <c r="D3217" s="0" t="n">
        <v>3</v>
      </c>
      <c r="E3217" s="2" t="n">
        <v>40827.5708333333</v>
      </c>
      <c r="F3217" s="0" t="n">
        <v>1.35</v>
      </c>
      <c r="G3217" s="0" t="n">
        <v>14377</v>
      </c>
      <c r="H3217" s="3" t="s">
        <v>14</v>
      </c>
      <c r="I3217" s="4" t="n">
        <f aca="false">D3217*F3217</f>
        <v>4.05</v>
      </c>
      <c r="J3217" s="3" t="n">
        <f aca="false">IF(AND(LEFT(A3217,1)&lt;&gt;"C",D3217&gt;0,F3217&gt;0),1,0)</f>
        <v>1</v>
      </c>
      <c r="K3217" s="3" t="n">
        <f aca="false">IF(AND(H3217="United Kingdom",G3217&lt;&gt;"",COUNTIFS($G$2:G3217,G3217,$H$2:H3217,"United Kingdom")=1),1,0)</f>
        <v>0</v>
      </c>
    </row>
    <row r="3218" customFormat="false" ht="15" hidden="false" customHeight="false" outlineLevel="0" collapsed="false">
      <c r="A3218" s="0" t="s">
        <v>679</v>
      </c>
      <c r="B3218" s="0" t="s">
        <v>39</v>
      </c>
      <c r="C3218" s="0" t="s">
        <v>40</v>
      </c>
      <c r="D3218" s="0" t="n">
        <v>12</v>
      </c>
      <c r="E3218" s="2" t="n">
        <v>40827.5708333333</v>
      </c>
      <c r="F3218" s="0" t="n">
        <v>2.58</v>
      </c>
      <c r="G3218" s="0" t="n">
        <v>14377</v>
      </c>
      <c r="H3218" s="3" t="s">
        <v>14</v>
      </c>
      <c r="I3218" s="4" t="n">
        <f aca="false">D3218*F3218</f>
        <v>30.96</v>
      </c>
      <c r="J3218" s="3" t="n">
        <f aca="false">IF(AND(LEFT(A3218,1)&lt;&gt;"C",D3218&gt;0,F3218&gt;0),1,0)</f>
        <v>1</v>
      </c>
      <c r="K3218" s="3" t="n">
        <f aca="false">IF(AND(H3218="United Kingdom",G3218&lt;&gt;"",COUNTIFS($G$2:G3218,G3218,$H$2:H3218,"United Kingdom")=1),1,0)</f>
        <v>0</v>
      </c>
    </row>
    <row r="3219" customFormat="false" ht="15" hidden="false" customHeight="false" outlineLevel="0" collapsed="false">
      <c r="A3219" s="0" t="s">
        <v>679</v>
      </c>
      <c r="B3219" s="0" t="s">
        <v>60</v>
      </c>
      <c r="C3219" s="0" t="s">
        <v>61</v>
      </c>
      <c r="D3219" s="0" t="n">
        <v>2</v>
      </c>
      <c r="E3219" s="2" t="n">
        <v>40827.5708333333</v>
      </c>
      <c r="F3219" s="0" t="n">
        <v>0.63</v>
      </c>
      <c r="G3219" s="0" t="n">
        <v>14377</v>
      </c>
      <c r="H3219" s="3" t="s">
        <v>14</v>
      </c>
      <c r="I3219" s="4" t="n">
        <f aca="false">D3219*F3219</f>
        <v>1.26</v>
      </c>
      <c r="J3219" s="3" t="n">
        <f aca="false">IF(AND(LEFT(A3219,1)&lt;&gt;"C",D3219&gt;0,F3219&gt;0),1,0)</f>
        <v>1</v>
      </c>
      <c r="K3219" s="3" t="n">
        <f aca="false">IF(AND(H3219="United Kingdom",G3219&lt;&gt;"",COUNTIFS($G$2:G3219,G3219,$H$2:H3219,"United Kingdom")=1),1,0)</f>
        <v>0</v>
      </c>
    </row>
    <row r="3220" customFormat="false" ht="15" hidden="false" customHeight="false" outlineLevel="0" collapsed="false">
      <c r="A3220" s="0" t="s">
        <v>679</v>
      </c>
      <c r="B3220" s="0" t="s">
        <v>12</v>
      </c>
      <c r="C3220" s="0" t="s">
        <v>13</v>
      </c>
      <c r="D3220" s="0" t="n">
        <v>12</v>
      </c>
      <c r="E3220" s="2" t="n">
        <v>40827.5708333333</v>
      </c>
      <c r="F3220" s="0" t="n">
        <v>3.33</v>
      </c>
      <c r="G3220" s="0" t="n">
        <v>14377</v>
      </c>
      <c r="H3220" s="3" t="s">
        <v>14</v>
      </c>
      <c r="I3220" s="4" t="n">
        <f aca="false">D3220*F3220</f>
        <v>39.96</v>
      </c>
      <c r="J3220" s="3" t="n">
        <f aca="false">IF(AND(LEFT(A3220,1)&lt;&gt;"C",D3220&gt;0,F3220&gt;0),1,0)</f>
        <v>1</v>
      </c>
      <c r="K3220" s="3" t="n">
        <f aca="false">IF(AND(H3220="United Kingdom",G3220&lt;&gt;"",COUNTIFS($G$2:G3220,G3220,$H$2:H3220,"United Kingdom")=1),1,0)</f>
        <v>0</v>
      </c>
    </row>
    <row r="3221" customFormat="false" ht="15" hidden="false" customHeight="false" outlineLevel="0" collapsed="false">
      <c r="A3221" s="0" t="s">
        <v>679</v>
      </c>
      <c r="B3221" s="0" t="s">
        <v>32</v>
      </c>
      <c r="C3221" s="0" t="s">
        <v>33</v>
      </c>
      <c r="D3221" s="0" t="n">
        <v>2</v>
      </c>
      <c r="E3221" s="2" t="n">
        <v>40827.5708333333</v>
      </c>
      <c r="F3221" s="0" t="n">
        <v>1.19</v>
      </c>
      <c r="G3221" s="0" t="n">
        <v>14377</v>
      </c>
      <c r="H3221" s="3" t="s">
        <v>14</v>
      </c>
      <c r="I3221" s="4" t="n">
        <f aca="false">D3221*F3221</f>
        <v>2.38</v>
      </c>
      <c r="J3221" s="3" t="n">
        <f aca="false">IF(AND(LEFT(A3221,1)&lt;&gt;"C",D3221&gt;0,F3221&gt;0),1,0)</f>
        <v>1</v>
      </c>
      <c r="K3221" s="3" t="n">
        <f aca="false">IF(AND(H3221="United Kingdom",G3221&lt;&gt;"",COUNTIFS($G$2:G3221,G3221,$H$2:H3221,"United Kingdom")=1),1,0)</f>
        <v>0</v>
      </c>
    </row>
    <row r="3222" customFormat="false" ht="15" hidden="false" customHeight="false" outlineLevel="0" collapsed="false">
      <c r="A3222" s="0" t="s">
        <v>679</v>
      </c>
      <c r="B3222" s="0" t="s">
        <v>77</v>
      </c>
      <c r="C3222" s="0" t="s">
        <v>78</v>
      </c>
      <c r="D3222" s="0" t="n">
        <v>8</v>
      </c>
      <c r="E3222" s="2" t="n">
        <v>40827.5708333333</v>
      </c>
      <c r="F3222" s="0" t="n">
        <v>3.41</v>
      </c>
      <c r="G3222" s="0" t="n">
        <v>14377</v>
      </c>
      <c r="H3222" s="3" t="s">
        <v>14</v>
      </c>
      <c r="I3222" s="4" t="n">
        <f aca="false">D3222*F3222</f>
        <v>27.28</v>
      </c>
      <c r="J3222" s="3" t="n">
        <f aca="false">IF(AND(LEFT(A3222,1)&lt;&gt;"C",D3222&gt;0,F3222&gt;0),1,0)</f>
        <v>1</v>
      </c>
      <c r="K3222" s="3" t="n">
        <f aca="false">IF(AND(H3222="United Kingdom",G3222&lt;&gt;"",COUNTIFS($G$2:G3222,G3222,$H$2:H3222,"United Kingdom")=1),1,0)</f>
        <v>0</v>
      </c>
    </row>
    <row r="3223" customFormat="false" ht="15" hidden="false" customHeight="false" outlineLevel="0" collapsed="false">
      <c r="A3223" s="0" t="s">
        <v>680</v>
      </c>
      <c r="B3223" s="0" t="s">
        <v>75</v>
      </c>
      <c r="C3223" s="0" t="s">
        <v>76</v>
      </c>
      <c r="D3223" s="0" t="n">
        <v>48</v>
      </c>
      <c r="E3223" s="2" t="n">
        <v>40828.7534722222</v>
      </c>
      <c r="F3223" s="0" t="n">
        <v>1.97</v>
      </c>
      <c r="G3223" s="0" t="n">
        <v>14074</v>
      </c>
      <c r="H3223" s="3" t="s">
        <v>14</v>
      </c>
      <c r="I3223" s="4" t="n">
        <f aca="false">D3223*F3223</f>
        <v>94.56</v>
      </c>
      <c r="J3223" s="3" t="n">
        <f aca="false">IF(AND(LEFT(A3223,1)&lt;&gt;"C",D3223&gt;0,F3223&gt;0),1,0)</f>
        <v>1</v>
      </c>
      <c r="K3223" s="3" t="n">
        <f aca="false">IF(AND(H3223="United Kingdom",G3223&lt;&gt;"",COUNTIFS($G$2:G3223,G3223,$H$2:H3223,"United Kingdom")=1),1,0)</f>
        <v>0</v>
      </c>
    </row>
    <row r="3224" customFormat="false" ht="15" hidden="false" customHeight="false" outlineLevel="0" collapsed="false">
      <c r="A3224" s="0" t="s">
        <v>680</v>
      </c>
      <c r="B3224" s="0" t="s">
        <v>41</v>
      </c>
      <c r="C3224" s="0" t="s">
        <v>42</v>
      </c>
      <c r="D3224" s="0" t="n">
        <v>6</v>
      </c>
      <c r="E3224" s="2" t="n">
        <v>40828.7534722222</v>
      </c>
      <c r="F3224" s="0" t="n">
        <v>3.28</v>
      </c>
      <c r="G3224" s="0" t="n">
        <v>14074</v>
      </c>
      <c r="H3224" s="3" t="s">
        <v>14</v>
      </c>
      <c r="I3224" s="4" t="n">
        <f aca="false">D3224*F3224</f>
        <v>19.68</v>
      </c>
      <c r="J3224" s="3" t="n">
        <f aca="false">IF(AND(LEFT(A3224,1)&lt;&gt;"C",D3224&gt;0,F3224&gt;0),1,0)</f>
        <v>1</v>
      </c>
      <c r="K3224" s="3" t="n">
        <f aca="false">IF(AND(H3224="United Kingdom",G3224&lt;&gt;"",COUNTIFS($G$2:G3224,G3224,$H$2:H3224,"United Kingdom")=1),1,0)</f>
        <v>0</v>
      </c>
    </row>
    <row r="3225" customFormat="false" ht="15" hidden="false" customHeight="false" outlineLevel="0" collapsed="false">
      <c r="A3225" s="0" t="s">
        <v>680</v>
      </c>
      <c r="B3225" s="0" t="s">
        <v>54</v>
      </c>
      <c r="C3225" s="0" t="s">
        <v>55</v>
      </c>
      <c r="D3225" s="0" t="n">
        <v>108</v>
      </c>
      <c r="E3225" s="2" t="n">
        <v>40828.7534722222</v>
      </c>
      <c r="F3225" s="0" t="n">
        <v>0.99</v>
      </c>
      <c r="G3225" s="0" t="n">
        <v>14074</v>
      </c>
      <c r="H3225" s="3" t="s">
        <v>14</v>
      </c>
      <c r="I3225" s="4" t="n">
        <f aca="false">D3225*F3225</f>
        <v>106.92</v>
      </c>
      <c r="J3225" s="3" t="n">
        <f aca="false">IF(AND(LEFT(A3225,1)&lt;&gt;"C",D3225&gt;0,F3225&gt;0),1,0)</f>
        <v>1</v>
      </c>
      <c r="K3225" s="3" t="n">
        <f aca="false">IF(AND(H3225="United Kingdom",G3225&lt;&gt;"",COUNTIFS($G$2:G3225,G3225,$H$2:H3225,"United Kingdom")=1),1,0)</f>
        <v>0</v>
      </c>
    </row>
    <row r="3226" customFormat="false" ht="15" hidden="false" customHeight="false" outlineLevel="0" collapsed="false">
      <c r="A3226" s="0" t="s">
        <v>680</v>
      </c>
      <c r="B3226" s="0" t="s">
        <v>65</v>
      </c>
      <c r="C3226" s="0" t="s">
        <v>66</v>
      </c>
      <c r="D3226" s="0" t="n">
        <v>24</v>
      </c>
      <c r="E3226" s="2" t="n">
        <v>40828.7534722222</v>
      </c>
      <c r="F3226" s="0" t="n">
        <v>4.75</v>
      </c>
      <c r="G3226" s="0" t="n">
        <v>14074</v>
      </c>
      <c r="H3226" s="3" t="s">
        <v>14</v>
      </c>
      <c r="I3226" s="4" t="n">
        <f aca="false">D3226*F3226</f>
        <v>114</v>
      </c>
      <c r="J3226" s="3" t="n">
        <f aca="false">IF(AND(LEFT(A3226,1)&lt;&gt;"C",D3226&gt;0,F3226&gt;0),1,0)</f>
        <v>1</v>
      </c>
      <c r="K3226" s="3" t="n">
        <f aca="false">IF(AND(H3226="United Kingdom",G3226&lt;&gt;"",COUNTIFS($G$2:G3226,G3226,$H$2:H3226,"United Kingdom")=1),1,0)</f>
        <v>0</v>
      </c>
    </row>
    <row r="3227" customFormat="false" ht="15" hidden="false" customHeight="false" outlineLevel="0" collapsed="false">
      <c r="A3227" s="0" t="s">
        <v>680</v>
      </c>
      <c r="B3227" s="0" t="s">
        <v>80</v>
      </c>
      <c r="C3227" s="0" t="s">
        <v>81</v>
      </c>
      <c r="D3227" s="0" t="n">
        <v>96</v>
      </c>
      <c r="E3227" s="2" t="n">
        <v>40828.7534722222</v>
      </c>
      <c r="F3227" s="0" t="n">
        <v>1.53</v>
      </c>
      <c r="G3227" s="0" t="n">
        <v>14074</v>
      </c>
      <c r="H3227" s="3" t="s">
        <v>14</v>
      </c>
      <c r="I3227" s="4" t="n">
        <f aca="false">D3227*F3227</f>
        <v>146.88</v>
      </c>
      <c r="J3227" s="3" t="n">
        <f aca="false">IF(AND(LEFT(A3227,1)&lt;&gt;"C",D3227&gt;0,F3227&gt;0),1,0)</f>
        <v>1</v>
      </c>
      <c r="K3227" s="3" t="n">
        <f aca="false">IF(AND(H3227="United Kingdom",G3227&lt;&gt;"",COUNTIFS($G$2:G3227,G3227,$H$2:H3227,"United Kingdom")=1),1,0)</f>
        <v>0</v>
      </c>
    </row>
    <row r="3228" customFormat="false" ht="15" hidden="false" customHeight="false" outlineLevel="0" collapsed="false">
      <c r="A3228" s="0" t="s">
        <v>681</v>
      </c>
      <c r="B3228" s="0" t="s">
        <v>17</v>
      </c>
      <c r="C3228" s="0" t="s">
        <v>18</v>
      </c>
      <c r="D3228" s="0" t="n">
        <v>1</v>
      </c>
      <c r="E3228" s="2" t="n">
        <v>40828.8006944444</v>
      </c>
      <c r="F3228" s="0" t="n">
        <v>1.92</v>
      </c>
      <c r="G3228" s="0" t="n">
        <v>13331</v>
      </c>
      <c r="H3228" s="3" t="s">
        <v>14</v>
      </c>
      <c r="I3228" s="4" t="n">
        <f aca="false">D3228*F3228</f>
        <v>1.92</v>
      </c>
      <c r="J3228" s="3" t="n">
        <f aca="false">IF(AND(LEFT(A3228,1)&lt;&gt;"C",D3228&gt;0,F3228&gt;0),1,0)</f>
        <v>1</v>
      </c>
      <c r="K3228" s="3" t="n">
        <f aca="false">IF(AND(H3228="United Kingdom",G3228&lt;&gt;"",COUNTIFS($G$2:G3228,G3228,$H$2:H3228,"United Kingdom")=1),1,0)</f>
        <v>0</v>
      </c>
    </row>
    <row r="3229" customFormat="false" ht="15" hidden="false" customHeight="false" outlineLevel="0" collapsed="false">
      <c r="A3229" s="0" t="s">
        <v>681</v>
      </c>
      <c r="B3229" s="0" t="s">
        <v>58</v>
      </c>
      <c r="C3229" s="0" t="s">
        <v>59</v>
      </c>
      <c r="D3229" s="0" t="n">
        <v>8</v>
      </c>
      <c r="E3229" s="2" t="n">
        <v>40828.8006944444</v>
      </c>
      <c r="F3229" s="0" t="n">
        <v>2.16</v>
      </c>
      <c r="G3229" s="0" t="n">
        <v>13331</v>
      </c>
      <c r="H3229" s="3" t="s">
        <v>14</v>
      </c>
      <c r="I3229" s="4" t="n">
        <f aca="false">D3229*F3229</f>
        <v>17.28</v>
      </c>
      <c r="J3229" s="3" t="n">
        <f aca="false">IF(AND(LEFT(A3229,1)&lt;&gt;"C",D3229&gt;0,F3229&gt;0),1,0)</f>
        <v>1</v>
      </c>
      <c r="K3229" s="3" t="n">
        <f aca="false">IF(AND(H3229="United Kingdom",G3229&lt;&gt;"",COUNTIFS($G$2:G3229,G3229,$H$2:H3229,"United Kingdom")=1),1,0)</f>
        <v>0</v>
      </c>
    </row>
    <row r="3230" customFormat="false" ht="15" hidden="false" customHeight="false" outlineLevel="0" collapsed="false">
      <c r="A3230" s="0" t="s">
        <v>681</v>
      </c>
      <c r="B3230" s="0" t="s">
        <v>45</v>
      </c>
      <c r="C3230" s="0" t="s">
        <v>46</v>
      </c>
      <c r="D3230" s="0" t="n">
        <v>1</v>
      </c>
      <c r="E3230" s="2" t="n">
        <v>40828.8006944444</v>
      </c>
      <c r="F3230" s="0" t="n">
        <v>4.55</v>
      </c>
      <c r="G3230" s="0" t="n">
        <v>13331</v>
      </c>
      <c r="H3230" s="3" t="s">
        <v>14</v>
      </c>
      <c r="I3230" s="4" t="n">
        <f aca="false">D3230*F3230</f>
        <v>4.55</v>
      </c>
      <c r="J3230" s="3" t="n">
        <f aca="false">IF(AND(LEFT(A3230,1)&lt;&gt;"C",D3230&gt;0,F3230&gt;0),1,0)</f>
        <v>1</v>
      </c>
      <c r="K3230" s="3" t="n">
        <f aca="false">IF(AND(H3230="United Kingdom",G3230&lt;&gt;"",COUNTIFS($G$2:G3230,G3230,$H$2:H3230,"United Kingdom")=1),1,0)</f>
        <v>0</v>
      </c>
    </row>
    <row r="3231" customFormat="false" ht="15" hidden="false" customHeight="false" outlineLevel="0" collapsed="false">
      <c r="A3231" s="0" t="s">
        <v>681</v>
      </c>
      <c r="B3231" s="0" t="s">
        <v>63</v>
      </c>
      <c r="C3231" s="0" t="s">
        <v>64</v>
      </c>
      <c r="D3231" s="0" t="n">
        <v>3</v>
      </c>
      <c r="E3231" s="2" t="n">
        <v>40828.8006944444</v>
      </c>
      <c r="F3231" s="0" t="n">
        <v>2.43</v>
      </c>
      <c r="G3231" s="0" t="n">
        <v>13331</v>
      </c>
      <c r="H3231" s="3" t="s">
        <v>14</v>
      </c>
      <c r="I3231" s="4" t="n">
        <f aca="false">D3231*F3231</f>
        <v>7.29</v>
      </c>
      <c r="J3231" s="3" t="n">
        <f aca="false">IF(AND(LEFT(A3231,1)&lt;&gt;"C",D3231&gt;0,F3231&gt;0),1,0)</f>
        <v>1</v>
      </c>
      <c r="K3231" s="3" t="n">
        <f aca="false">IF(AND(H3231="United Kingdom",G3231&lt;&gt;"",COUNTIFS($G$2:G3231,G3231,$H$2:H3231,"United Kingdom")=1),1,0)</f>
        <v>0</v>
      </c>
    </row>
    <row r="3232" customFormat="false" ht="15" hidden="false" customHeight="false" outlineLevel="0" collapsed="false">
      <c r="A3232" s="0" t="s">
        <v>681</v>
      </c>
      <c r="B3232" s="0" t="s">
        <v>75</v>
      </c>
      <c r="C3232" s="0" t="s">
        <v>76</v>
      </c>
      <c r="D3232" s="0" t="n">
        <v>3</v>
      </c>
      <c r="E3232" s="2" t="n">
        <v>40828.8006944444</v>
      </c>
      <c r="F3232" s="0" t="n">
        <v>1.97</v>
      </c>
      <c r="G3232" s="0" t="n">
        <v>13331</v>
      </c>
      <c r="H3232" s="3" t="s">
        <v>14</v>
      </c>
      <c r="I3232" s="4" t="n">
        <f aca="false">D3232*F3232</f>
        <v>5.91</v>
      </c>
      <c r="J3232" s="3" t="n">
        <f aca="false">IF(AND(LEFT(A3232,1)&lt;&gt;"C",D3232&gt;0,F3232&gt;0),1,0)</f>
        <v>1</v>
      </c>
      <c r="K3232" s="3" t="n">
        <f aca="false">IF(AND(H3232="United Kingdom",G3232&lt;&gt;"",COUNTIFS($G$2:G3232,G3232,$H$2:H3232,"United Kingdom")=1),1,0)</f>
        <v>0</v>
      </c>
    </row>
    <row r="3233" customFormat="false" ht="15" hidden="false" customHeight="false" outlineLevel="0" collapsed="false">
      <c r="A3233" s="0" t="s">
        <v>681</v>
      </c>
      <c r="B3233" s="0" t="s">
        <v>77</v>
      </c>
      <c r="C3233" s="0" t="s">
        <v>78</v>
      </c>
      <c r="D3233" s="0" t="n">
        <v>12</v>
      </c>
      <c r="E3233" s="2" t="n">
        <v>40828.8006944444</v>
      </c>
      <c r="F3233" s="0" t="n">
        <v>3.41</v>
      </c>
      <c r="G3233" s="0" t="n">
        <v>13331</v>
      </c>
      <c r="H3233" s="3" t="s">
        <v>14</v>
      </c>
      <c r="I3233" s="4" t="n">
        <f aca="false">D3233*F3233</f>
        <v>40.92</v>
      </c>
      <c r="J3233" s="3" t="n">
        <f aca="false">IF(AND(LEFT(A3233,1)&lt;&gt;"C",D3233&gt;0,F3233&gt;0),1,0)</f>
        <v>1</v>
      </c>
      <c r="K3233" s="3" t="n">
        <f aca="false">IF(AND(H3233="United Kingdom",G3233&lt;&gt;"",COUNTIFS($G$2:G3233,G3233,$H$2:H3233,"United Kingdom")=1),1,0)</f>
        <v>0</v>
      </c>
    </row>
    <row r="3234" customFormat="false" ht="15" hidden="false" customHeight="false" outlineLevel="0" collapsed="false">
      <c r="A3234" s="0" t="s">
        <v>681</v>
      </c>
      <c r="B3234" s="0" t="s">
        <v>27</v>
      </c>
      <c r="C3234" s="0" t="s">
        <v>28</v>
      </c>
      <c r="D3234" s="0" t="n">
        <v>2</v>
      </c>
      <c r="E3234" s="2" t="n">
        <v>40828.8006944444</v>
      </c>
      <c r="F3234" s="0" t="n">
        <v>4.55</v>
      </c>
      <c r="G3234" s="0" t="n">
        <v>13331</v>
      </c>
      <c r="H3234" s="3" t="s">
        <v>14</v>
      </c>
      <c r="I3234" s="4" t="n">
        <f aca="false">D3234*F3234</f>
        <v>9.1</v>
      </c>
      <c r="J3234" s="3" t="n">
        <f aca="false">IF(AND(LEFT(A3234,1)&lt;&gt;"C",D3234&gt;0,F3234&gt;0),1,0)</f>
        <v>1</v>
      </c>
      <c r="K3234" s="3" t="n">
        <f aca="false">IF(AND(H3234="United Kingdom",G3234&lt;&gt;"",COUNTIFS($G$2:G3234,G3234,$H$2:H3234,"United Kingdom")=1),1,0)</f>
        <v>0</v>
      </c>
    </row>
    <row r="3235" customFormat="false" ht="15" hidden="false" customHeight="false" outlineLevel="0" collapsed="false">
      <c r="A3235" s="0" t="s">
        <v>682</v>
      </c>
      <c r="B3235" s="0" t="s">
        <v>80</v>
      </c>
      <c r="C3235" s="0" t="s">
        <v>81</v>
      </c>
      <c r="D3235" s="0" t="n">
        <v>9</v>
      </c>
      <c r="E3235" s="2" t="n">
        <v>40829.3625</v>
      </c>
      <c r="F3235" s="0" t="n">
        <v>1.53</v>
      </c>
      <c r="G3235" s="0" t="n">
        <v>15135</v>
      </c>
      <c r="H3235" s="3" t="s">
        <v>57</v>
      </c>
      <c r="I3235" s="4" t="n">
        <f aca="false">D3235*F3235</f>
        <v>13.77</v>
      </c>
      <c r="J3235" s="3" t="n">
        <f aca="false">IF(AND(LEFT(A3235,1)&lt;&gt;"C",D3235&gt;0,F3235&gt;0),1,0)</f>
        <v>1</v>
      </c>
      <c r="K3235" s="3" t="n">
        <f aca="false">IF(AND(H3235="United Kingdom",G3235&lt;&gt;"",COUNTIFS($G$2:G3235,G3235,$H$2:H3235,"United Kingdom")=1),1,0)</f>
        <v>0</v>
      </c>
    </row>
    <row r="3236" customFormat="false" ht="15" hidden="false" customHeight="false" outlineLevel="0" collapsed="false">
      <c r="A3236" s="0" t="s">
        <v>682</v>
      </c>
      <c r="B3236" s="0" t="s">
        <v>72</v>
      </c>
      <c r="C3236" s="0" t="s">
        <v>73</v>
      </c>
      <c r="D3236" s="0" t="n">
        <v>6</v>
      </c>
      <c r="E3236" s="2" t="n">
        <v>40829.3625</v>
      </c>
      <c r="F3236" s="0" t="n">
        <v>2.69</v>
      </c>
      <c r="G3236" s="0" t="n">
        <v>15135</v>
      </c>
      <c r="H3236" s="3" t="s">
        <v>57</v>
      </c>
      <c r="I3236" s="4" t="n">
        <f aca="false">D3236*F3236</f>
        <v>16.14</v>
      </c>
      <c r="J3236" s="3" t="n">
        <f aca="false">IF(AND(LEFT(A3236,1)&lt;&gt;"C",D3236&gt;0,F3236&gt;0),1,0)</f>
        <v>1</v>
      </c>
      <c r="K3236" s="3" t="n">
        <f aca="false">IF(AND(H3236="United Kingdom",G3236&lt;&gt;"",COUNTIFS($G$2:G3236,G3236,$H$2:H3236,"United Kingdom")=1),1,0)</f>
        <v>0</v>
      </c>
    </row>
    <row r="3237" customFormat="false" ht="15" hidden="false" customHeight="false" outlineLevel="0" collapsed="false">
      <c r="A3237" s="0" t="s">
        <v>682</v>
      </c>
      <c r="B3237" s="0" t="s">
        <v>45</v>
      </c>
      <c r="C3237" s="0" t="s">
        <v>46</v>
      </c>
      <c r="D3237" s="0" t="n">
        <v>3</v>
      </c>
      <c r="E3237" s="2" t="n">
        <v>40829.3625</v>
      </c>
      <c r="F3237" s="0" t="n">
        <v>4.55</v>
      </c>
      <c r="G3237" s="0" t="n">
        <v>15135</v>
      </c>
      <c r="H3237" s="3" t="s">
        <v>57</v>
      </c>
      <c r="I3237" s="4" t="n">
        <f aca="false">D3237*F3237</f>
        <v>13.65</v>
      </c>
      <c r="J3237" s="3" t="n">
        <f aca="false">IF(AND(LEFT(A3237,1)&lt;&gt;"C",D3237&gt;0,F3237&gt;0),1,0)</f>
        <v>1</v>
      </c>
      <c r="K3237" s="3" t="n">
        <f aca="false">IF(AND(H3237="United Kingdom",G3237&lt;&gt;"",COUNTIFS($G$2:G3237,G3237,$H$2:H3237,"United Kingdom")=1),1,0)</f>
        <v>0</v>
      </c>
    </row>
    <row r="3238" customFormat="false" ht="15" hidden="false" customHeight="false" outlineLevel="0" collapsed="false">
      <c r="A3238" s="0" t="s">
        <v>682</v>
      </c>
      <c r="B3238" s="0" t="s">
        <v>32</v>
      </c>
      <c r="C3238" s="0" t="s">
        <v>33</v>
      </c>
      <c r="D3238" s="0" t="n">
        <v>4</v>
      </c>
      <c r="E3238" s="2" t="n">
        <v>40829.3625</v>
      </c>
      <c r="F3238" s="0" t="n">
        <v>1.19</v>
      </c>
      <c r="G3238" s="0" t="n">
        <v>15135</v>
      </c>
      <c r="H3238" s="3" t="s">
        <v>57</v>
      </c>
      <c r="I3238" s="4" t="n">
        <f aca="false">D3238*F3238</f>
        <v>4.76</v>
      </c>
      <c r="J3238" s="3" t="n">
        <f aca="false">IF(AND(LEFT(A3238,1)&lt;&gt;"C",D3238&gt;0,F3238&gt;0),1,0)</f>
        <v>1</v>
      </c>
      <c r="K3238" s="3" t="n">
        <f aca="false">IF(AND(H3238="United Kingdom",G3238&lt;&gt;"",COUNTIFS($G$2:G3238,G3238,$H$2:H3238,"United Kingdom")=1),1,0)</f>
        <v>0</v>
      </c>
    </row>
    <row r="3239" customFormat="false" ht="15" hidden="false" customHeight="false" outlineLevel="0" collapsed="false">
      <c r="A3239" s="0" t="s">
        <v>682</v>
      </c>
      <c r="B3239" s="0" t="s">
        <v>68</v>
      </c>
      <c r="C3239" s="0" t="s">
        <v>69</v>
      </c>
      <c r="D3239" s="0" t="n">
        <v>12</v>
      </c>
      <c r="E3239" s="2" t="n">
        <v>40829.3625</v>
      </c>
      <c r="F3239" s="0" t="n">
        <v>1.26</v>
      </c>
      <c r="G3239" s="0" t="n">
        <v>15135</v>
      </c>
      <c r="H3239" s="3" t="s">
        <v>57</v>
      </c>
      <c r="I3239" s="4" t="n">
        <f aca="false">D3239*F3239</f>
        <v>15.12</v>
      </c>
      <c r="J3239" s="3" t="n">
        <f aca="false">IF(AND(LEFT(A3239,1)&lt;&gt;"C",D3239&gt;0,F3239&gt;0),1,0)</f>
        <v>1</v>
      </c>
      <c r="K3239" s="3" t="n">
        <f aca="false">IF(AND(H3239="United Kingdom",G3239&lt;&gt;"",COUNTIFS($G$2:G3239,G3239,$H$2:H3239,"United Kingdom")=1),1,0)</f>
        <v>0</v>
      </c>
    </row>
    <row r="3240" customFormat="false" ht="15" hidden="false" customHeight="false" outlineLevel="0" collapsed="false">
      <c r="A3240" s="0" t="s">
        <v>682</v>
      </c>
      <c r="B3240" s="0" t="s">
        <v>34</v>
      </c>
      <c r="C3240" s="0" t="s">
        <v>35</v>
      </c>
      <c r="D3240" s="0" t="n">
        <v>4</v>
      </c>
      <c r="E3240" s="2" t="n">
        <v>40829.3625</v>
      </c>
      <c r="F3240" s="0" t="n">
        <v>2.38</v>
      </c>
      <c r="G3240" s="0" t="n">
        <v>15135</v>
      </c>
      <c r="H3240" s="3" t="s">
        <v>57</v>
      </c>
      <c r="I3240" s="4" t="n">
        <f aca="false">D3240*F3240</f>
        <v>9.52</v>
      </c>
      <c r="J3240" s="3" t="n">
        <f aca="false">IF(AND(LEFT(A3240,1)&lt;&gt;"C",D3240&gt;0,F3240&gt;0),1,0)</f>
        <v>1</v>
      </c>
      <c r="K3240" s="3" t="n">
        <f aca="false">IF(AND(H3240="United Kingdom",G3240&lt;&gt;"",COUNTIFS($G$2:G3240,G3240,$H$2:H3240,"United Kingdom")=1),1,0)</f>
        <v>0</v>
      </c>
    </row>
    <row r="3241" customFormat="false" ht="15" hidden="false" customHeight="false" outlineLevel="0" collapsed="false">
      <c r="A3241" s="0" t="s">
        <v>682</v>
      </c>
      <c r="B3241" s="0" t="s">
        <v>37</v>
      </c>
      <c r="C3241" s="0" t="s">
        <v>38</v>
      </c>
      <c r="D3241" s="0" t="n">
        <v>3</v>
      </c>
      <c r="E3241" s="2" t="n">
        <v>40829.3625</v>
      </c>
      <c r="F3241" s="0" t="n">
        <v>1.82</v>
      </c>
      <c r="G3241" s="0" t="n">
        <v>15135</v>
      </c>
      <c r="H3241" s="3" t="s">
        <v>57</v>
      </c>
      <c r="I3241" s="4" t="n">
        <f aca="false">D3241*F3241</f>
        <v>5.46</v>
      </c>
      <c r="J3241" s="3" t="n">
        <f aca="false">IF(AND(LEFT(A3241,1)&lt;&gt;"C",D3241&gt;0,F3241&gt;0),1,0)</f>
        <v>1</v>
      </c>
      <c r="K3241" s="3" t="n">
        <f aca="false">IF(AND(H3241="United Kingdom",G3241&lt;&gt;"",COUNTIFS($G$2:G3241,G3241,$H$2:H3241,"United Kingdom")=1),1,0)</f>
        <v>0</v>
      </c>
    </row>
    <row r="3242" customFormat="false" ht="15" hidden="false" customHeight="false" outlineLevel="0" collapsed="false">
      <c r="A3242" s="0" t="s">
        <v>682</v>
      </c>
      <c r="B3242" s="0" t="s">
        <v>22</v>
      </c>
      <c r="C3242" s="0" t="s">
        <v>23</v>
      </c>
      <c r="D3242" s="0" t="n">
        <v>9</v>
      </c>
      <c r="E3242" s="2" t="n">
        <v>40829.3625</v>
      </c>
      <c r="F3242" s="0" t="n">
        <v>3.18</v>
      </c>
      <c r="G3242" s="0" t="n">
        <v>15135</v>
      </c>
      <c r="H3242" s="3" t="s">
        <v>57</v>
      </c>
      <c r="I3242" s="4" t="n">
        <f aca="false">D3242*F3242</f>
        <v>28.62</v>
      </c>
      <c r="J3242" s="3" t="n">
        <f aca="false">IF(AND(LEFT(A3242,1)&lt;&gt;"C",D3242&gt;0,F3242&gt;0),1,0)</f>
        <v>1</v>
      </c>
      <c r="K3242" s="3" t="n">
        <f aca="false">IF(AND(H3242="United Kingdom",G3242&lt;&gt;"",COUNTIFS($G$2:G3242,G3242,$H$2:H3242,"United Kingdom")=1),1,0)</f>
        <v>0</v>
      </c>
    </row>
    <row r="3243" customFormat="false" ht="15" hidden="false" customHeight="false" outlineLevel="0" collapsed="false">
      <c r="A3243" s="0" t="s">
        <v>682</v>
      </c>
      <c r="B3243" s="0" t="s">
        <v>63</v>
      </c>
      <c r="C3243" s="0" t="s">
        <v>64</v>
      </c>
      <c r="D3243" s="0" t="n">
        <v>6</v>
      </c>
      <c r="E3243" s="2" t="n">
        <v>40829.3625</v>
      </c>
      <c r="F3243" s="0" t="n">
        <v>2.43</v>
      </c>
      <c r="G3243" s="0" t="n">
        <v>15135</v>
      </c>
      <c r="H3243" s="3" t="s">
        <v>57</v>
      </c>
      <c r="I3243" s="4" t="n">
        <f aca="false">D3243*F3243</f>
        <v>14.58</v>
      </c>
      <c r="J3243" s="3" t="n">
        <f aca="false">IF(AND(LEFT(A3243,1)&lt;&gt;"C",D3243&gt;0,F3243&gt;0),1,0)</f>
        <v>1</v>
      </c>
      <c r="K3243" s="3" t="n">
        <f aca="false">IF(AND(H3243="United Kingdom",G3243&lt;&gt;"",COUNTIFS($G$2:G3243,G3243,$H$2:H3243,"United Kingdom")=1),1,0)</f>
        <v>0</v>
      </c>
    </row>
    <row r="3244" customFormat="false" ht="15" hidden="false" customHeight="false" outlineLevel="0" collapsed="false">
      <c r="A3244" s="0" t="s">
        <v>682</v>
      </c>
      <c r="B3244" s="0" t="s">
        <v>58</v>
      </c>
      <c r="C3244" s="0" t="s">
        <v>59</v>
      </c>
      <c r="D3244" s="0" t="n">
        <v>9</v>
      </c>
      <c r="E3244" s="2" t="n">
        <v>40829.3625</v>
      </c>
      <c r="F3244" s="0" t="n">
        <v>2.16</v>
      </c>
      <c r="G3244" s="0" t="n">
        <v>15135</v>
      </c>
      <c r="H3244" s="3" t="s">
        <v>57</v>
      </c>
      <c r="I3244" s="4" t="n">
        <f aca="false">D3244*F3244</f>
        <v>19.44</v>
      </c>
      <c r="J3244" s="3" t="n">
        <f aca="false">IF(AND(LEFT(A3244,1)&lt;&gt;"C",D3244&gt;0,F3244&gt;0),1,0)</f>
        <v>1</v>
      </c>
      <c r="K3244" s="3" t="n">
        <f aca="false">IF(AND(H3244="United Kingdom",G3244&lt;&gt;"",COUNTIFS($G$2:G3244,G3244,$H$2:H3244,"United Kingdom")=1),1,0)</f>
        <v>0</v>
      </c>
    </row>
    <row r="3245" customFormat="false" ht="15" hidden="false" customHeight="false" outlineLevel="0" collapsed="false">
      <c r="A3245" s="0" t="s">
        <v>682</v>
      </c>
      <c r="B3245" s="0" t="s">
        <v>75</v>
      </c>
      <c r="C3245" s="0" t="s">
        <v>76</v>
      </c>
      <c r="D3245" s="0" t="n">
        <v>6</v>
      </c>
      <c r="E3245" s="2" t="n">
        <v>40829.3625</v>
      </c>
      <c r="F3245" s="0" t="n">
        <v>1.97</v>
      </c>
      <c r="G3245" s="0" t="n">
        <v>15135</v>
      </c>
      <c r="H3245" s="3" t="s">
        <v>57</v>
      </c>
      <c r="I3245" s="4" t="n">
        <f aca="false">D3245*F3245</f>
        <v>11.82</v>
      </c>
      <c r="J3245" s="3" t="n">
        <f aca="false">IF(AND(LEFT(A3245,1)&lt;&gt;"C",D3245&gt;0,F3245&gt;0),1,0)</f>
        <v>1</v>
      </c>
      <c r="K3245" s="3" t="n">
        <f aca="false">IF(AND(H3245="United Kingdom",G3245&lt;&gt;"",COUNTIFS($G$2:G3245,G3245,$H$2:H3245,"United Kingdom")=1),1,0)</f>
        <v>0</v>
      </c>
    </row>
    <row r="3246" customFormat="false" ht="15" hidden="false" customHeight="false" outlineLevel="0" collapsed="false">
      <c r="A3246" s="0" t="s">
        <v>682</v>
      </c>
      <c r="B3246" s="0" t="s">
        <v>17</v>
      </c>
      <c r="C3246" s="0" t="s">
        <v>18</v>
      </c>
      <c r="D3246" s="0" t="n">
        <v>6</v>
      </c>
      <c r="E3246" s="2" t="n">
        <v>40829.3625</v>
      </c>
      <c r="F3246" s="0" t="n">
        <v>1.92</v>
      </c>
      <c r="G3246" s="0" t="n">
        <v>15135</v>
      </c>
      <c r="H3246" s="3" t="s">
        <v>57</v>
      </c>
      <c r="I3246" s="4" t="n">
        <f aca="false">D3246*F3246</f>
        <v>11.52</v>
      </c>
      <c r="J3246" s="3" t="n">
        <f aca="false">IF(AND(LEFT(A3246,1)&lt;&gt;"C",D3246&gt;0,F3246&gt;0),1,0)</f>
        <v>1</v>
      </c>
      <c r="K3246" s="3" t="n">
        <f aca="false">IF(AND(H3246="United Kingdom",G3246&lt;&gt;"",COUNTIFS($G$2:G3246,G3246,$H$2:H3246,"United Kingdom")=1),1,0)</f>
        <v>0</v>
      </c>
    </row>
    <row r="3247" customFormat="false" ht="15" hidden="false" customHeight="false" outlineLevel="0" collapsed="false">
      <c r="A3247" s="0" t="s">
        <v>682</v>
      </c>
      <c r="B3247" s="0" t="s">
        <v>60</v>
      </c>
      <c r="C3247" s="0" t="s">
        <v>61</v>
      </c>
      <c r="D3247" s="0" t="n">
        <v>19</v>
      </c>
      <c r="E3247" s="2" t="n">
        <v>40829.3625</v>
      </c>
      <c r="F3247" s="0" t="n">
        <v>0.63</v>
      </c>
      <c r="G3247" s="0" t="n">
        <v>15135</v>
      </c>
      <c r="H3247" s="3" t="s">
        <v>57</v>
      </c>
      <c r="I3247" s="4" t="n">
        <f aca="false">D3247*F3247</f>
        <v>11.97</v>
      </c>
      <c r="J3247" s="3" t="n">
        <f aca="false">IF(AND(LEFT(A3247,1)&lt;&gt;"C",D3247&gt;0,F3247&gt;0),1,0)</f>
        <v>1</v>
      </c>
      <c r="K3247" s="3" t="n">
        <f aca="false">IF(AND(H3247="United Kingdom",G3247&lt;&gt;"",COUNTIFS($G$2:G3247,G3247,$H$2:H3247,"United Kingdom")=1),1,0)</f>
        <v>0</v>
      </c>
    </row>
    <row r="3248" customFormat="false" ht="15" hidden="false" customHeight="false" outlineLevel="0" collapsed="false">
      <c r="A3248" s="0" t="s">
        <v>682</v>
      </c>
      <c r="B3248" s="0" t="s">
        <v>29</v>
      </c>
      <c r="C3248" s="0" t="s">
        <v>30</v>
      </c>
      <c r="D3248" s="0" t="n">
        <v>6</v>
      </c>
      <c r="E3248" s="2" t="n">
        <v>40829.3625</v>
      </c>
      <c r="F3248" s="0" t="n">
        <v>5.79</v>
      </c>
      <c r="G3248" s="0" t="n">
        <v>15135</v>
      </c>
      <c r="H3248" s="3" t="s">
        <v>57</v>
      </c>
      <c r="I3248" s="4" t="n">
        <f aca="false">D3248*F3248</f>
        <v>34.74</v>
      </c>
      <c r="J3248" s="3" t="n">
        <f aca="false">IF(AND(LEFT(A3248,1)&lt;&gt;"C",D3248&gt;0,F3248&gt;0),1,0)</f>
        <v>1</v>
      </c>
      <c r="K3248" s="3" t="n">
        <f aca="false">IF(AND(H3248="United Kingdom",G3248&lt;&gt;"",COUNTIFS($G$2:G3248,G3248,$H$2:H3248,"United Kingdom")=1),1,0)</f>
        <v>0</v>
      </c>
    </row>
    <row r="3249" customFormat="false" ht="15" hidden="false" customHeight="false" outlineLevel="0" collapsed="false">
      <c r="A3249" s="0" t="s">
        <v>682</v>
      </c>
      <c r="B3249" s="0" t="s">
        <v>113</v>
      </c>
      <c r="C3249" s="0" t="s">
        <v>114</v>
      </c>
      <c r="D3249" s="0" t="n">
        <v>3</v>
      </c>
      <c r="E3249" s="2" t="n">
        <v>40829.3625</v>
      </c>
      <c r="F3249" s="0" t="n">
        <v>3.57</v>
      </c>
      <c r="G3249" s="0" t="n">
        <v>15135</v>
      </c>
      <c r="H3249" s="3" t="s">
        <v>57</v>
      </c>
      <c r="I3249" s="4" t="n">
        <f aca="false">D3249*F3249</f>
        <v>10.71</v>
      </c>
      <c r="J3249" s="3" t="n">
        <f aca="false">IF(AND(LEFT(A3249,1)&lt;&gt;"C",D3249&gt;0,F3249&gt;0),1,0)</f>
        <v>1</v>
      </c>
      <c r="K3249" s="3" t="n">
        <f aca="false">IF(AND(H3249="United Kingdom",G3249&lt;&gt;"",COUNTIFS($G$2:G3249,G3249,$H$2:H3249,"United Kingdom")=1),1,0)</f>
        <v>0</v>
      </c>
    </row>
    <row r="3250" customFormat="false" ht="15" hidden="false" customHeight="false" outlineLevel="0" collapsed="false">
      <c r="A3250" s="0" t="s">
        <v>682</v>
      </c>
      <c r="B3250" s="0" t="s">
        <v>43</v>
      </c>
      <c r="C3250" s="0" t="s">
        <v>44</v>
      </c>
      <c r="D3250" s="0" t="n">
        <v>1</v>
      </c>
      <c r="E3250" s="2" t="n">
        <v>40829.3625</v>
      </c>
      <c r="F3250" s="0" t="n">
        <v>1.35</v>
      </c>
      <c r="G3250" s="0" t="n">
        <v>15135</v>
      </c>
      <c r="H3250" s="3" t="s">
        <v>57</v>
      </c>
      <c r="I3250" s="4" t="n">
        <f aca="false">D3250*F3250</f>
        <v>1.35</v>
      </c>
      <c r="J3250" s="3" t="n">
        <f aca="false">IF(AND(LEFT(A3250,1)&lt;&gt;"C",D3250&gt;0,F3250&gt;0),1,0)</f>
        <v>1</v>
      </c>
      <c r="K3250" s="3" t="n">
        <f aca="false">IF(AND(H3250="United Kingdom",G3250&lt;&gt;"",COUNTIFS($G$2:G3250,G3250,$H$2:H3250,"United Kingdom")=1),1,0)</f>
        <v>0</v>
      </c>
    </row>
    <row r="3251" customFormat="false" ht="15" hidden="false" customHeight="false" outlineLevel="0" collapsed="false">
      <c r="A3251" s="0" t="s">
        <v>682</v>
      </c>
      <c r="B3251" s="0" t="s">
        <v>54</v>
      </c>
      <c r="C3251" s="0" t="s">
        <v>55</v>
      </c>
      <c r="D3251" s="0" t="n">
        <v>3</v>
      </c>
      <c r="E3251" s="2" t="n">
        <v>40829.3625</v>
      </c>
      <c r="F3251" s="0" t="n">
        <v>0.99</v>
      </c>
      <c r="G3251" s="0" t="n">
        <v>15135</v>
      </c>
      <c r="H3251" s="3" t="s">
        <v>57</v>
      </c>
      <c r="I3251" s="4" t="n">
        <f aca="false">D3251*F3251</f>
        <v>2.97</v>
      </c>
      <c r="J3251" s="3" t="n">
        <f aca="false">IF(AND(LEFT(A3251,1)&lt;&gt;"C",D3251&gt;0,F3251&gt;0),1,0)</f>
        <v>1</v>
      </c>
      <c r="K3251" s="3" t="n">
        <f aca="false">IF(AND(H3251="United Kingdom",G3251&lt;&gt;"",COUNTIFS($G$2:G3251,G3251,$H$2:H3251,"United Kingdom")=1),1,0)</f>
        <v>0</v>
      </c>
    </row>
    <row r="3252" customFormat="false" ht="15" hidden="false" customHeight="false" outlineLevel="0" collapsed="false">
      <c r="A3252" s="0" t="s">
        <v>683</v>
      </c>
      <c r="B3252" s="0" t="s">
        <v>63</v>
      </c>
      <c r="C3252" s="0" t="s">
        <v>64</v>
      </c>
      <c r="D3252" s="0" t="n">
        <v>2</v>
      </c>
      <c r="E3252" s="2" t="n">
        <v>40829.5027777778</v>
      </c>
      <c r="F3252" s="0" t="n">
        <v>2.43</v>
      </c>
      <c r="G3252" s="0" t="n">
        <v>16471</v>
      </c>
      <c r="H3252" s="3" t="s">
        <v>101</v>
      </c>
      <c r="I3252" s="4" t="n">
        <f aca="false">D3252*F3252</f>
        <v>4.86</v>
      </c>
      <c r="J3252" s="3" t="n">
        <f aca="false">IF(AND(LEFT(A3252,1)&lt;&gt;"C",D3252&gt;0,F3252&gt;0),1,0)</f>
        <v>1</v>
      </c>
      <c r="K3252" s="3" t="n">
        <f aca="false">IF(AND(H3252="United Kingdom",G3252&lt;&gt;"",COUNTIFS($G$2:G3252,G3252,$H$2:H3252,"United Kingdom")=1),1,0)</f>
        <v>0</v>
      </c>
    </row>
    <row r="3253" customFormat="false" ht="15" hidden="false" customHeight="false" outlineLevel="0" collapsed="false">
      <c r="A3253" s="0" t="s">
        <v>684</v>
      </c>
      <c r="B3253" s="0" t="s">
        <v>41</v>
      </c>
      <c r="C3253" s="0" t="s">
        <v>42</v>
      </c>
      <c r="D3253" s="0" t="n">
        <v>6</v>
      </c>
      <c r="E3253" s="2" t="n">
        <v>40829.5701388889</v>
      </c>
      <c r="F3253" s="0" t="n">
        <v>3.28</v>
      </c>
      <c r="G3253" s="0" t="n">
        <v>13664</v>
      </c>
      <c r="H3253" s="3" t="s">
        <v>14</v>
      </c>
      <c r="I3253" s="4" t="n">
        <f aca="false">D3253*F3253</f>
        <v>19.68</v>
      </c>
      <c r="J3253" s="3" t="n">
        <f aca="false">IF(AND(LEFT(A3253,1)&lt;&gt;"C",D3253&gt;0,F3253&gt;0),1,0)</f>
        <v>1</v>
      </c>
      <c r="K3253" s="3" t="n">
        <f aca="false">IF(AND(H3253="United Kingdom",G3253&lt;&gt;"",COUNTIFS($G$2:G3253,G3253,$H$2:H3253,"United Kingdom")=1),1,0)</f>
        <v>0</v>
      </c>
    </row>
    <row r="3254" customFormat="false" ht="15" hidden="false" customHeight="false" outlineLevel="0" collapsed="false">
      <c r="A3254" s="0" t="s">
        <v>684</v>
      </c>
      <c r="B3254" s="0" t="s">
        <v>60</v>
      </c>
      <c r="C3254" s="0" t="s">
        <v>61</v>
      </c>
      <c r="D3254" s="0" t="n">
        <v>2</v>
      </c>
      <c r="E3254" s="2" t="n">
        <v>40829.5701388889</v>
      </c>
      <c r="F3254" s="0" t="n">
        <v>0.63</v>
      </c>
      <c r="G3254" s="0" t="n">
        <v>13664</v>
      </c>
      <c r="H3254" s="3" t="s">
        <v>14</v>
      </c>
      <c r="I3254" s="4" t="n">
        <f aca="false">D3254*F3254</f>
        <v>1.26</v>
      </c>
      <c r="J3254" s="3" t="n">
        <f aca="false">IF(AND(LEFT(A3254,1)&lt;&gt;"C",D3254&gt;0,F3254&gt;0),1,0)</f>
        <v>1</v>
      </c>
      <c r="K3254" s="3" t="n">
        <f aca="false">IF(AND(H3254="United Kingdom",G3254&lt;&gt;"",COUNTIFS($G$2:G3254,G3254,$H$2:H3254,"United Kingdom")=1),1,0)</f>
        <v>0</v>
      </c>
    </row>
    <row r="3255" customFormat="false" ht="15" hidden="false" customHeight="false" outlineLevel="0" collapsed="false">
      <c r="A3255" s="0" t="s">
        <v>685</v>
      </c>
      <c r="B3255" s="0" t="s">
        <v>41</v>
      </c>
      <c r="C3255" s="0" t="s">
        <v>42</v>
      </c>
      <c r="D3255" s="0" t="n">
        <v>16</v>
      </c>
      <c r="E3255" s="2" t="n">
        <v>40830.4402777778</v>
      </c>
      <c r="F3255" s="0" t="n">
        <v>3.28</v>
      </c>
      <c r="G3255" s="0" t="n">
        <v>18211</v>
      </c>
      <c r="H3255" s="3" t="s">
        <v>14</v>
      </c>
      <c r="I3255" s="4" t="n">
        <f aca="false">D3255*F3255</f>
        <v>52.48</v>
      </c>
      <c r="J3255" s="3" t="n">
        <f aca="false">IF(AND(LEFT(A3255,1)&lt;&gt;"C",D3255&gt;0,F3255&gt;0),1,0)</f>
        <v>1</v>
      </c>
      <c r="K3255" s="3" t="n">
        <f aca="false">IF(AND(H3255="United Kingdom",G3255&lt;&gt;"",COUNTIFS($G$2:G3255,G3255,$H$2:H3255,"United Kingdom")=1),1,0)</f>
        <v>0</v>
      </c>
    </row>
    <row r="3256" customFormat="false" ht="15" hidden="false" customHeight="false" outlineLevel="0" collapsed="false">
      <c r="A3256" s="0" t="s">
        <v>685</v>
      </c>
      <c r="B3256" s="0" t="s">
        <v>60</v>
      </c>
      <c r="C3256" s="0" t="s">
        <v>61</v>
      </c>
      <c r="D3256" s="0" t="n">
        <v>1</v>
      </c>
      <c r="E3256" s="2" t="n">
        <v>40830.4402777778</v>
      </c>
      <c r="F3256" s="0" t="n">
        <v>0.63</v>
      </c>
      <c r="G3256" s="0" t="n">
        <v>18211</v>
      </c>
      <c r="H3256" s="3" t="s">
        <v>14</v>
      </c>
      <c r="I3256" s="4" t="n">
        <f aca="false">D3256*F3256</f>
        <v>0.63</v>
      </c>
      <c r="J3256" s="3" t="n">
        <f aca="false">IF(AND(LEFT(A3256,1)&lt;&gt;"C",D3256&gt;0,F3256&gt;0),1,0)</f>
        <v>1</v>
      </c>
      <c r="K3256" s="3" t="n">
        <f aca="false">IF(AND(H3256="United Kingdom",G3256&lt;&gt;"",COUNTIFS($G$2:G3256,G3256,$H$2:H3256,"United Kingdom")=1),1,0)</f>
        <v>0</v>
      </c>
    </row>
    <row r="3257" customFormat="false" ht="15" hidden="false" customHeight="false" outlineLevel="0" collapsed="false">
      <c r="A3257" s="0" t="s">
        <v>686</v>
      </c>
      <c r="B3257" s="0" t="s">
        <v>80</v>
      </c>
      <c r="C3257" s="0" t="s">
        <v>81</v>
      </c>
      <c r="D3257" s="0" t="n">
        <v>-3</v>
      </c>
      <c r="E3257" s="2" t="n">
        <v>40830.7534722222</v>
      </c>
      <c r="F3257" s="0" t="n">
        <v>1.53</v>
      </c>
      <c r="G3257" s="0" t="n">
        <v>14074</v>
      </c>
      <c r="H3257" s="3" t="s">
        <v>14</v>
      </c>
      <c r="I3257" s="4" t="n">
        <f aca="false">D3257*F3257</f>
        <v>-4.59</v>
      </c>
      <c r="J3257" s="3" t="n">
        <f aca="false">IF(AND(LEFT(A3257,1)&lt;&gt;"C",D3257&gt;0,F3257&gt;0),1,0)</f>
        <v>0</v>
      </c>
      <c r="K3257" s="3" t="n">
        <f aca="false">IF(AND(H3257="United Kingdom",G3257&lt;&gt;"",COUNTIFS($G$2:G3257,G3257,$H$2:H3257,"United Kingdom")=1),1,0)</f>
        <v>0</v>
      </c>
    </row>
    <row r="3258" customFormat="false" ht="15" hidden="false" customHeight="false" outlineLevel="0" collapsed="false">
      <c r="A3258" s="0" t="s">
        <v>687</v>
      </c>
      <c r="B3258" s="0" t="s">
        <v>58</v>
      </c>
      <c r="C3258" s="0" t="s">
        <v>59</v>
      </c>
      <c r="D3258" s="0" t="n">
        <v>6</v>
      </c>
      <c r="E3258" s="2" t="n">
        <v>40831.4305555556</v>
      </c>
      <c r="F3258" s="0" t="n">
        <v>2.16</v>
      </c>
      <c r="G3258" s="0" t="n">
        <v>13965</v>
      </c>
      <c r="H3258" s="3" t="s">
        <v>14</v>
      </c>
      <c r="I3258" s="4" t="n">
        <f aca="false">D3258*F3258</f>
        <v>12.96</v>
      </c>
      <c r="J3258" s="3" t="n">
        <f aca="false">IF(AND(LEFT(A3258,1)&lt;&gt;"C",D3258&gt;0,F3258&gt;0),1,0)</f>
        <v>1</v>
      </c>
      <c r="K3258" s="3" t="n">
        <f aca="false">IF(AND(H3258="United Kingdom",G3258&lt;&gt;"",COUNTIFS($G$2:G3258,G3258,$H$2:H3258,"United Kingdom")=1),1,0)</f>
        <v>0</v>
      </c>
    </row>
    <row r="3259" customFormat="false" ht="15" hidden="false" customHeight="false" outlineLevel="0" collapsed="false">
      <c r="A3259" s="0" t="s">
        <v>687</v>
      </c>
      <c r="B3259" s="0" t="s">
        <v>60</v>
      </c>
      <c r="C3259" s="0" t="s">
        <v>61</v>
      </c>
      <c r="D3259" s="0" t="n">
        <v>6</v>
      </c>
      <c r="E3259" s="2" t="n">
        <v>40831.4305555556</v>
      </c>
      <c r="F3259" s="0" t="n">
        <v>0.63</v>
      </c>
      <c r="G3259" s="0" t="n">
        <v>13965</v>
      </c>
      <c r="H3259" s="3" t="s">
        <v>14</v>
      </c>
      <c r="I3259" s="4" t="n">
        <f aca="false">D3259*F3259</f>
        <v>3.78</v>
      </c>
      <c r="J3259" s="3" t="n">
        <f aca="false">IF(AND(LEFT(A3259,1)&lt;&gt;"C",D3259&gt;0,F3259&gt;0),1,0)</f>
        <v>1</v>
      </c>
      <c r="K3259" s="3" t="n">
        <f aca="false">IF(AND(H3259="United Kingdom",G3259&lt;&gt;"",COUNTIFS($G$2:G3259,G3259,$H$2:H3259,"United Kingdom")=1),1,0)</f>
        <v>0</v>
      </c>
    </row>
    <row r="3260" customFormat="false" ht="15" hidden="false" customHeight="false" outlineLevel="0" collapsed="false">
      <c r="A3260" s="0" t="s">
        <v>687</v>
      </c>
      <c r="B3260" s="0" t="s">
        <v>25</v>
      </c>
      <c r="C3260" s="0" t="s">
        <v>26</v>
      </c>
      <c r="D3260" s="0" t="n">
        <v>2</v>
      </c>
      <c r="E3260" s="2" t="n">
        <v>40831.4305555556</v>
      </c>
      <c r="F3260" s="0" t="n">
        <v>2.21</v>
      </c>
      <c r="G3260" s="0" t="n">
        <v>13965</v>
      </c>
      <c r="H3260" s="3" t="s">
        <v>14</v>
      </c>
      <c r="I3260" s="4" t="n">
        <f aca="false">D3260*F3260</f>
        <v>4.42</v>
      </c>
      <c r="J3260" s="3" t="n">
        <f aca="false">IF(AND(LEFT(A3260,1)&lt;&gt;"C",D3260&gt;0,F3260&gt;0),1,0)</f>
        <v>1</v>
      </c>
      <c r="K3260" s="3" t="n">
        <f aca="false">IF(AND(H3260="United Kingdom",G3260&lt;&gt;"",COUNTIFS($G$2:G3260,G3260,$H$2:H3260,"United Kingdom")=1),1,0)</f>
        <v>0</v>
      </c>
    </row>
    <row r="3261" customFormat="false" ht="15" hidden="false" customHeight="false" outlineLevel="0" collapsed="false">
      <c r="A3261" s="0" t="s">
        <v>688</v>
      </c>
      <c r="B3261" s="0" t="s">
        <v>17</v>
      </c>
      <c r="C3261" s="0" t="s">
        <v>18</v>
      </c>
      <c r="D3261" s="0" t="n">
        <v>16</v>
      </c>
      <c r="E3261" s="2" t="n">
        <v>40831.4833333333</v>
      </c>
      <c r="F3261" s="0" t="n">
        <v>1.92</v>
      </c>
      <c r="G3261" s="0" t="n">
        <v>15884</v>
      </c>
      <c r="H3261" s="3" t="s">
        <v>14</v>
      </c>
      <c r="I3261" s="4" t="n">
        <f aca="false">D3261*F3261</f>
        <v>30.72</v>
      </c>
      <c r="J3261" s="3" t="n">
        <f aca="false">IF(AND(LEFT(A3261,1)&lt;&gt;"C",D3261&gt;0,F3261&gt;0),1,0)</f>
        <v>1</v>
      </c>
      <c r="K3261" s="3" t="n">
        <f aca="false">IF(AND(H3261="United Kingdom",G3261&lt;&gt;"",COUNTIFS($G$2:G3261,G3261,$H$2:H3261,"United Kingdom")=1),1,0)</f>
        <v>0</v>
      </c>
    </row>
    <row r="3262" customFormat="false" ht="15" hidden="false" customHeight="false" outlineLevel="0" collapsed="false">
      <c r="A3262" s="0" t="s">
        <v>688</v>
      </c>
      <c r="B3262" s="0" t="s">
        <v>32</v>
      </c>
      <c r="C3262" s="0" t="s">
        <v>33</v>
      </c>
      <c r="D3262" s="0" t="n">
        <v>2</v>
      </c>
      <c r="E3262" s="2" t="n">
        <v>40831.4833333333</v>
      </c>
      <c r="F3262" s="0" t="n">
        <v>1.19</v>
      </c>
      <c r="G3262" s="0" t="n">
        <v>15884</v>
      </c>
      <c r="H3262" s="3" t="s">
        <v>14</v>
      </c>
      <c r="I3262" s="4" t="n">
        <f aca="false">D3262*F3262</f>
        <v>2.38</v>
      </c>
      <c r="J3262" s="3" t="n">
        <f aca="false">IF(AND(LEFT(A3262,1)&lt;&gt;"C",D3262&gt;0,F3262&gt;0),1,0)</f>
        <v>1</v>
      </c>
      <c r="K3262" s="3" t="n">
        <f aca="false">IF(AND(H3262="United Kingdom",G3262&lt;&gt;"",COUNTIFS($G$2:G3262,G3262,$H$2:H3262,"United Kingdom")=1),1,0)</f>
        <v>0</v>
      </c>
    </row>
    <row r="3263" customFormat="false" ht="15" hidden="false" customHeight="false" outlineLevel="0" collapsed="false">
      <c r="A3263" s="0" t="s">
        <v>688</v>
      </c>
      <c r="B3263" s="0" t="s">
        <v>72</v>
      </c>
      <c r="C3263" s="0" t="s">
        <v>73</v>
      </c>
      <c r="D3263" s="0" t="n">
        <v>8</v>
      </c>
      <c r="E3263" s="2" t="n">
        <v>40831.4833333333</v>
      </c>
      <c r="F3263" s="0" t="n">
        <v>2.69</v>
      </c>
      <c r="G3263" s="0" t="n">
        <v>15884</v>
      </c>
      <c r="H3263" s="3" t="s">
        <v>14</v>
      </c>
      <c r="I3263" s="4" t="n">
        <f aca="false">D3263*F3263</f>
        <v>21.52</v>
      </c>
      <c r="J3263" s="3" t="n">
        <f aca="false">IF(AND(LEFT(A3263,1)&lt;&gt;"C",D3263&gt;0,F3263&gt;0),1,0)</f>
        <v>1</v>
      </c>
      <c r="K3263" s="3" t="n">
        <f aca="false">IF(AND(H3263="United Kingdom",G3263&lt;&gt;"",COUNTIFS($G$2:G3263,G3263,$H$2:H3263,"United Kingdom")=1),1,0)</f>
        <v>0</v>
      </c>
    </row>
    <row r="3264" customFormat="false" ht="15" hidden="false" customHeight="false" outlineLevel="0" collapsed="false">
      <c r="A3264" s="0" t="s">
        <v>688</v>
      </c>
      <c r="B3264" s="0" t="s">
        <v>39</v>
      </c>
      <c r="C3264" s="0" t="s">
        <v>40</v>
      </c>
      <c r="D3264" s="0" t="n">
        <v>3</v>
      </c>
      <c r="E3264" s="2" t="n">
        <v>40831.4833333333</v>
      </c>
      <c r="F3264" s="0" t="n">
        <v>2.58</v>
      </c>
      <c r="G3264" s="0" t="n">
        <v>15884</v>
      </c>
      <c r="H3264" s="3" t="s">
        <v>14</v>
      </c>
      <c r="I3264" s="4" t="n">
        <f aca="false">D3264*F3264</f>
        <v>7.74</v>
      </c>
      <c r="J3264" s="3" t="n">
        <f aca="false">IF(AND(LEFT(A3264,1)&lt;&gt;"C",D3264&gt;0,F3264&gt;0),1,0)</f>
        <v>1</v>
      </c>
      <c r="K3264" s="3" t="n">
        <f aca="false">IF(AND(H3264="United Kingdom",G3264&lt;&gt;"",COUNTIFS($G$2:G3264,G3264,$H$2:H3264,"United Kingdom")=1),1,0)</f>
        <v>0</v>
      </c>
    </row>
    <row r="3265" customFormat="false" ht="15" hidden="false" customHeight="false" outlineLevel="0" collapsed="false">
      <c r="A3265" s="0" t="s">
        <v>688</v>
      </c>
      <c r="B3265" s="0" t="s">
        <v>45</v>
      </c>
      <c r="C3265" s="0" t="s">
        <v>46</v>
      </c>
      <c r="D3265" s="0" t="n">
        <v>3</v>
      </c>
      <c r="E3265" s="2" t="n">
        <v>40831.4833333333</v>
      </c>
      <c r="F3265" s="0" t="n">
        <v>4.55</v>
      </c>
      <c r="G3265" s="0" t="n">
        <v>15884</v>
      </c>
      <c r="H3265" s="3" t="s">
        <v>14</v>
      </c>
      <c r="I3265" s="4" t="n">
        <f aca="false">D3265*F3265</f>
        <v>13.65</v>
      </c>
      <c r="J3265" s="3" t="n">
        <f aca="false">IF(AND(LEFT(A3265,1)&lt;&gt;"C",D3265&gt;0,F3265&gt;0),1,0)</f>
        <v>1</v>
      </c>
      <c r="K3265" s="3" t="n">
        <f aca="false">IF(AND(H3265="United Kingdom",G3265&lt;&gt;"",COUNTIFS($G$2:G3265,G3265,$H$2:H3265,"United Kingdom")=1),1,0)</f>
        <v>0</v>
      </c>
    </row>
    <row r="3266" customFormat="false" ht="15" hidden="false" customHeight="false" outlineLevel="0" collapsed="false">
      <c r="A3266" s="0" t="s">
        <v>688</v>
      </c>
      <c r="B3266" s="0" t="s">
        <v>80</v>
      </c>
      <c r="C3266" s="0" t="s">
        <v>81</v>
      </c>
      <c r="D3266" s="0" t="n">
        <v>1</v>
      </c>
      <c r="E3266" s="2" t="n">
        <v>40831.4833333333</v>
      </c>
      <c r="F3266" s="0" t="n">
        <v>1.53</v>
      </c>
      <c r="G3266" s="0" t="n">
        <v>15884</v>
      </c>
      <c r="H3266" s="3" t="s">
        <v>14</v>
      </c>
      <c r="I3266" s="4" t="n">
        <f aca="false">D3266*F3266</f>
        <v>1.53</v>
      </c>
      <c r="J3266" s="3" t="n">
        <f aca="false">IF(AND(LEFT(A3266,1)&lt;&gt;"C",D3266&gt;0,F3266&gt;0),1,0)</f>
        <v>1</v>
      </c>
      <c r="K3266" s="3" t="n">
        <f aca="false">IF(AND(H3266="United Kingdom",G3266&lt;&gt;"",COUNTIFS($G$2:G3266,G3266,$H$2:H3266,"United Kingdom")=1),1,0)</f>
        <v>0</v>
      </c>
    </row>
    <row r="3267" customFormat="false" ht="15" hidden="false" customHeight="false" outlineLevel="0" collapsed="false">
      <c r="A3267" s="0" t="s">
        <v>688</v>
      </c>
      <c r="B3267" s="0" t="s">
        <v>54</v>
      </c>
      <c r="C3267" s="0" t="s">
        <v>55</v>
      </c>
      <c r="D3267" s="0" t="n">
        <v>2</v>
      </c>
      <c r="E3267" s="2" t="n">
        <v>40831.4833333333</v>
      </c>
      <c r="F3267" s="0" t="n">
        <v>0.99</v>
      </c>
      <c r="G3267" s="0" t="n">
        <v>15884</v>
      </c>
      <c r="H3267" s="3" t="s">
        <v>14</v>
      </c>
      <c r="I3267" s="4" t="n">
        <f aca="false">D3267*F3267</f>
        <v>1.98</v>
      </c>
      <c r="J3267" s="3" t="n">
        <f aca="false">IF(AND(LEFT(A3267,1)&lt;&gt;"C",D3267&gt;0,F3267&gt;0),1,0)</f>
        <v>1</v>
      </c>
      <c r="K3267" s="3" t="n">
        <f aca="false">IF(AND(H3267="United Kingdom",G3267&lt;&gt;"",COUNTIFS($G$2:G3267,G3267,$H$2:H3267,"United Kingdom")=1),1,0)</f>
        <v>0</v>
      </c>
    </row>
    <row r="3268" customFormat="false" ht="15" hidden="false" customHeight="false" outlineLevel="0" collapsed="false">
      <c r="A3268" s="0" t="s">
        <v>688</v>
      </c>
      <c r="B3268" s="0" t="s">
        <v>52</v>
      </c>
      <c r="C3268" s="0" t="s">
        <v>53</v>
      </c>
      <c r="D3268" s="0" t="n">
        <v>2</v>
      </c>
      <c r="E3268" s="2" t="n">
        <v>40831.4833333333</v>
      </c>
      <c r="F3268" s="0" t="n">
        <v>4.16</v>
      </c>
      <c r="G3268" s="0" t="n">
        <v>15884</v>
      </c>
      <c r="H3268" s="3" t="s">
        <v>14</v>
      </c>
      <c r="I3268" s="4" t="n">
        <f aca="false">D3268*F3268</f>
        <v>8.32</v>
      </c>
      <c r="J3268" s="3" t="n">
        <f aca="false">IF(AND(LEFT(A3268,1)&lt;&gt;"C",D3268&gt;0,F3268&gt;0),1,0)</f>
        <v>1</v>
      </c>
      <c r="K3268" s="3" t="n">
        <f aca="false">IF(AND(H3268="United Kingdom",G3268&lt;&gt;"",COUNTIFS($G$2:G3268,G3268,$H$2:H3268,"United Kingdom")=1),1,0)</f>
        <v>0</v>
      </c>
    </row>
    <row r="3269" customFormat="false" ht="15" hidden="false" customHeight="false" outlineLevel="0" collapsed="false">
      <c r="A3269" s="0" t="s">
        <v>688</v>
      </c>
      <c r="B3269" s="0" t="s">
        <v>22</v>
      </c>
      <c r="C3269" s="0" t="s">
        <v>23</v>
      </c>
      <c r="D3269" s="0" t="n">
        <v>3</v>
      </c>
      <c r="E3269" s="2" t="n">
        <v>40831.4833333333</v>
      </c>
      <c r="F3269" s="0" t="n">
        <v>3.18</v>
      </c>
      <c r="G3269" s="0" t="n">
        <v>15884</v>
      </c>
      <c r="H3269" s="3" t="s">
        <v>14</v>
      </c>
      <c r="I3269" s="4" t="n">
        <f aca="false">D3269*F3269</f>
        <v>9.54</v>
      </c>
      <c r="J3269" s="3" t="n">
        <f aca="false">IF(AND(LEFT(A3269,1)&lt;&gt;"C",D3269&gt;0,F3269&gt;0),1,0)</f>
        <v>1</v>
      </c>
      <c r="K3269" s="3" t="n">
        <f aca="false">IF(AND(H3269="United Kingdom",G3269&lt;&gt;"",COUNTIFS($G$2:G3269,G3269,$H$2:H3269,"United Kingdom")=1),1,0)</f>
        <v>0</v>
      </c>
    </row>
    <row r="3270" customFormat="false" ht="15" hidden="false" customHeight="false" outlineLevel="0" collapsed="false">
      <c r="A3270" s="0" t="s">
        <v>688</v>
      </c>
      <c r="B3270" s="0" t="s">
        <v>63</v>
      </c>
      <c r="C3270" s="0" t="s">
        <v>64</v>
      </c>
      <c r="D3270" s="0" t="n">
        <v>2</v>
      </c>
      <c r="E3270" s="2" t="n">
        <v>40831.4833333333</v>
      </c>
      <c r="F3270" s="0" t="n">
        <v>2.43</v>
      </c>
      <c r="G3270" s="0" t="n">
        <v>15884</v>
      </c>
      <c r="H3270" s="3" t="s">
        <v>14</v>
      </c>
      <c r="I3270" s="4" t="n">
        <f aca="false">D3270*F3270</f>
        <v>4.86</v>
      </c>
      <c r="J3270" s="3" t="n">
        <f aca="false">IF(AND(LEFT(A3270,1)&lt;&gt;"C",D3270&gt;0,F3270&gt;0),1,0)</f>
        <v>1</v>
      </c>
      <c r="K3270" s="3" t="n">
        <f aca="false">IF(AND(H3270="United Kingdom",G3270&lt;&gt;"",COUNTIFS($G$2:G3270,G3270,$H$2:H3270,"United Kingdom")=1),1,0)</f>
        <v>0</v>
      </c>
    </row>
    <row r="3271" customFormat="false" ht="15" hidden="false" customHeight="false" outlineLevel="0" collapsed="false">
      <c r="A3271" s="0" t="s">
        <v>688</v>
      </c>
      <c r="B3271" s="0" t="s">
        <v>77</v>
      </c>
      <c r="C3271" s="0" t="s">
        <v>78</v>
      </c>
      <c r="D3271" s="0" t="n">
        <v>1</v>
      </c>
      <c r="E3271" s="2" t="n">
        <v>40831.4833333333</v>
      </c>
      <c r="F3271" s="0" t="n">
        <v>3.41</v>
      </c>
      <c r="G3271" s="0" t="n">
        <v>15884</v>
      </c>
      <c r="H3271" s="3" t="s">
        <v>14</v>
      </c>
      <c r="I3271" s="4" t="n">
        <f aca="false">D3271*F3271</f>
        <v>3.41</v>
      </c>
      <c r="J3271" s="3" t="n">
        <f aca="false">IF(AND(LEFT(A3271,1)&lt;&gt;"C",D3271&gt;0,F3271&gt;0),1,0)</f>
        <v>1</v>
      </c>
      <c r="K3271" s="3" t="n">
        <f aca="false">IF(AND(H3271="United Kingdom",G3271&lt;&gt;"",COUNTIFS($G$2:G3271,G3271,$H$2:H3271,"United Kingdom")=1),1,0)</f>
        <v>0</v>
      </c>
    </row>
    <row r="3272" customFormat="false" ht="15" hidden="false" customHeight="false" outlineLevel="0" collapsed="false">
      <c r="A3272" s="0" t="s">
        <v>688</v>
      </c>
      <c r="B3272" s="0" t="s">
        <v>113</v>
      </c>
      <c r="C3272" s="0" t="s">
        <v>114</v>
      </c>
      <c r="D3272" s="0" t="n">
        <v>1</v>
      </c>
      <c r="E3272" s="2" t="n">
        <v>40831.4833333333</v>
      </c>
      <c r="F3272" s="0" t="n">
        <v>3.57</v>
      </c>
      <c r="G3272" s="0" t="n">
        <v>15884</v>
      </c>
      <c r="H3272" s="3" t="s">
        <v>14</v>
      </c>
      <c r="I3272" s="4" t="n">
        <f aca="false">D3272*F3272</f>
        <v>3.57</v>
      </c>
      <c r="J3272" s="3" t="n">
        <f aca="false">IF(AND(LEFT(A3272,1)&lt;&gt;"C",D3272&gt;0,F3272&gt;0),1,0)</f>
        <v>1</v>
      </c>
      <c r="K3272" s="3" t="n">
        <f aca="false">IF(AND(H3272="United Kingdom",G3272&lt;&gt;"",COUNTIFS($G$2:G3272,G3272,$H$2:H3272,"United Kingdom")=1),1,0)</f>
        <v>0</v>
      </c>
    </row>
    <row r="3273" customFormat="false" ht="15" hidden="false" customHeight="false" outlineLevel="0" collapsed="false">
      <c r="A3273" s="0" t="s">
        <v>688</v>
      </c>
      <c r="B3273" s="0" t="s">
        <v>12</v>
      </c>
      <c r="C3273" s="0" t="s">
        <v>13</v>
      </c>
      <c r="D3273" s="0" t="n">
        <v>1</v>
      </c>
      <c r="E3273" s="2" t="n">
        <v>40831.4833333333</v>
      </c>
      <c r="F3273" s="0" t="n">
        <v>3.33</v>
      </c>
      <c r="G3273" s="0" t="n">
        <v>15884</v>
      </c>
      <c r="H3273" s="3" t="s">
        <v>14</v>
      </c>
      <c r="I3273" s="4" t="n">
        <f aca="false">D3273*F3273</f>
        <v>3.33</v>
      </c>
      <c r="J3273" s="3" t="n">
        <f aca="false">IF(AND(LEFT(A3273,1)&lt;&gt;"C",D3273&gt;0,F3273&gt;0),1,0)</f>
        <v>1</v>
      </c>
      <c r="K3273" s="3" t="n">
        <f aca="false">IF(AND(H3273="United Kingdom",G3273&lt;&gt;"",COUNTIFS($G$2:G3273,G3273,$H$2:H3273,"United Kingdom")=1),1,0)</f>
        <v>0</v>
      </c>
    </row>
    <row r="3274" customFormat="false" ht="15" hidden="false" customHeight="false" outlineLevel="0" collapsed="false">
      <c r="A3274" s="0" t="s">
        <v>689</v>
      </c>
      <c r="B3274" s="0" t="s">
        <v>63</v>
      </c>
      <c r="C3274" s="0" t="s">
        <v>64</v>
      </c>
      <c r="D3274" s="0" t="n">
        <v>6</v>
      </c>
      <c r="E3274" s="2" t="n">
        <v>40831.5652777778</v>
      </c>
      <c r="F3274" s="0" t="n">
        <v>2.43</v>
      </c>
      <c r="G3274" s="0" t="n">
        <v>17953</v>
      </c>
      <c r="H3274" s="3" t="s">
        <v>14</v>
      </c>
      <c r="I3274" s="4" t="n">
        <f aca="false">D3274*F3274</f>
        <v>14.58</v>
      </c>
      <c r="J3274" s="3" t="n">
        <f aca="false">IF(AND(LEFT(A3274,1)&lt;&gt;"C",D3274&gt;0,F3274&gt;0),1,0)</f>
        <v>1</v>
      </c>
      <c r="K3274" s="3" t="n">
        <f aca="false">IF(AND(H3274="United Kingdom",G3274&lt;&gt;"",COUNTIFS($G$2:G3274,G3274,$H$2:H3274,"United Kingdom")=1),1,0)</f>
        <v>0</v>
      </c>
    </row>
    <row r="3275" customFormat="false" ht="15" hidden="false" customHeight="false" outlineLevel="0" collapsed="false">
      <c r="A3275" s="0" t="s">
        <v>689</v>
      </c>
      <c r="B3275" s="0" t="s">
        <v>17</v>
      </c>
      <c r="C3275" s="0" t="s">
        <v>18</v>
      </c>
      <c r="D3275" s="0" t="n">
        <v>1</v>
      </c>
      <c r="E3275" s="2" t="n">
        <v>40831.5652777778</v>
      </c>
      <c r="F3275" s="0" t="n">
        <v>1.92</v>
      </c>
      <c r="G3275" s="0" t="n">
        <v>17953</v>
      </c>
      <c r="H3275" s="3" t="s">
        <v>14</v>
      </c>
      <c r="I3275" s="4" t="n">
        <f aca="false">D3275*F3275</f>
        <v>1.92</v>
      </c>
      <c r="J3275" s="3" t="n">
        <f aca="false">IF(AND(LEFT(A3275,1)&lt;&gt;"C",D3275&gt;0,F3275&gt;0),1,0)</f>
        <v>1</v>
      </c>
      <c r="K3275" s="3" t="n">
        <f aca="false">IF(AND(H3275="United Kingdom",G3275&lt;&gt;"",COUNTIFS($G$2:G3275,G3275,$H$2:H3275,"United Kingdom")=1),1,0)</f>
        <v>0</v>
      </c>
    </row>
    <row r="3276" customFormat="false" ht="15" hidden="false" customHeight="false" outlineLevel="0" collapsed="false">
      <c r="A3276" s="0" t="s">
        <v>689</v>
      </c>
      <c r="B3276" s="0" t="s">
        <v>41</v>
      </c>
      <c r="C3276" s="0" t="s">
        <v>42</v>
      </c>
      <c r="D3276" s="0" t="n">
        <v>8</v>
      </c>
      <c r="E3276" s="2" t="n">
        <v>40831.5652777778</v>
      </c>
      <c r="F3276" s="0" t="n">
        <v>3.28</v>
      </c>
      <c r="G3276" s="0" t="n">
        <v>17953</v>
      </c>
      <c r="H3276" s="3" t="s">
        <v>14</v>
      </c>
      <c r="I3276" s="4" t="n">
        <f aca="false">D3276*F3276</f>
        <v>26.24</v>
      </c>
      <c r="J3276" s="3" t="n">
        <f aca="false">IF(AND(LEFT(A3276,1)&lt;&gt;"C",D3276&gt;0,F3276&gt;0),1,0)</f>
        <v>1</v>
      </c>
      <c r="K3276" s="3" t="n">
        <f aca="false">IF(AND(H3276="United Kingdom",G3276&lt;&gt;"",COUNTIFS($G$2:G3276,G3276,$H$2:H3276,"United Kingdom")=1),1,0)</f>
        <v>0</v>
      </c>
    </row>
    <row r="3277" customFormat="false" ht="15" hidden="false" customHeight="false" outlineLevel="0" collapsed="false">
      <c r="A3277" s="0" t="s">
        <v>690</v>
      </c>
      <c r="B3277" s="0" t="s">
        <v>27</v>
      </c>
      <c r="C3277" s="0" t="s">
        <v>28</v>
      </c>
      <c r="D3277" s="0" t="n">
        <v>8</v>
      </c>
      <c r="E3277" s="2" t="n">
        <v>40831.5701388889</v>
      </c>
      <c r="F3277" s="0" t="n">
        <v>4.55</v>
      </c>
      <c r="G3277" s="0" t="n">
        <v>14742</v>
      </c>
      <c r="H3277" s="3" t="s">
        <v>14</v>
      </c>
      <c r="I3277" s="4" t="n">
        <f aca="false">D3277*F3277</f>
        <v>36.4</v>
      </c>
      <c r="J3277" s="3" t="n">
        <f aca="false">IF(AND(LEFT(A3277,1)&lt;&gt;"C",D3277&gt;0,F3277&gt;0),1,0)</f>
        <v>1</v>
      </c>
      <c r="K3277" s="3" t="n">
        <f aca="false">IF(AND(H3277="United Kingdom",G3277&lt;&gt;"",COUNTIFS($G$2:G3277,G3277,$H$2:H3277,"United Kingdom")=1),1,0)</f>
        <v>0</v>
      </c>
    </row>
    <row r="3278" customFormat="false" ht="15" hidden="false" customHeight="false" outlineLevel="0" collapsed="false">
      <c r="A3278" s="0" t="s">
        <v>690</v>
      </c>
      <c r="B3278" s="0" t="s">
        <v>72</v>
      </c>
      <c r="C3278" s="0" t="s">
        <v>73</v>
      </c>
      <c r="D3278" s="0" t="n">
        <v>24</v>
      </c>
      <c r="E3278" s="2" t="n">
        <v>40831.5701388889</v>
      </c>
      <c r="F3278" s="0" t="n">
        <v>2.69</v>
      </c>
      <c r="G3278" s="0" t="n">
        <v>14742</v>
      </c>
      <c r="H3278" s="3" t="s">
        <v>14</v>
      </c>
      <c r="I3278" s="4" t="n">
        <f aca="false">D3278*F3278</f>
        <v>64.56</v>
      </c>
      <c r="J3278" s="3" t="n">
        <f aca="false">IF(AND(LEFT(A3278,1)&lt;&gt;"C",D3278&gt;0,F3278&gt;0),1,0)</f>
        <v>1</v>
      </c>
      <c r="K3278" s="3" t="n">
        <f aca="false">IF(AND(H3278="United Kingdom",G3278&lt;&gt;"",COUNTIFS($G$2:G3278,G3278,$H$2:H3278,"United Kingdom")=1),1,0)</f>
        <v>0</v>
      </c>
    </row>
    <row r="3279" customFormat="false" ht="15" hidden="false" customHeight="false" outlineLevel="0" collapsed="false">
      <c r="A3279" s="0" t="s">
        <v>690</v>
      </c>
      <c r="B3279" s="0" t="s">
        <v>52</v>
      </c>
      <c r="C3279" s="0" t="s">
        <v>53</v>
      </c>
      <c r="D3279" s="0" t="n">
        <v>2</v>
      </c>
      <c r="E3279" s="2" t="n">
        <v>40831.5701388889</v>
      </c>
      <c r="F3279" s="0" t="n">
        <v>4.16</v>
      </c>
      <c r="G3279" s="0" t="n">
        <v>14742</v>
      </c>
      <c r="H3279" s="3" t="s">
        <v>14</v>
      </c>
      <c r="I3279" s="4" t="n">
        <f aca="false">D3279*F3279</f>
        <v>8.32</v>
      </c>
      <c r="J3279" s="3" t="n">
        <f aca="false">IF(AND(LEFT(A3279,1)&lt;&gt;"C",D3279&gt;0,F3279&gt;0),1,0)</f>
        <v>1</v>
      </c>
      <c r="K3279" s="3" t="n">
        <f aca="false">IF(AND(H3279="United Kingdom",G3279&lt;&gt;"",COUNTIFS($G$2:G3279,G3279,$H$2:H3279,"United Kingdom")=1),1,0)</f>
        <v>0</v>
      </c>
    </row>
    <row r="3280" customFormat="false" ht="15" hidden="false" customHeight="false" outlineLevel="0" collapsed="false">
      <c r="A3280" s="0" t="s">
        <v>690</v>
      </c>
      <c r="B3280" s="0" t="s">
        <v>37</v>
      </c>
      <c r="C3280" s="0" t="s">
        <v>38</v>
      </c>
      <c r="D3280" s="0" t="n">
        <v>2</v>
      </c>
      <c r="E3280" s="2" t="n">
        <v>40831.5701388889</v>
      </c>
      <c r="F3280" s="0" t="n">
        <v>1.82</v>
      </c>
      <c r="G3280" s="0" t="n">
        <v>14742</v>
      </c>
      <c r="H3280" s="3" t="s">
        <v>14</v>
      </c>
      <c r="I3280" s="4" t="n">
        <f aca="false">D3280*F3280</f>
        <v>3.64</v>
      </c>
      <c r="J3280" s="3" t="n">
        <f aca="false">IF(AND(LEFT(A3280,1)&lt;&gt;"C",D3280&gt;0,F3280&gt;0),1,0)</f>
        <v>1</v>
      </c>
      <c r="K3280" s="3" t="n">
        <f aca="false">IF(AND(H3280="United Kingdom",G3280&lt;&gt;"",COUNTIFS($G$2:G3280,G3280,$H$2:H3280,"United Kingdom")=1),1,0)</f>
        <v>0</v>
      </c>
    </row>
    <row r="3281" customFormat="false" ht="15" hidden="false" customHeight="false" outlineLevel="0" collapsed="false">
      <c r="A3281" s="0" t="s">
        <v>690</v>
      </c>
      <c r="B3281" s="0" t="s">
        <v>41</v>
      </c>
      <c r="C3281" s="0" t="s">
        <v>42</v>
      </c>
      <c r="D3281" s="0" t="n">
        <v>4</v>
      </c>
      <c r="E3281" s="2" t="n">
        <v>40831.5701388889</v>
      </c>
      <c r="F3281" s="0" t="n">
        <v>3.28</v>
      </c>
      <c r="G3281" s="0" t="n">
        <v>14742</v>
      </c>
      <c r="H3281" s="3" t="s">
        <v>14</v>
      </c>
      <c r="I3281" s="4" t="n">
        <f aca="false">D3281*F3281</f>
        <v>13.12</v>
      </c>
      <c r="J3281" s="3" t="n">
        <f aca="false">IF(AND(LEFT(A3281,1)&lt;&gt;"C",D3281&gt;0,F3281&gt;0),1,0)</f>
        <v>1</v>
      </c>
      <c r="K3281" s="3" t="n">
        <f aca="false">IF(AND(H3281="United Kingdom",G3281&lt;&gt;"",COUNTIFS($G$2:G3281,G3281,$H$2:H3281,"United Kingdom")=1),1,0)</f>
        <v>0</v>
      </c>
    </row>
    <row r="3282" customFormat="false" ht="15" hidden="false" customHeight="false" outlineLevel="0" collapsed="false">
      <c r="A3282" s="0" t="s">
        <v>690</v>
      </c>
      <c r="B3282" s="0" t="s">
        <v>113</v>
      </c>
      <c r="C3282" s="0" t="s">
        <v>114</v>
      </c>
      <c r="D3282" s="0" t="n">
        <v>12</v>
      </c>
      <c r="E3282" s="2" t="n">
        <v>40831.5701388889</v>
      </c>
      <c r="F3282" s="0" t="n">
        <v>3.57</v>
      </c>
      <c r="G3282" s="0" t="n">
        <v>14742</v>
      </c>
      <c r="H3282" s="3" t="s">
        <v>14</v>
      </c>
      <c r="I3282" s="4" t="n">
        <f aca="false">D3282*F3282</f>
        <v>42.84</v>
      </c>
      <c r="J3282" s="3" t="n">
        <f aca="false">IF(AND(LEFT(A3282,1)&lt;&gt;"C",D3282&gt;0,F3282&gt;0),1,0)</f>
        <v>1</v>
      </c>
      <c r="K3282" s="3" t="n">
        <f aca="false">IF(AND(H3282="United Kingdom",G3282&lt;&gt;"",COUNTIFS($G$2:G3282,G3282,$H$2:H3282,"United Kingdom")=1),1,0)</f>
        <v>0</v>
      </c>
    </row>
    <row r="3283" customFormat="false" ht="15" hidden="false" customHeight="false" outlineLevel="0" collapsed="false">
      <c r="A3283" s="0" t="s">
        <v>690</v>
      </c>
      <c r="B3283" s="0" t="s">
        <v>65</v>
      </c>
      <c r="C3283" s="0" t="s">
        <v>66</v>
      </c>
      <c r="D3283" s="0" t="n">
        <v>6</v>
      </c>
      <c r="E3283" s="2" t="n">
        <v>40831.5701388889</v>
      </c>
      <c r="F3283" s="0" t="n">
        <v>4.75</v>
      </c>
      <c r="G3283" s="0" t="n">
        <v>14742</v>
      </c>
      <c r="H3283" s="3" t="s">
        <v>14</v>
      </c>
      <c r="I3283" s="4" t="n">
        <f aca="false">D3283*F3283</f>
        <v>28.5</v>
      </c>
      <c r="J3283" s="3" t="n">
        <f aca="false">IF(AND(LEFT(A3283,1)&lt;&gt;"C",D3283&gt;0,F3283&gt;0),1,0)</f>
        <v>1</v>
      </c>
      <c r="K3283" s="3" t="n">
        <f aca="false">IF(AND(H3283="United Kingdom",G3283&lt;&gt;"",COUNTIFS($G$2:G3283,G3283,$H$2:H3283,"United Kingdom")=1),1,0)</f>
        <v>0</v>
      </c>
    </row>
    <row r="3284" customFormat="false" ht="15" hidden="false" customHeight="false" outlineLevel="0" collapsed="false">
      <c r="A3284" s="0" t="s">
        <v>690</v>
      </c>
      <c r="B3284" s="0" t="s">
        <v>48</v>
      </c>
      <c r="C3284" s="0" t="s">
        <v>49</v>
      </c>
      <c r="D3284" s="0" t="n">
        <v>3</v>
      </c>
      <c r="E3284" s="2" t="n">
        <v>40831.5701388889</v>
      </c>
      <c r="F3284" s="0" t="n">
        <v>1.35</v>
      </c>
      <c r="G3284" s="0" t="n">
        <v>14742</v>
      </c>
      <c r="H3284" s="3" t="s">
        <v>14</v>
      </c>
      <c r="I3284" s="4" t="n">
        <f aca="false">D3284*F3284</f>
        <v>4.05</v>
      </c>
      <c r="J3284" s="3" t="n">
        <f aca="false">IF(AND(LEFT(A3284,1)&lt;&gt;"C",D3284&gt;0,F3284&gt;0),1,0)</f>
        <v>1</v>
      </c>
      <c r="K3284" s="3" t="n">
        <f aca="false">IF(AND(H3284="United Kingdom",G3284&lt;&gt;"",COUNTIFS($G$2:G3284,G3284,$H$2:H3284,"United Kingdom")=1),1,0)</f>
        <v>0</v>
      </c>
    </row>
    <row r="3285" customFormat="false" ht="15" hidden="false" customHeight="false" outlineLevel="0" collapsed="false">
      <c r="A3285" s="0" t="s">
        <v>690</v>
      </c>
      <c r="B3285" s="0" t="s">
        <v>63</v>
      </c>
      <c r="C3285" s="0" t="s">
        <v>64</v>
      </c>
      <c r="D3285" s="0" t="n">
        <v>4</v>
      </c>
      <c r="E3285" s="2" t="n">
        <v>40831.5701388889</v>
      </c>
      <c r="F3285" s="0" t="n">
        <v>2.43</v>
      </c>
      <c r="G3285" s="0" t="n">
        <v>14742</v>
      </c>
      <c r="H3285" s="3" t="s">
        <v>14</v>
      </c>
      <c r="I3285" s="4" t="n">
        <f aca="false">D3285*F3285</f>
        <v>9.72</v>
      </c>
      <c r="J3285" s="3" t="n">
        <f aca="false">IF(AND(LEFT(A3285,1)&lt;&gt;"C",D3285&gt;0,F3285&gt;0),1,0)</f>
        <v>1</v>
      </c>
      <c r="K3285" s="3" t="n">
        <f aca="false">IF(AND(H3285="United Kingdom",G3285&lt;&gt;"",COUNTIFS($G$2:G3285,G3285,$H$2:H3285,"United Kingdom")=1),1,0)</f>
        <v>0</v>
      </c>
    </row>
    <row r="3286" customFormat="false" ht="15" hidden="false" customHeight="false" outlineLevel="0" collapsed="false">
      <c r="A3286" s="0" t="s">
        <v>691</v>
      </c>
      <c r="B3286" s="0" t="s">
        <v>12</v>
      </c>
      <c r="C3286" s="0" t="s">
        <v>13</v>
      </c>
      <c r="D3286" s="0" t="n">
        <v>12</v>
      </c>
      <c r="E3286" s="2" t="n">
        <v>40831.6256944445</v>
      </c>
      <c r="F3286" s="0" t="n">
        <v>3.33</v>
      </c>
      <c r="G3286" s="0" t="n">
        <v>13911</v>
      </c>
      <c r="H3286" s="3" t="s">
        <v>14</v>
      </c>
      <c r="I3286" s="4" t="n">
        <f aca="false">D3286*F3286</f>
        <v>39.96</v>
      </c>
      <c r="J3286" s="3" t="n">
        <f aca="false">IF(AND(LEFT(A3286,1)&lt;&gt;"C",D3286&gt;0,F3286&gt;0),1,0)</f>
        <v>1</v>
      </c>
      <c r="K3286" s="3" t="n">
        <f aca="false">IF(AND(H3286="United Kingdom",G3286&lt;&gt;"",COUNTIFS($G$2:G3286,G3286,$H$2:H3286,"United Kingdom")=1),1,0)</f>
        <v>0</v>
      </c>
    </row>
    <row r="3287" customFormat="false" ht="15" hidden="false" customHeight="false" outlineLevel="0" collapsed="false">
      <c r="A3287" s="0" t="s">
        <v>691</v>
      </c>
      <c r="B3287" s="0" t="s">
        <v>113</v>
      </c>
      <c r="C3287" s="0" t="s">
        <v>114</v>
      </c>
      <c r="D3287" s="0" t="n">
        <v>4</v>
      </c>
      <c r="E3287" s="2" t="n">
        <v>40831.6256944445</v>
      </c>
      <c r="F3287" s="0" t="n">
        <v>3.57</v>
      </c>
      <c r="G3287" s="0" t="n">
        <v>13911</v>
      </c>
      <c r="H3287" s="3" t="s">
        <v>14</v>
      </c>
      <c r="I3287" s="4" t="n">
        <f aca="false">D3287*F3287</f>
        <v>14.28</v>
      </c>
      <c r="J3287" s="3" t="n">
        <f aca="false">IF(AND(LEFT(A3287,1)&lt;&gt;"C",D3287&gt;0,F3287&gt;0),1,0)</f>
        <v>1</v>
      </c>
      <c r="K3287" s="3" t="n">
        <f aca="false">IF(AND(H3287="United Kingdom",G3287&lt;&gt;"",COUNTIFS($G$2:G3287,G3287,$H$2:H3287,"United Kingdom")=1),1,0)</f>
        <v>0</v>
      </c>
    </row>
    <row r="3288" customFormat="false" ht="15" hidden="false" customHeight="false" outlineLevel="0" collapsed="false">
      <c r="A3288" s="0" t="s">
        <v>691</v>
      </c>
      <c r="B3288" s="0" t="s">
        <v>17</v>
      </c>
      <c r="C3288" s="0" t="s">
        <v>18</v>
      </c>
      <c r="D3288" s="0" t="n">
        <v>3</v>
      </c>
      <c r="E3288" s="2" t="n">
        <v>40831.6256944445</v>
      </c>
      <c r="F3288" s="0" t="n">
        <v>1.92</v>
      </c>
      <c r="G3288" s="0" t="n">
        <v>13911</v>
      </c>
      <c r="H3288" s="3" t="s">
        <v>14</v>
      </c>
      <c r="I3288" s="4" t="n">
        <f aca="false">D3288*F3288</f>
        <v>5.76</v>
      </c>
      <c r="J3288" s="3" t="n">
        <f aca="false">IF(AND(LEFT(A3288,1)&lt;&gt;"C",D3288&gt;0,F3288&gt;0),1,0)</f>
        <v>1</v>
      </c>
      <c r="K3288" s="3" t="n">
        <f aca="false">IF(AND(H3288="United Kingdom",G3288&lt;&gt;"",COUNTIFS($G$2:G3288,G3288,$H$2:H3288,"United Kingdom")=1),1,0)</f>
        <v>0</v>
      </c>
    </row>
    <row r="3289" customFormat="false" ht="15" hidden="false" customHeight="false" outlineLevel="0" collapsed="false">
      <c r="A3289" s="0" t="s">
        <v>691</v>
      </c>
      <c r="B3289" s="0" t="s">
        <v>75</v>
      </c>
      <c r="C3289" s="0" t="s">
        <v>76</v>
      </c>
      <c r="D3289" s="0" t="n">
        <v>8</v>
      </c>
      <c r="E3289" s="2" t="n">
        <v>40831.6256944445</v>
      </c>
      <c r="F3289" s="0" t="n">
        <v>1.97</v>
      </c>
      <c r="G3289" s="0" t="n">
        <v>13911</v>
      </c>
      <c r="H3289" s="3" t="s">
        <v>14</v>
      </c>
      <c r="I3289" s="4" t="n">
        <f aca="false">D3289*F3289</f>
        <v>15.76</v>
      </c>
      <c r="J3289" s="3" t="n">
        <f aca="false">IF(AND(LEFT(A3289,1)&lt;&gt;"C",D3289&gt;0,F3289&gt;0),1,0)</f>
        <v>1</v>
      </c>
      <c r="K3289" s="3" t="n">
        <f aca="false">IF(AND(H3289="United Kingdom",G3289&lt;&gt;"",COUNTIFS($G$2:G3289,G3289,$H$2:H3289,"United Kingdom")=1),1,0)</f>
        <v>0</v>
      </c>
    </row>
    <row r="3290" customFormat="false" ht="15" hidden="false" customHeight="false" outlineLevel="0" collapsed="false">
      <c r="A3290" s="0" t="s">
        <v>691</v>
      </c>
      <c r="B3290" s="0" t="s">
        <v>50</v>
      </c>
      <c r="C3290" s="0" t="s">
        <v>51</v>
      </c>
      <c r="D3290" s="0" t="n">
        <v>1</v>
      </c>
      <c r="E3290" s="2" t="n">
        <v>40831.6256944445</v>
      </c>
      <c r="F3290" s="0" t="n">
        <v>5.41</v>
      </c>
      <c r="G3290" s="0" t="n">
        <v>13911</v>
      </c>
      <c r="H3290" s="3" t="s">
        <v>14</v>
      </c>
      <c r="I3290" s="4" t="n">
        <f aca="false">D3290*F3290</f>
        <v>5.41</v>
      </c>
      <c r="J3290" s="3" t="n">
        <f aca="false">IF(AND(LEFT(A3290,1)&lt;&gt;"C",D3290&gt;0,F3290&gt;0),1,0)</f>
        <v>1</v>
      </c>
      <c r="K3290" s="3" t="n">
        <f aca="false">IF(AND(H3290="United Kingdom",G3290&lt;&gt;"",COUNTIFS($G$2:G3290,G3290,$H$2:H3290,"United Kingdom")=1),1,0)</f>
        <v>0</v>
      </c>
    </row>
    <row r="3291" customFormat="false" ht="15" hidden="false" customHeight="false" outlineLevel="0" collapsed="false">
      <c r="A3291" s="0" t="s">
        <v>691</v>
      </c>
      <c r="B3291" s="0" t="s">
        <v>54</v>
      </c>
      <c r="C3291" s="0" t="s">
        <v>55</v>
      </c>
      <c r="D3291" s="0" t="n">
        <v>12</v>
      </c>
      <c r="E3291" s="2" t="n">
        <v>40831.6256944445</v>
      </c>
      <c r="F3291" s="0" t="n">
        <v>0.99</v>
      </c>
      <c r="G3291" s="0" t="n">
        <v>13911</v>
      </c>
      <c r="H3291" s="3" t="s">
        <v>14</v>
      </c>
      <c r="I3291" s="4" t="n">
        <f aca="false">D3291*F3291</f>
        <v>11.88</v>
      </c>
      <c r="J3291" s="3" t="n">
        <f aca="false">IF(AND(LEFT(A3291,1)&lt;&gt;"C",D3291&gt;0,F3291&gt;0),1,0)</f>
        <v>1</v>
      </c>
      <c r="K3291" s="3" t="n">
        <f aca="false">IF(AND(H3291="United Kingdom",G3291&lt;&gt;"",COUNTIFS($G$2:G3291,G3291,$H$2:H3291,"United Kingdom")=1),1,0)</f>
        <v>0</v>
      </c>
    </row>
    <row r="3292" customFormat="false" ht="15" hidden="false" customHeight="false" outlineLevel="0" collapsed="false">
      <c r="A3292" s="0" t="s">
        <v>691</v>
      </c>
      <c r="B3292" s="0" t="s">
        <v>15</v>
      </c>
      <c r="C3292" s="0" t="s">
        <v>16</v>
      </c>
      <c r="D3292" s="0" t="n">
        <v>6</v>
      </c>
      <c r="E3292" s="2" t="n">
        <v>40831.6256944445</v>
      </c>
      <c r="F3292" s="0" t="n">
        <v>3.18</v>
      </c>
      <c r="G3292" s="0" t="n">
        <v>13911</v>
      </c>
      <c r="H3292" s="3" t="s">
        <v>14</v>
      </c>
      <c r="I3292" s="4" t="n">
        <f aca="false">D3292*F3292</f>
        <v>19.08</v>
      </c>
      <c r="J3292" s="3" t="n">
        <f aca="false">IF(AND(LEFT(A3292,1)&lt;&gt;"C",D3292&gt;0,F3292&gt;0),1,0)</f>
        <v>1</v>
      </c>
      <c r="K3292" s="3" t="n">
        <f aca="false">IF(AND(H3292="United Kingdom",G3292&lt;&gt;"",COUNTIFS($G$2:G3292,G3292,$H$2:H3292,"United Kingdom")=1),1,0)</f>
        <v>0</v>
      </c>
    </row>
    <row r="3293" customFormat="false" ht="15" hidden="false" customHeight="false" outlineLevel="0" collapsed="false">
      <c r="A3293" s="0" t="s">
        <v>691</v>
      </c>
      <c r="B3293" s="0" t="s">
        <v>32</v>
      </c>
      <c r="C3293" s="0" t="s">
        <v>33</v>
      </c>
      <c r="D3293" s="0" t="n">
        <v>8</v>
      </c>
      <c r="E3293" s="2" t="n">
        <v>40831.6256944445</v>
      </c>
      <c r="F3293" s="0" t="n">
        <v>1.19</v>
      </c>
      <c r="G3293" s="0" t="n">
        <v>13911</v>
      </c>
      <c r="H3293" s="3" t="s">
        <v>14</v>
      </c>
      <c r="I3293" s="4" t="n">
        <f aca="false">D3293*F3293</f>
        <v>9.52</v>
      </c>
      <c r="J3293" s="3" t="n">
        <f aca="false">IF(AND(LEFT(A3293,1)&lt;&gt;"C",D3293&gt;0,F3293&gt;0),1,0)</f>
        <v>1</v>
      </c>
      <c r="K3293" s="3" t="n">
        <f aca="false">IF(AND(H3293="United Kingdom",G3293&lt;&gt;"",COUNTIFS($G$2:G3293,G3293,$H$2:H3293,"United Kingdom")=1),1,0)</f>
        <v>0</v>
      </c>
    </row>
    <row r="3294" customFormat="false" ht="15" hidden="false" customHeight="false" outlineLevel="0" collapsed="false">
      <c r="A3294" s="0" t="s">
        <v>691</v>
      </c>
      <c r="B3294" s="0" t="s">
        <v>48</v>
      </c>
      <c r="C3294" s="0" t="s">
        <v>49</v>
      </c>
      <c r="D3294" s="0" t="n">
        <v>12</v>
      </c>
      <c r="E3294" s="2" t="n">
        <v>40831.6256944445</v>
      </c>
      <c r="F3294" s="0" t="n">
        <v>1.35</v>
      </c>
      <c r="G3294" s="0" t="n">
        <v>13911</v>
      </c>
      <c r="H3294" s="3" t="s">
        <v>14</v>
      </c>
      <c r="I3294" s="4" t="n">
        <f aca="false">D3294*F3294</f>
        <v>16.2</v>
      </c>
      <c r="J3294" s="3" t="n">
        <f aca="false">IF(AND(LEFT(A3294,1)&lt;&gt;"C",D3294&gt;0,F3294&gt;0),1,0)</f>
        <v>1</v>
      </c>
      <c r="K3294" s="3" t="n">
        <f aca="false">IF(AND(H3294="United Kingdom",G3294&lt;&gt;"",COUNTIFS($G$2:G3294,G3294,$H$2:H3294,"United Kingdom")=1),1,0)</f>
        <v>0</v>
      </c>
    </row>
    <row r="3295" customFormat="false" ht="15" hidden="false" customHeight="false" outlineLevel="0" collapsed="false">
      <c r="A3295" s="0" t="s">
        <v>691</v>
      </c>
      <c r="B3295" s="0" t="s">
        <v>43</v>
      </c>
      <c r="C3295" s="0" t="s">
        <v>44</v>
      </c>
      <c r="D3295" s="0" t="n">
        <v>8</v>
      </c>
      <c r="E3295" s="2" t="n">
        <v>40831.6256944445</v>
      </c>
      <c r="F3295" s="0" t="n">
        <v>1.35</v>
      </c>
      <c r="G3295" s="0" t="n">
        <v>13911</v>
      </c>
      <c r="H3295" s="3" t="s">
        <v>14</v>
      </c>
      <c r="I3295" s="4" t="n">
        <f aca="false">D3295*F3295</f>
        <v>10.8</v>
      </c>
      <c r="J3295" s="3" t="n">
        <f aca="false">IF(AND(LEFT(A3295,1)&lt;&gt;"C",D3295&gt;0,F3295&gt;0),1,0)</f>
        <v>1</v>
      </c>
      <c r="K3295" s="3" t="n">
        <f aca="false">IF(AND(H3295="United Kingdom",G3295&lt;&gt;"",COUNTIFS($G$2:G3295,G3295,$H$2:H3295,"United Kingdom")=1),1,0)</f>
        <v>0</v>
      </c>
    </row>
    <row r="3296" customFormat="false" ht="15" hidden="false" customHeight="false" outlineLevel="0" collapsed="false">
      <c r="A3296" s="0" t="s">
        <v>692</v>
      </c>
      <c r="B3296" s="0" t="s">
        <v>75</v>
      </c>
      <c r="C3296" s="0" t="s">
        <v>76</v>
      </c>
      <c r="D3296" s="0" t="n">
        <v>6</v>
      </c>
      <c r="E3296" s="2" t="n">
        <v>40831.6729166667</v>
      </c>
      <c r="F3296" s="0" t="n">
        <v>1.97</v>
      </c>
      <c r="G3296" s="0" t="n">
        <v>14910</v>
      </c>
      <c r="H3296" s="3" t="s">
        <v>14</v>
      </c>
      <c r="I3296" s="4" t="n">
        <f aca="false">D3296*F3296</f>
        <v>11.82</v>
      </c>
      <c r="J3296" s="3" t="n">
        <f aca="false">IF(AND(LEFT(A3296,1)&lt;&gt;"C",D3296&gt;0,F3296&gt;0),1,0)</f>
        <v>1</v>
      </c>
      <c r="K3296" s="3" t="n">
        <f aca="false">IF(AND(H3296="United Kingdom",G3296&lt;&gt;"",COUNTIFS($G$2:G3296,G3296,$H$2:H3296,"United Kingdom")=1),1,0)</f>
        <v>0</v>
      </c>
    </row>
    <row r="3297" customFormat="false" ht="15" hidden="false" customHeight="false" outlineLevel="0" collapsed="false">
      <c r="A3297" s="0" t="s">
        <v>692</v>
      </c>
      <c r="B3297" s="0" t="s">
        <v>52</v>
      </c>
      <c r="C3297" s="0" t="s">
        <v>53</v>
      </c>
      <c r="D3297" s="0" t="n">
        <v>1</v>
      </c>
      <c r="E3297" s="2" t="n">
        <v>40831.6729166667</v>
      </c>
      <c r="F3297" s="0" t="n">
        <v>4.16</v>
      </c>
      <c r="G3297" s="0" t="n">
        <v>14910</v>
      </c>
      <c r="H3297" s="3" t="s">
        <v>14</v>
      </c>
      <c r="I3297" s="4" t="n">
        <f aca="false">D3297*F3297</f>
        <v>4.16</v>
      </c>
      <c r="J3297" s="3" t="n">
        <f aca="false">IF(AND(LEFT(A3297,1)&lt;&gt;"C",D3297&gt;0,F3297&gt;0),1,0)</f>
        <v>1</v>
      </c>
      <c r="K3297" s="3" t="n">
        <f aca="false">IF(AND(H3297="United Kingdom",G3297&lt;&gt;"",COUNTIFS($G$2:G3297,G3297,$H$2:H3297,"United Kingdom")=1),1,0)</f>
        <v>0</v>
      </c>
    </row>
    <row r="3298" customFormat="false" ht="15" hidden="false" customHeight="false" outlineLevel="0" collapsed="false">
      <c r="A3298" s="0" t="s">
        <v>692</v>
      </c>
      <c r="B3298" s="0" t="s">
        <v>72</v>
      </c>
      <c r="C3298" s="0" t="s">
        <v>73</v>
      </c>
      <c r="D3298" s="0" t="n">
        <v>8</v>
      </c>
      <c r="E3298" s="2" t="n">
        <v>40831.6729166667</v>
      </c>
      <c r="F3298" s="0" t="n">
        <v>2.69</v>
      </c>
      <c r="G3298" s="0" t="n">
        <v>14910</v>
      </c>
      <c r="H3298" s="3" t="s">
        <v>14</v>
      </c>
      <c r="I3298" s="4" t="n">
        <f aca="false">D3298*F3298</f>
        <v>21.52</v>
      </c>
      <c r="J3298" s="3" t="n">
        <f aca="false">IF(AND(LEFT(A3298,1)&lt;&gt;"C",D3298&gt;0,F3298&gt;0),1,0)</f>
        <v>1</v>
      </c>
      <c r="K3298" s="3" t="n">
        <f aca="false">IF(AND(H3298="United Kingdom",G3298&lt;&gt;"",COUNTIFS($G$2:G3298,G3298,$H$2:H3298,"United Kingdom")=1),1,0)</f>
        <v>0</v>
      </c>
    </row>
    <row r="3299" customFormat="false" ht="15" hidden="false" customHeight="false" outlineLevel="0" collapsed="false">
      <c r="A3299" s="0" t="s">
        <v>692</v>
      </c>
      <c r="B3299" s="0" t="s">
        <v>43</v>
      </c>
      <c r="C3299" s="0" t="s">
        <v>44</v>
      </c>
      <c r="D3299" s="0" t="n">
        <v>2</v>
      </c>
      <c r="E3299" s="2" t="n">
        <v>40831.6729166667</v>
      </c>
      <c r="F3299" s="0" t="n">
        <v>1.35</v>
      </c>
      <c r="G3299" s="0" t="n">
        <v>14910</v>
      </c>
      <c r="H3299" s="3" t="s">
        <v>14</v>
      </c>
      <c r="I3299" s="4" t="n">
        <f aca="false">D3299*F3299</f>
        <v>2.7</v>
      </c>
      <c r="J3299" s="3" t="n">
        <f aca="false">IF(AND(LEFT(A3299,1)&lt;&gt;"C",D3299&gt;0,F3299&gt;0),1,0)</f>
        <v>1</v>
      </c>
      <c r="K3299" s="3" t="n">
        <f aca="false">IF(AND(H3299="United Kingdom",G3299&lt;&gt;"",COUNTIFS($G$2:G3299,G3299,$H$2:H3299,"United Kingdom")=1),1,0)</f>
        <v>0</v>
      </c>
    </row>
    <row r="3300" customFormat="false" ht="15" hidden="false" customHeight="false" outlineLevel="0" collapsed="false">
      <c r="A3300" s="0" t="s">
        <v>692</v>
      </c>
      <c r="B3300" s="0" t="s">
        <v>12</v>
      </c>
      <c r="C3300" s="0" t="s">
        <v>13</v>
      </c>
      <c r="D3300" s="0" t="n">
        <v>1</v>
      </c>
      <c r="E3300" s="2" t="n">
        <v>40831.6729166667</v>
      </c>
      <c r="F3300" s="0" t="n">
        <v>3.33</v>
      </c>
      <c r="G3300" s="0" t="n">
        <v>14910</v>
      </c>
      <c r="H3300" s="3" t="s">
        <v>14</v>
      </c>
      <c r="I3300" s="4" t="n">
        <f aca="false">D3300*F3300</f>
        <v>3.33</v>
      </c>
      <c r="J3300" s="3" t="n">
        <f aca="false">IF(AND(LEFT(A3300,1)&lt;&gt;"C",D3300&gt;0,F3300&gt;0),1,0)</f>
        <v>1</v>
      </c>
      <c r="K3300" s="3" t="n">
        <f aca="false">IF(AND(H3300="United Kingdom",G3300&lt;&gt;"",COUNTIFS($G$2:G3300,G3300,$H$2:H3300,"United Kingdom")=1),1,0)</f>
        <v>0</v>
      </c>
    </row>
    <row r="3301" customFormat="false" ht="15" hidden="false" customHeight="false" outlineLevel="0" collapsed="false">
      <c r="A3301" s="0" t="s">
        <v>692</v>
      </c>
      <c r="B3301" s="0" t="s">
        <v>63</v>
      </c>
      <c r="C3301" s="0" t="s">
        <v>64</v>
      </c>
      <c r="D3301" s="0" t="n">
        <v>2</v>
      </c>
      <c r="E3301" s="2" t="n">
        <v>40831.6729166667</v>
      </c>
      <c r="F3301" s="0" t="n">
        <v>2.43</v>
      </c>
      <c r="G3301" s="0" t="n">
        <v>14910</v>
      </c>
      <c r="H3301" s="3" t="s">
        <v>14</v>
      </c>
      <c r="I3301" s="4" t="n">
        <f aca="false">D3301*F3301</f>
        <v>4.86</v>
      </c>
      <c r="J3301" s="3" t="n">
        <f aca="false">IF(AND(LEFT(A3301,1)&lt;&gt;"C",D3301&gt;0,F3301&gt;0),1,0)</f>
        <v>1</v>
      </c>
      <c r="K3301" s="3" t="n">
        <f aca="false">IF(AND(H3301="United Kingdom",G3301&lt;&gt;"",COUNTIFS($G$2:G3301,G3301,$H$2:H3301,"United Kingdom")=1),1,0)</f>
        <v>0</v>
      </c>
    </row>
    <row r="3302" customFormat="false" ht="15" hidden="false" customHeight="false" outlineLevel="0" collapsed="false">
      <c r="A3302" s="0" t="s">
        <v>692</v>
      </c>
      <c r="B3302" s="0" t="s">
        <v>68</v>
      </c>
      <c r="C3302" s="0" t="s">
        <v>69</v>
      </c>
      <c r="D3302" s="0" t="n">
        <v>1</v>
      </c>
      <c r="E3302" s="2" t="n">
        <v>40831.6729166667</v>
      </c>
      <c r="F3302" s="0" t="n">
        <v>1.26</v>
      </c>
      <c r="G3302" s="0" t="n">
        <v>14910</v>
      </c>
      <c r="H3302" s="3" t="s">
        <v>14</v>
      </c>
      <c r="I3302" s="4" t="n">
        <f aca="false">D3302*F3302</f>
        <v>1.26</v>
      </c>
      <c r="J3302" s="3" t="n">
        <f aca="false">IF(AND(LEFT(A3302,1)&lt;&gt;"C",D3302&gt;0,F3302&gt;0),1,0)</f>
        <v>1</v>
      </c>
      <c r="K3302" s="3" t="n">
        <f aca="false">IF(AND(H3302="United Kingdom",G3302&lt;&gt;"",COUNTIFS($G$2:G3302,G3302,$H$2:H3302,"United Kingdom")=1),1,0)</f>
        <v>0</v>
      </c>
    </row>
    <row r="3303" customFormat="false" ht="15" hidden="false" customHeight="false" outlineLevel="0" collapsed="false">
      <c r="A3303" s="0" t="s">
        <v>693</v>
      </c>
      <c r="B3303" s="0" t="s">
        <v>58</v>
      </c>
      <c r="C3303" s="0" t="s">
        <v>59</v>
      </c>
      <c r="D3303" s="0" t="n">
        <v>3</v>
      </c>
      <c r="E3303" s="2" t="n">
        <v>40832.3465277778</v>
      </c>
      <c r="F3303" s="0" t="n">
        <v>2.16</v>
      </c>
      <c r="G3303" s="0" t="n">
        <v>17669</v>
      </c>
      <c r="H3303" s="3" t="s">
        <v>14</v>
      </c>
      <c r="I3303" s="4" t="n">
        <f aca="false">D3303*F3303</f>
        <v>6.48</v>
      </c>
      <c r="J3303" s="3" t="n">
        <f aca="false">IF(AND(LEFT(A3303,1)&lt;&gt;"C",D3303&gt;0,F3303&gt;0),1,0)</f>
        <v>1</v>
      </c>
      <c r="K3303" s="3" t="n">
        <f aca="false">IF(AND(H3303="United Kingdom",G3303&lt;&gt;"",COUNTIFS($G$2:G3303,G3303,$H$2:H3303,"United Kingdom")=1),1,0)</f>
        <v>0</v>
      </c>
    </row>
    <row r="3304" customFormat="false" ht="15" hidden="false" customHeight="false" outlineLevel="0" collapsed="false">
      <c r="A3304" s="0" t="s">
        <v>694</v>
      </c>
      <c r="B3304" s="0" t="s">
        <v>50</v>
      </c>
      <c r="C3304" s="0" t="s">
        <v>51</v>
      </c>
      <c r="D3304" s="0" t="n">
        <v>2</v>
      </c>
      <c r="E3304" s="2" t="n">
        <v>40832.3826388889</v>
      </c>
      <c r="F3304" s="0" t="n">
        <v>5.41</v>
      </c>
      <c r="G3304" s="0" t="n">
        <v>15884</v>
      </c>
      <c r="H3304" s="3" t="s">
        <v>14</v>
      </c>
      <c r="I3304" s="4" t="n">
        <f aca="false">D3304*F3304</f>
        <v>10.82</v>
      </c>
      <c r="J3304" s="3" t="n">
        <f aca="false">IF(AND(LEFT(A3304,1)&lt;&gt;"C",D3304&gt;0,F3304&gt;0),1,0)</f>
        <v>1</v>
      </c>
      <c r="K3304" s="3" t="n">
        <f aca="false">IF(AND(H3304="United Kingdom",G3304&lt;&gt;"",COUNTIFS($G$2:G3304,G3304,$H$2:H3304,"United Kingdom")=1),1,0)</f>
        <v>0</v>
      </c>
    </row>
    <row r="3305" customFormat="false" ht="15" hidden="false" customHeight="false" outlineLevel="0" collapsed="false">
      <c r="A3305" s="0" t="s">
        <v>694</v>
      </c>
      <c r="B3305" s="0" t="s">
        <v>41</v>
      </c>
      <c r="C3305" s="0" t="s">
        <v>42</v>
      </c>
      <c r="D3305" s="0" t="n">
        <v>4</v>
      </c>
      <c r="E3305" s="2" t="n">
        <v>40832.3826388889</v>
      </c>
      <c r="F3305" s="0" t="n">
        <v>3.28</v>
      </c>
      <c r="G3305" s="0" t="n">
        <v>15884</v>
      </c>
      <c r="H3305" s="3" t="s">
        <v>14</v>
      </c>
      <c r="I3305" s="4" t="n">
        <f aca="false">D3305*F3305</f>
        <v>13.12</v>
      </c>
      <c r="J3305" s="3" t="n">
        <f aca="false">IF(AND(LEFT(A3305,1)&lt;&gt;"C",D3305&gt;0,F3305&gt;0),1,0)</f>
        <v>1</v>
      </c>
      <c r="K3305" s="3" t="n">
        <f aca="false">IF(AND(H3305="United Kingdom",G3305&lt;&gt;"",COUNTIFS($G$2:G3305,G3305,$H$2:H3305,"United Kingdom")=1),1,0)</f>
        <v>0</v>
      </c>
    </row>
    <row r="3306" customFormat="false" ht="15" hidden="false" customHeight="false" outlineLevel="0" collapsed="false">
      <c r="A3306" s="0" t="s">
        <v>694</v>
      </c>
      <c r="B3306" s="0" t="s">
        <v>75</v>
      </c>
      <c r="C3306" s="0" t="s">
        <v>76</v>
      </c>
      <c r="D3306" s="0" t="n">
        <v>4</v>
      </c>
      <c r="E3306" s="2" t="n">
        <v>40832.3826388889</v>
      </c>
      <c r="F3306" s="0" t="n">
        <v>1.97</v>
      </c>
      <c r="G3306" s="0" t="n">
        <v>15884</v>
      </c>
      <c r="H3306" s="3" t="s">
        <v>14</v>
      </c>
      <c r="I3306" s="4" t="n">
        <f aca="false">D3306*F3306</f>
        <v>7.88</v>
      </c>
      <c r="J3306" s="3" t="n">
        <f aca="false">IF(AND(LEFT(A3306,1)&lt;&gt;"C",D3306&gt;0,F3306&gt;0),1,0)</f>
        <v>1</v>
      </c>
      <c r="K3306" s="3" t="n">
        <f aca="false">IF(AND(H3306="United Kingdom",G3306&lt;&gt;"",COUNTIFS($G$2:G3306,G3306,$H$2:H3306,"United Kingdom")=1),1,0)</f>
        <v>0</v>
      </c>
    </row>
    <row r="3307" customFormat="false" ht="15" hidden="false" customHeight="false" outlineLevel="0" collapsed="false">
      <c r="A3307" s="0" t="s">
        <v>694</v>
      </c>
      <c r="B3307" s="0" t="s">
        <v>37</v>
      </c>
      <c r="C3307" s="0" t="s">
        <v>38</v>
      </c>
      <c r="D3307" s="0" t="n">
        <v>2</v>
      </c>
      <c r="E3307" s="2" t="n">
        <v>40832.3826388889</v>
      </c>
      <c r="F3307" s="0" t="n">
        <v>1.82</v>
      </c>
      <c r="G3307" s="0" t="n">
        <v>15884</v>
      </c>
      <c r="H3307" s="3" t="s">
        <v>14</v>
      </c>
      <c r="I3307" s="4" t="n">
        <f aca="false">D3307*F3307</f>
        <v>3.64</v>
      </c>
      <c r="J3307" s="3" t="n">
        <f aca="false">IF(AND(LEFT(A3307,1)&lt;&gt;"C",D3307&gt;0,F3307&gt;0),1,0)</f>
        <v>1</v>
      </c>
      <c r="K3307" s="3" t="n">
        <f aca="false">IF(AND(H3307="United Kingdom",G3307&lt;&gt;"",COUNTIFS($G$2:G3307,G3307,$H$2:H3307,"United Kingdom")=1),1,0)</f>
        <v>0</v>
      </c>
    </row>
    <row r="3308" customFormat="false" ht="15" hidden="false" customHeight="false" outlineLevel="0" collapsed="false">
      <c r="A3308" s="0" t="s">
        <v>694</v>
      </c>
      <c r="B3308" s="0" t="s">
        <v>45</v>
      </c>
      <c r="C3308" s="0" t="s">
        <v>46</v>
      </c>
      <c r="D3308" s="0" t="n">
        <v>12</v>
      </c>
      <c r="E3308" s="2" t="n">
        <v>40832.3826388889</v>
      </c>
      <c r="F3308" s="0" t="n">
        <v>4.55</v>
      </c>
      <c r="G3308" s="0" t="n">
        <v>15884</v>
      </c>
      <c r="H3308" s="3" t="s">
        <v>14</v>
      </c>
      <c r="I3308" s="4" t="n">
        <f aca="false">D3308*F3308</f>
        <v>54.6</v>
      </c>
      <c r="J3308" s="3" t="n">
        <f aca="false">IF(AND(LEFT(A3308,1)&lt;&gt;"C",D3308&gt;0,F3308&gt;0),1,0)</f>
        <v>1</v>
      </c>
      <c r="K3308" s="3" t="n">
        <f aca="false">IF(AND(H3308="United Kingdom",G3308&lt;&gt;"",COUNTIFS($G$2:G3308,G3308,$H$2:H3308,"United Kingdom")=1),1,0)</f>
        <v>0</v>
      </c>
    </row>
    <row r="3309" customFormat="false" ht="15" hidden="false" customHeight="false" outlineLevel="0" collapsed="false">
      <c r="A3309" s="0" t="s">
        <v>694</v>
      </c>
      <c r="B3309" s="0" t="s">
        <v>34</v>
      </c>
      <c r="C3309" s="0" t="s">
        <v>35</v>
      </c>
      <c r="D3309" s="0" t="n">
        <v>4</v>
      </c>
      <c r="E3309" s="2" t="n">
        <v>40832.3826388889</v>
      </c>
      <c r="F3309" s="0" t="n">
        <v>2.38</v>
      </c>
      <c r="G3309" s="0" t="n">
        <v>15884</v>
      </c>
      <c r="H3309" s="3" t="s">
        <v>14</v>
      </c>
      <c r="I3309" s="4" t="n">
        <f aca="false">D3309*F3309</f>
        <v>9.52</v>
      </c>
      <c r="J3309" s="3" t="n">
        <f aca="false">IF(AND(LEFT(A3309,1)&lt;&gt;"C",D3309&gt;0,F3309&gt;0),1,0)</f>
        <v>1</v>
      </c>
      <c r="K3309" s="3" t="n">
        <f aca="false">IF(AND(H3309="United Kingdom",G3309&lt;&gt;"",COUNTIFS($G$2:G3309,G3309,$H$2:H3309,"United Kingdom")=1),1,0)</f>
        <v>0</v>
      </c>
    </row>
    <row r="3310" customFormat="false" ht="15" hidden="false" customHeight="false" outlineLevel="0" collapsed="false">
      <c r="A3310" s="0" t="s">
        <v>694</v>
      </c>
      <c r="B3310" s="0" t="s">
        <v>65</v>
      </c>
      <c r="C3310" s="0" t="s">
        <v>66</v>
      </c>
      <c r="D3310" s="0" t="n">
        <v>8</v>
      </c>
      <c r="E3310" s="2" t="n">
        <v>40832.3826388889</v>
      </c>
      <c r="F3310" s="0" t="n">
        <v>4.75</v>
      </c>
      <c r="G3310" s="0" t="n">
        <v>15884</v>
      </c>
      <c r="H3310" s="3" t="s">
        <v>14</v>
      </c>
      <c r="I3310" s="4" t="n">
        <f aca="false">D3310*F3310</f>
        <v>38</v>
      </c>
      <c r="J3310" s="3" t="n">
        <f aca="false">IF(AND(LEFT(A3310,1)&lt;&gt;"C",D3310&gt;0,F3310&gt;0),1,0)</f>
        <v>1</v>
      </c>
      <c r="K3310" s="3" t="n">
        <f aca="false">IF(AND(H3310="United Kingdom",G3310&lt;&gt;"",COUNTIFS($G$2:G3310,G3310,$H$2:H3310,"United Kingdom")=1),1,0)</f>
        <v>0</v>
      </c>
    </row>
    <row r="3311" customFormat="false" ht="15" hidden="false" customHeight="false" outlineLevel="0" collapsed="false">
      <c r="A3311" s="0" t="s">
        <v>694</v>
      </c>
      <c r="B3311" s="0" t="s">
        <v>20</v>
      </c>
      <c r="C3311" s="0" t="s">
        <v>21</v>
      </c>
      <c r="D3311" s="0" t="n">
        <v>6</v>
      </c>
      <c r="E3311" s="2" t="n">
        <v>40832.3826388889</v>
      </c>
      <c r="F3311" s="0" t="n">
        <v>4.24</v>
      </c>
      <c r="G3311" s="0" t="n">
        <v>15884</v>
      </c>
      <c r="H3311" s="3" t="s">
        <v>14</v>
      </c>
      <c r="I3311" s="4" t="n">
        <f aca="false">D3311*F3311</f>
        <v>25.44</v>
      </c>
      <c r="J3311" s="3" t="n">
        <f aca="false">IF(AND(LEFT(A3311,1)&lt;&gt;"C",D3311&gt;0,F3311&gt;0),1,0)</f>
        <v>1</v>
      </c>
      <c r="K3311" s="3" t="n">
        <f aca="false">IF(AND(H3311="United Kingdom",G3311&lt;&gt;"",COUNTIFS($G$2:G3311,G3311,$H$2:H3311,"United Kingdom")=1),1,0)</f>
        <v>0</v>
      </c>
    </row>
    <row r="3312" customFormat="false" ht="15" hidden="false" customHeight="false" outlineLevel="0" collapsed="false">
      <c r="A3312" s="0" t="s">
        <v>694</v>
      </c>
      <c r="B3312" s="0" t="s">
        <v>60</v>
      </c>
      <c r="C3312" s="0" t="s">
        <v>61</v>
      </c>
      <c r="D3312" s="0" t="n">
        <v>1</v>
      </c>
      <c r="E3312" s="2" t="n">
        <v>40832.3826388889</v>
      </c>
      <c r="F3312" s="0" t="n">
        <v>0.63</v>
      </c>
      <c r="G3312" s="0" t="n">
        <v>15884</v>
      </c>
      <c r="H3312" s="3" t="s">
        <v>14</v>
      </c>
      <c r="I3312" s="4" t="n">
        <f aca="false">D3312*F3312</f>
        <v>0.63</v>
      </c>
      <c r="J3312" s="3" t="n">
        <f aca="false">IF(AND(LEFT(A3312,1)&lt;&gt;"C",D3312&gt;0,F3312&gt;0),1,0)</f>
        <v>1</v>
      </c>
      <c r="K3312" s="3" t="n">
        <f aca="false">IF(AND(H3312="United Kingdom",G3312&lt;&gt;"",COUNTIFS($G$2:G3312,G3312,$H$2:H3312,"United Kingdom")=1),1,0)</f>
        <v>0</v>
      </c>
    </row>
    <row r="3313" customFormat="false" ht="15" hidden="false" customHeight="false" outlineLevel="0" collapsed="false">
      <c r="A3313" s="0" t="s">
        <v>694</v>
      </c>
      <c r="B3313" s="0" t="s">
        <v>12</v>
      </c>
      <c r="C3313" s="0" t="s">
        <v>13</v>
      </c>
      <c r="D3313" s="0" t="n">
        <v>4</v>
      </c>
      <c r="E3313" s="2" t="n">
        <v>40832.3826388889</v>
      </c>
      <c r="F3313" s="0" t="n">
        <v>3.33</v>
      </c>
      <c r="G3313" s="0" t="n">
        <v>15884</v>
      </c>
      <c r="H3313" s="3" t="s">
        <v>14</v>
      </c>
      <c r="I3313" s="4" t="n">
        <f aca="false">D3313*F3313</f>
        <v>13.32</v>
      </c>
      <c r="J3313" s="3" t="n">
        <f aca="false">IF(AND(LEFT(A3313,1)&lt;&gt;"C",D3313&gt;0,F3313&gt;0),1,0)</f>
        <v>1</v>
      </c>
      <c r="K3313" s="3" t="n">
        <f aca="false">IF(AND(H3313="United Kingdom",G3313&lt;&gt;"",COUNTIFS($G$2:G3313,G3313,$H$2:H3313,"United Kingdom")=1),1,0)</f>
        <v>0</v>
      </c>
    </row>
    <row r="3314" customFormat="false" ht="15" hidden="false" customHeight="false" outlineLevel="0" collapsed="false">
      <c r="A3314" s="0" t="s">
        <v>694</v>
      </c>
      <c r="B3314" s="0" t="s">
        <v>52</v>
      </c>
      <c r="C3314" s="0" t="s">
        <v>53</v>
      </c>
      <c r="D3314" s="0" t="n">
        <v>6</v>
      </c>
      <c r="E3314" s="2" t="n">
        <v>40832.3826388889</v>
      </c>
      <c r="F3314" s="0" t="n">
        <v>4.16</v>
      </c>
      <c r="G3314" s="0" t="n">
        <v>15884</v>
      </c>
      <c r="H3314" s="3" t="s">
        <v>14</v>
      </c>
      <c r="I3314" s="4" t="n">
        <f aca="false">D3314*F3314</f>
        <v>24.96</v>
      </c>
      <c r="J3314" s="3" t="n">
        <f aca="false">IF(AND(LEFT(A3314,1)&lt;&gt;"C",D3314&gt;0,F3314&gt;0),1,0)</f>
        <v>1</v>
      </c>
      <c r="K3314" s="3" t="n">
        <f aca="false">IF(AND(H3314="United Kingdom",G3314&lt;&gt;"",COUNTIFS($G$2:G3314,G3314,$H$2:H3314,"United Kingdom")=1),1,0)</f>
        <v>0</v>
      </c>
    </row>
    <row r="3315" customFormat="false" ht="15" hidden="false" customHeight="false" outlineLevel="0" collapsed="false">
      <c r="A3315" s="0" t="s">
        <v>695</v>
      </c>
      <c r="B3315" s="0" t="s">
        <v>113</v>
      </c>
      <c r="C3315" s="0" t="s">
        <v>114</v>
      </c>
      <c r="D3315" s="0" t="n">
        <v>16</v>
      </c>
      <c r="E3315" s="2" t="n">
        <v>40832.4402777778</v>
      </c>
      <c r="F3315" s="0" t="n">
        <v>3.57</v>
      </c>
      <c r="G3315" s="0" t="n">
        <v>12480</v>
      </c>
      <c r="H3315" s="3" t="s">
        <v>14</v>
      </c>
      <c r="I3315" s="4" t="n">
        <f aca="false">D3315*F3315</f>
        <v>57.12</v>
      </c>
      <c r="J3315" s="3" t="n">
        <f aca="false">IF(AND(LEFT(A3315,1)&lt;&gt;"C",D3315&gt;0,F3315&gt;0),1,0)</f>
        <v>1</v>
      </c>
      <c r="K3315" s="3" t="n">
        <f aca="false">IF(AND(H3315="United Kingdom",G3315&lt;&gt;"",COUNTIFS($G$2:G3315,G3315,$H$2:H3315,"United Kingdom")=1),1,0)</f>
        <v>0</v>
      </c>
    </row>
    <row r="3316" customFormat="false" ht="15" hidden="false" customHeight="false" outlineLevel="0" collapsed="false">
      <c r="A3316" s="0" t="s">
        <v>695</v>
      </c>
      <c r="B3316" s="0" t="s">
        <v>45</v>
      </c>
      <c r="C3316" s="0" t="s">
        <v>46</v>
      </c>
      <c r="D3316" s="0" t="n">
        <v>3</v>
      </c>
      <c r="E3316" s="2" t="n">
        <v>40832.4402777778</v>
      </c>
      <c r="F3316" s="0" t="n">
        <v>4.55</v>
      </c>
      <c r="G3316" s="0" t="n">
        <v>12480</v>
      </c>
      <c r="H3316" s="3" t="s">
        <v>14</v>
      </c>
      <c r="I3316" s="4" t="n">
        <f aca="false">D3316*F3316</f>
        <v>13.65</v>
      </c>
      <c r="J3316" s="3" t="n">
        <f aca="false">IF(AND(LEFT(A3316,1)&lt;&gt;"C",D3316&gt;0,F3316&gt;0),1,0)</f>
        <v>1</v>
      </c>
      <c r="K3316" s="3" t="n">
        <f aca="false">IF(AND(H3316="United Kingdom",G3316&lt;&gt;"",COUNTIFS($G$2:G3316,G3316,$H$2:H3316,"United Kingdom")=1),1,0)</f>
        <v>0</v>
      </c>
    </row>
    <row r="3317" customFormat="false" ht="15" hidden="false" customHeight="false" outlineLevel="0" collapsed="false">
      <c r="A3317" s="0" t="s">
        <v>695</v>
      </c>
      <c r="B3317" s="0" t="s">
        <v>117</v>
      </c>
      <c r="C3317" s="0" t="s">
        <v>118</v>
      </c>
      <c r="D3317" s="0" t="n">
        <v>3083</v>
      </c>
      <c r="E3317" s="2" t="n">
        <v>40832.4402777778</v>
      </c>
      <c r="F3317" s="0" t="n">
        <v>3.45</v>
      </c>
      <c r="G3317" s="0" t="n">
        <v>12480</v>
      </c>
      <c r="H3317" s="3" t="s">
        <v>57</v>
      </c>
      <c r="I3317" s="4" t="n">
        <f aca="false">D3317*F3317</f>
        <v>10636.35</v>
      </c>
      <c r="J3317" s="3" t="n">
        <f aca="false">IF(AND(LEFT(A3317,1)&lt;&gt;"C",D3317&gt;0,F3317&gt;0),1,0)</f>
        <v>1</v>
      </c>
      <c r="K3317" s="3" t="n">
        <f aca="false">IF(AND(H3317="United Kingdom",G3317&lt;&gt;"",COUNTIFS($G$2:G3317,G3317,$H$2:H3317,"United Kingdom")=1),1,0)</f>
        <v>0</v>
      </c>
    </row>
    <row r="3318" customFormat="false" ht="15" hidden="false" customHeight="false" outlineLevel="0" collapsed="false">
      <c r="A3318" s="0" t="s">
        <v>696</v>
      </c>
      <c r="B3318" s="0" t="s">
        <v>17</v>
      </c>
      <c r="C3318" s="0" t="s">
        <v>18</v>
      </c>
      <c r="D3318" s="0" t="n">
        <v>1</v>
      </c>
      <c r="E3318" s="2" t="n">
        <v>40832.5402777778</v>
      </c>
      <c r="F3318" s="0" t="n">
        <v>1.92</v>
      </c>
      <c r="G3318" s="0" t="n">
        <v>15427</v>
      </c>
      <c r="H3318" s="3" t="s">
        <v>57</v>
      </c>
      <c r="I3318" s="4" t="n">
        <f aca="false">D3318*F3318</f>
        <v>1.92</v>
      </c>
      <c r="J3318" s="3" t="n">
        <f aca="false">IF(AND(LEFT(A3318,1)&lt;&gt;"C",D3318&gt;0,F3318&gt;0),1,0)</f>
        <v>1</v>
      </c>
      <c r="K3318" s="3" t="n">
        <f aca="false">IF(AND(H3318="United Kingdom",G3318&lt;&gt;"",COUNTIFS($G$2:G3318,G3318,$H$2:H3318,"United Kingdom")=1),1,0)</f>
        <v>0</v>
      </c>
    </row>
    <row r="3319" customFormat="false" ht="15" hidden="false" customHeight="false" outlineLevel="0" collapsed="false">
      <c r="A3319" s="0" t="s">
        <v>696</v>
      </c>
      <c r="B3319" s="0" t="s">
        <v>68</v>
      </c>
      <c r="C3319" s="0" t="s">
        <v>69</v>
      </c>
      <c r="D3319" s="0" t="n">
        <v>1</v>
      </c>
      <c r="E3319" s="2" t="n">
        <v>40832.5402777778</v>
      </c>
      <c r="F3319" s="0" t="n">
        <v>1.26</v>
      </c>
      <c r="G3319" s="0" t="n">
        <v>15427</v>
      </c>
      <c r="H3319" s="3" t="s">
        <v>57</v>
      </c>
      <c r="I3319" s="4" t="n">
        <f aca="false">D3319*F3319</f>
        <v>1.26</v>
      </c>
      <c r="J3319" s="3" t="n">
        <f aca="false">IF(AND(LEFT(A3319,1)&lt;&gt;"C",D3319&gt;0,F3319&gt;0),1,0)</f>
        <v>1</v>
      </c>
      <c r="K3319" s="3" t="n">
        <f aca="false">IF(AND(H3319="United Kingdom",G3319&lt;&gt;"",COUNTIFS($G$2:G3319,G3319,$H$2:H3319,"United Kingdom")=1),1,0)</f>
        <v>0</v>
      </c>
    </row>
    <row r="3320" customFormat="false" ht="15" hidden="false" customHeight="false" outlineLevel="0" collapsed="false">
      <c r="A3320" s="0" t="s">
        <v>696</v>
      </c>
      <c r="B3320" s="0" t="s">
        <v>15</v>
      </c>
      <c r="C3320" s="0" t="s">
        <v>16</v>
      </c>
      <c r="D3320" s="0" t="n">
        <v>6</v>
      </c>
      <c r="E3320" s="2" t="n">
        <v>40832.5402777778</v>
      </c>
      <c r="F3320" s="0" t="n">
        <v>3.18</v>
      </c>
      <c r="G3320" s="0" t="n">
        <v>15427</v>
      </c>
      <c r="H3320" s="3" t="s">
        <v>57</v>
      </c>
      <c r="I3320" s="4" t="n">
        <f aca="false">D3320*F3320</f>
        <v>19.08</v>
      </c>
      <c r="J3320" s="3" t="n">
        <f aca="false">IF(AND(LEFT(A3320,1)&lt;&gt;"C",D3320&gt;0,F3320&gt;0),1,0)</f>
        <v>1</v>
      </c>
      <c r="K3320" s="3" t="n">
        <f aca="false">IF(AND(H3320="United Kingdom",G3320&lt;&gt;"",COUNTIFS($G$2:G3320,G3320,$H$2:H3320,"United Kingdom")=1),1,0)</f>
        <v>0</v>
      </c>
    </row>
    <row r="3321" customFormat="false" ht="15" hidden="false" customHeight="false" outlineLevel="0" collapsed="false">
      <c r="A3321" s="0" t="s">
        <v>696</v>
      </c>
      <c r="B3321" s="0" t="s">
        <v>43</v>
      </c>
      <c r="C3321" s="0" t="s">
        <v>44</v>
      </c>
      <c r="D3321" s="0" t="n">
        <v>1</v>
      </c>
      <c r="E3321" s="2" t="n">
        <v>40832.5402777778</v>
      </c>
      <c r="F3321" s="0" t="n">
        <v>1.35</v>
      </c>
      <c r="G3321" s="0" t="n">
        <v>15427</v>
      </c>
      <c r="H3321" s="3" t="s">
        <v>57</v>
      </c>
      <c r="I3321" s="4" t="n">
        <f aca="false">D3321*F3321</f>
        <v>1.35</v>
      </c>
      <c r="J3321" s="3" t="n">
        <f aca="false">IF(AND(LEFT(A3321,1)&lt;&gt;"C",D3321&gt;0,F3321&gt;0),1,0)</f>
        <v>1</v>
      </c>
      <c r="K3321" s="3" t="n">
        <f aca="false">IF(AND(H3321="United Kingdom",G3321&lt;&gt;"",COUNTIFS($G$2:G3321,G3321,$H$2:H3321,"United Kingdom")=1),1,0)</f>
        <v>0</v>
      </c>
    </row>
    <row r="3322" customFormat="false" ht="15" hidden="false" customHeight="false" outlineLevel="0" collapsed="false">
      <c r="A3322" s="0" t="s">
        <v>696</v>
      </c>
      <c r="B3322" s="0" t="s">
        <v>12</v>
      </c>
      <c r="C3322" s="0" t="s">
        <v>13</v>
      </c>
      <c r="D3322" s="0" t="n">
        <v>6</v>
      </c>
      <c r="E3322" s="2" t="n">
        <v>40832.5402777778</v>
      </c>
      <c r="F3322" s="0" t="n">
        <v>3.33</v>
      </c>
      <c r="G3322" s="0" t="n">
        <v>15427</v>
      </c>
      <c r="H3322" s="3" t="s">
        <v>57</v>
      </c>
      <c r="I3322" s="4" t="n">
        <f aca="false">D3322*F3322</f>
        <v>19.98</v>
      </c>
      <c r="J3322" s="3" t="n">
        <f aca="false">IF(AND(LEFT(A3322,1)&lt;&gt;"C",D3322&gt;0,F3322&gt;0),1,0)</f>
        <v>1</v>
      </c>
      <c r="K3322" s="3" t="n">
        <f aca="false">IF(AND(H3322="United Kingdom",G3322&lt;&gt;"",COUNTIFS($G$2:G3322,G3322,$H$2:H3322,"United Kingdom")=1),1,0)</f>
        <v>0</v>
      </c>
    </row>
    <row r="3323" customFormat="false" ht="15" hidden="false" customHeight="false" outlineLevel="0" collapsed="false">
      <c r="A3323" s="0" t="s">
        <v>696</v>
      </c>
      <c r="B3323" s="0" t="s">
        <v>75</v>
      </c>
      <c r="C3323" s="0" t="s">
        <v>76</v>
      </c>
      <c r="D3323" s="0" t="n">
        <v>1</v>
      </c>
      <c r="E3323" s="2" t="n">
        <v>40832.5402777778</v>
      </c>
      <c r="F3323" s="0" t="n">
        <v>1.97</v>
      </c>
      <c r="G3323" s="0" t="n">
        <v>15427</v>
      </c>
      <c r="H3323" s="3" t="s">
        <v>57</v>
      </c>
      <c r="I3323" s="4" t="n">
        <f aca="false">D3323*F3323</f>
        <v>1.97</v>
      </c>
      <c r="J3323" s="3" t="n">
        <f aca="false">IF(AND(LEFT(A3323,1)&lt;&gt;"C",D3323&gt;0,F3323&gt;0),1,0)</f>
        <v>1</v>
      </c>
      <c r="K3323" s="3" t="n">
        <f aca="false">IF(AND(H3323="United Kingdom",G3323&lt;&gt;"",COUNTIFS($G$2:G3323,G3323,$H$2:H3323,"United Kingdom")=1),1,0)</f>
        <v>0</v>
      </c>
    </row>
    <row r="3324" customFormat="false" ht="15" hidden="false" customHeight="false" outlineLevel="0" collapsed="false">
      <c r="A3324" s="0" t="s">
        <v>696</v>
      </c>
      <c r="B3324" s="0" t="s">
        <v>54</v>
      </c>
      <c r="C3324" s="0" t="s">
        <v>55</v>
      </c>
      <c r="D3324" s="0" t="n">
        <v>12</v>
      </c>
      <c r="E3324" s="2" t="n">
        <v>40832.5402777778</v>
      </c>
      <c r="F3324" s="0" t="n">
        <v>0.99</v>
      </c>
      <c r="G3324" s="0" t="n">
        <v>15427</v>
      </c>
      <c r="H3324" s="3" t="s">
        <v>57</v>
      </c>
      <c r="I3324" s="4" t="n">
        <f aca="false">D3324*F3324</f>
        <v>11.88</v>
      </c>
      <c r="J3324" s="3" t="n">
        <f aca="false">IF(AND(LEFT(A3324,1)&lt;&gt;"C",D3324&gt;0,F3324&gt;0),1,0)</f>
        <v>1</v>
      </c>
      <c r="K3324" s="3" t="n">
        <f aca="false">IF(AND(H3324="United Kingdom",G3324&lt;&gt;"",COUNTIFS($G$2:G3324,G3324,$H$2:H3324,"United Kingdom")=1),1,0)</f>
        <v>0</v>
      </c>
    </row>
    <row r="3325" customFormat="false" ht="15" hidden="false" customHeight="false" outlineLevel="0" collapsed="false">
      <c r="A3325" s="0" t="s">
        <v>696</v>
      </c>
      <c r="B3325" s="0" t="s">
        <v>65</v>
      </c>
      <c r="C3325" s="0" t="s">
        <v>66</v>
      </c>
      <c r="D3325" s="0" t="n">
        <v>3</v>
      </c>
      <c r="E3325" s="2" t="n">
        <v>40832.5402777778</v>
      </c>
      <c r="F3325" s="0" t="n">
        <v>4.75</v>
      </c>
      <c r="G3325" s="0" t="n">
        <v>15427</v>
      </c>
      <c r="H3325" s="3" t="s">
        <v>57</v>
      </c>
      <c r="I3325" s="4" t="n">
        <f aca="false">D3325*F3325</f>
        <v>14.25</v>
      </c>
      <c r="J3325" s="3" t="n">
        <f aca="false">IF(AND(LEFT(A3325,1)&lt;&gt;"C",D3325&gt;0,F3325&gt;0),1,0)</f>
        <v>1</v>
      </c>
      <c r="K3325" s="3" t="n">
        <f aca="false">IF(AND(H3325="United Kingdom",G3325&lt;&gt;"",COUNTIFS($G$2:G3325,G3325,$H$2:H3325,"United Kingdom")=1),1,0)</f>
        <v>0</v>
      </c>
    </row>
    <row r="3326" customFormat="false" ht="15" hidden="false" customHeight="false" outlineLevel="0" collapsed="false">
      <c r="A3326" s="0" t="s">
        <v>696</v>
      </c>
      <c r="B3326" s="0" t="s">
        <v>39</v>
      </c>
      <c r="C3326" s="0" t="s">
        <v>40</v>
      </c>
      <c r="D3326" s="0" t="n">
        <v>6</v>
      </c>
      <c r="E3326" s="2" t="n">
        <v>40832.5402777778</v>
      </c>
      <c r="F3326" s="0" t="n">
        <v>2.58</v>
      </c>
      <c r="G3326" s="0" t="n">
        <v>15427</v>
      </c>
      <c r="H3326" s="3" t="s">
        <v>57</v>
      </c>
      <c r="I3326" s="4" t="n">
        <f aca="false">D3326*F3326</f>
        <v>15.48</v>
      </c>
      <c r="J3326" s="3" t="n">
        <f aca="false">IF(AND(LEFT(A3326,1)&lt;&gt;"C",D3326&gt;0,F3326&gt;0),1,0)</f>
        <v>1</v>
      </c>
      <c r="K3326" s="3" t="n">
        <f aca="false">IF(AND(H3326="United Kingdom",G3326&lt;&gt;"",COUNTIFS($G$2:G3326,G3326,$H$2:H3326,"United Kingdom")=1),1,0)</f>
        <v>0</v>
      </c>
    </row>
    <row r="3327" customFormat="false" ht="15" hidden="false" customHeight="false" outlineLevel="0" collapsed="false">
      <c r="A3327" s="0" t="s">
        <v>697</v>
      </c>
      <c r="B3327" s="0" t="s">
        <v>45</v>
      </c>
      <c r="C3327" s="0" t="s">
        <v>46</v>
      </c>
      <c r="D3327" s="0" t="n">
        <v>18</v>
      </c>
      <c r="E3327" s="2" t="n">
        <v>40832.7791666667</v>
      </c>
      <c r="F3327" s="0" t="n">
        <v>4.55</v>
      </c>
      <c r="G3327" s="0" t="n">
        <v>15312</v>
      </c>
      <c r="H3327" s="3" t="s">
        <v>124</v>
      </c>
      <c r="I3327" s="4" t="n">
        <f aca="false">D3327*F3327</f>
        <v>81.9</v>
      </c>
      <c r="J3327" s="3" t="n">
        <f aca="false">IF(AND(LEFT(A3327,1)&lt;&gt;"C",D3327&gt;0,F3327&gt;0),1,0)</f>
        <v>1</v>
      </c>
      <c r="K3327" s="3" t="n">
        <f aca="false">IF(AND(H3327="United Kingdom",G3327&lt;&gt;"",COUNTIFS($G$2:G3327,G3327,$H$2:H3327,"United Kingdom")=1),1,0)</f>
        <v>0</v>
      </c>
    </row>
    <row r="3328" customFormat="false" ht="15" hidden="false" customHeight="false" outlineLevel="0" collapsed="false">
      <c r="A3328" s="0" t="s">
        <v>697</v>
      </c>
      <c r="B3328" s="0" t="s">
        <v>43</v>
      </c>
      <c r="C3328" s="0" t="s">
        <v>44</v>
      </c>
      <c r="D3328" s="0" t="n">
        <v>48</v>
      </c>
      <c r="E3328" s="2" t="n">
        <v>40832.7791666667</v>
      </c>
      <c r="F3328" s="0" t="n">
        <v>1.35</v>
      </c>
      <c r="G3328" s="0" t="n">
        <v>15312</v>
      </c>
      <c r="H3328" s="3" t="s">
        <v>124</v>
      </c>
      <c r="I3328" s="4" t="n">
        <f aca="false">D3328*F3328</f>
        <v>64.8</v>
      </c>
      <c r="J3328" s="3" t="n">
        <f aca="false">IF(AND(LEFT(A3328,1)&lt;&gt;"C",D3328&gt;0,F3328&gt;0),1,0)</f>
        <v>1</v>
      </c>
      <c r="K3328" s="3" t="n">
        <f aca="false">IF(AND(H3328="United Kingdom",G3328&lt;&gt;"",COUNTIFS($G$2:G3328,G3328,$H$2:H3328,"United Kingdom")=1),1,0)</f>
        <v>0</v>
      </c>
    </row>
    <row r="3329" customFormat="false" ht="15" hidden="false" customHeight="false" outlineLevel="0" collapsed="false">
      <c r="A3329" s="0" t="s">
        <v>698</v>
      </c>
      <c r="B3329" s="0" t="s">
        <v>22</v>
      </c>
      <c r="C3329" s="0" t="s">
        <v>23</v>
      </c>
      <c r="D3329" s="0" t="n">
        <v>12</v>
      </c>
      <c r="E3329" s="2" t="n">
        <v>40833.3854166667</v>
      </c>
      <c r="F3329" s="0" t="n">
        <v>3.18</v>
      </c>
      <c r="G3329" s="0" t="n">
        <v>13034</v>
      </c>
      <c r="H3329" s="3" t="s">
        <v>57</v>
      </c>
      <c r="I3329" s="4" t="n">
        <f aca="false">D3329*F3329</f>
        <v>38.16</v>
      </c>
      <c r="J3329" s="3" t="n">
        <f aca="false">IF(AND(LEFT(A3329,1)&lt;&gt;"C",D3329&gt;0,F3329&gt;0),1,0)</f>
        <v>1</v>
      </c>
      <c r="K3329" s="3" t="n">
        <f aca="false">IF(AND(H3329="United Kingdom",G3329&lt;&gt;"",COUNTIFS($G$2:G3329,G3329,$H$2:H3329,"United Kingdom")=1),1,0)</f>
        <v>0</v>
      </c>
    </row>
    <row r="3330" customFormat="false" ht="15" hidden="false" customHeight="false" outlineLevel="0" collapsed="false">
      <c r="A3330" s="0" t="s">
        <v>698</v>
      </c>
      <c r="B3330" s="0" t="s">
        <v>37</v>
      </c>
      <c r="C3330" s="0" t="s">
        <v>38</v>
      </c>
      <c r="D3330" s="0" t="n">
        <v>3</v>
      </c>
      <c r="E3330" s="2" t="n">
        <v>40833.3854166667</v>
      </c>
      <c r="F3330" s="0" t="n">
        <v>1.82</v>
      </c>
      <c r="G3330" s="0" t="n">
        <v>13034</v>
      </c>
      <c r="H3330" s="3" t="s">
        <v>57</v>
      </c>
      <c r="I3330" s="4" t="n">
        <f aca="false">D3330*F3330</f>
        <v>5.46</v>
      </c>
      <c r="J3330" s="3" t="n">
        <f aca="false">IF(AND(LEFT(A3330,1)&lt;&gt;"C",D3330&gt;0,F3330&gt;0),1,0)</f>
        <v>1</v>
      </c>
      <c r="K3330" s="3" t="n">
        <f aca="false">IF(AND(H3330="United Kingdom",G3330&lt;&gt;"",COUNTIFS($G$2:G3330,G3330,$H$2:H3330,"United Kingdom")=1),1,0)</f>
        <v>0</v>
      </c>
    </row>
    <row r="3331" customFormat="false" ht="15" hidden="false" customHeight="false" outlineLevel="0" collapsed="false">
      <c r="A3331" s="0" t="s">
        <v>698</v>
      </c>
      <c r="B3331" s="0" t="s">
        <v>27</v>
      </c>
      <c r="C3331" s="0" t="s">
        <v>28</v>
      </c>
      <c r="D3331" s="0" t="n">
        <v>6</v>
      </c>
      <c r="E3331" s="2" t="n">
        <v>40833.3854166667</v>
      </c>
      <c r="F3331" s="0" t="n">
        <v>4.55</v>
      </c>
      <c r="G3331" s="0" t="n">
        <v>13034</v>
      </c>
      <c r="H3331" s="3" t="s">
        <v>57</v>
      </c>
      <c r="I3331" s="4" t="n">
        <f aca="false">D3331*F3331</f>
        <v>27.3</v>
      </c>
      <c r="J3331" s="3" t="n">
        <f aca="false">IF(AND(LEFT(A3331,1)&lt;&gt;"C",D3331&gt;0,F3331&gt;0),1,0)</f>
        <v>1</v>
      </c>
      <c r="K3331" s="3" t="n">
        <f aca="false">IF(AND(H3331="United Kingdom",G3331&lt;&gt;"",COUNTIFS($G$2:G3331,G3331,$H$2:H3331,"United Kingdom")=1),1,0)</f>
        <v>0</v>
      </c>
    </row>
    <row r="3332" customFormat="false" ht="15" hidden="false" customHeight="false" outlineLevel="0" collapsed="false">
      <c r="A3332" s="0" t="s">
        <v>698</v>
      </c>
      <c r="B3332" s="0" t="s">
        <v>65</v>
      </c>
      <c r="C3332" s="0" t="s">
        <v>66</v>
      </c>
      <c r="D3332" s="0" t="n">
        <v>3</v>
      </c>
      <c r="E3332" s="2" t="n">
        <v>40833.3854166667</v>
      </c>
      <c r="F3332" s="0" t="n">
        <v>4.75</v>
      </c>
      <c r="G3332" s="0" t="n">
        <v>13034</v>
      </c>
      <c r="H3332" s="3" t="s">
        <v>57</v>
      </c>
      <c r="I3332" s="4" t="n">
        <f aca="false">D3332*F3332</f>
        <v>14.25</v>
      </c>
      <c r="J3332" s="3" t="n">
        <f aca="false">IF(AND(LEFT(A3332,1)&lt;&gt;"C",D3332&gt;0,F3332&gt;0),1,0)</f>
        <v>1</v>
      </c>
      <c r="K3332" s="3" t="n">
        <f aca="false">IF(AND(H3332="United Kingdom",G3332&lt;&gt;"",COUNTIFS($G$2:G3332,G3332,$H$2:H3332,"United Kingdom")=1),1,0)</f>
        <v>0</v>
      </c>
    </row>
    <row r="3333" customFormat="false" ht="15" hidden="false" customHeight="false" outlineLevel="0" collapsed="false">
      <c r="A3333" s="0" t="s">
        <v>699</v>
      </c>
      <c r="B3333" s="0" t="s">
        <v>80</v>
      </c>
      <c r="C3333" s="0" t="s">
        <v>81</v>
      </c>
      <c r="D3333" s="0" t="n">
        <v>1</v>
      </c>
      <c r="E3333" s="2" t="n">
        <v>40833.4368055556</v>
      </c>
      <c r="F3333" s="0" t="n">
        <v>1.53</v>
      </c>
      <c r="G3333" s="0" t="n">
        <v>14264</v>
      </c>
      <c r="H3333" s="3" t="s">
        <v>14</v>
      </c>
      <c r="I3333" s="4" t="n">
        <f aca="false">D3333*F3333</f>
        <v>1.53</v>
      </c>
      <c r="J3333" s="3" t="n">
        <f aca="false">IF(AND(LEFT(A3333,1)&lt;&gt;"C",D3333&gt;0,F3333&gt;0),1,0)</f>
        <v>1</v>
      </c>
      <c r="K3333" s="3" t="n">
        <f aca="false">IF(AND(H3333="United Kingdom",G3333&lt;&gt;"",COUNTIFS($G$2:G3333,G3333,$H$2:H3333,"United Kingdom")=1),1,0)</f>
        <v>0</v>
      </c>
    </row>
    <row r="3334" customFormat="false" ht="15" hidden="false" customHeight="false" outlineLevel="0" collapsed="false">
      <c r="A3334" s="0" t="s">
        <v>699</v>
      </c>
      <c r="B3334" s="0" t="s">
        <v>41</v>
      </c>
      <c r="C3334" s="0" t="s">
        <v>42</v>
      </c>
      <c r="D3334" s="0" t="n">
        <v>2</v>
      </c>
      <c r="E3334" s="2" t="n">
        <v>40833.4368055556</v>
      </c>
      <c r="F3334" s="0" t="n">
        <v>3.28</v>
      </c>
      <c r="G3334" s="0" t="n">
        <v>14264</v>
      </c>
      <c r="H3334" s="3" t="s">
        <v>14</v>
      </c>
      <c r="I3334" s="4" t="n">
        <f aca="false">D3334*F3334</f>
        <v>6.56</v>
      </c>
      <c r="J3334" s="3" t="n">
        <f aca="false">IF(AND(LEFT(A3334,1)&lt;&gt;"C",D3334&gt;0,F3334&gt;0),1,0)</f>
        <v>1</v>
      </c>
      <c r="K3334" s="3" t="n">
        <f aca="false">IF(AND(H3334="United Kingdom",G3334&lt;&gt;"",COUNTIFS($G$2:G3334,G3334,$H$2:H3334,"United Kingdom")=1),1,0)</f>
        <v>0</v>
      </c>
    </row>
    <row r="3335" customFormat="false" ht="15" hidden="false" customHeight="false" outlineLevel="0" collapsed="false">
      <c r="A3335" s="0" t="s">
        <v>699</v>
      </c>
      <c r="B3335" s="0" t="s">
        <v>37</v>
      </c>
      <c r="C3335" s="0" t="s">
        <v>38</v>
      </c>
      <c r="D3335" s="0" t="n">
        <v>3</v>
      </c>
      <c r="E3335" s="2" t="n">
        <v>40833.4368055556</v>
      </c>
      <c r="F3335" s="0" t="n">
        <v>1.82</v>
      </c>
      <c r="G3335" s="0" t="n">
        <v>14264</v>
      </c>
      <c r="H3335" s="3" t="s">
        <v>14</v>
      </c>
      <c r="I3335" s="4" t="n">
        <f aca="false">D3335*F3335</f>
        <v>5.46</v>
      </c>
      <c r="J3335" s="3" t="n">
        <f aca="false">IF(AND(LEFT(A3335,1)&lt;&gt;"C",D3335&gt;0,F3335&gt;0),1,0)</f>
        <v>1</v>
      </c>
      <c r="K3335" s="3" t="n">
        <f aca="false">IF(AND(H3335="United Kingdom",G3335&lt;&gt;"",COUNTIFS($G$2:G3335,G3335,$H$2:H3335,"United Kingdom")=1),1,0)</f>
        <v>0</v>
      </c>
    </row>
    <row r="3336" customFormat="false" ht="15" hidden="false" customHeight="false" outlineLevel="0" collapsed="false">
      <c r="A3336" s="0" t="s">
        <v>699</v>
      </c>
      <c r="B3336" s="0" t="s">
        <v>90</v>
      </c>
      <c r="C3336" s="0" t="s">
        <v>91</v>
      </c>
      <c r="D3336" s="0" t="n">
        <v>2</v>
      </c>
      <c r="E3336" s="2" t="n">
        <v>40833.4368055556</v>
      </c>
      <c r="F3336" s="0" t="n">
        <v>3.04</v>
      </c>
      <c r="G3336" s="0" t="n">
        <v>14264</v>
      </c>
      <c r="H3336" s="3" t="s">
        <v>14</v>
      </c>
      <c r="I3336" s="4" t="n">
        <f aca="false">D3336*F3336</f>
        <v>6.08</v>
      </c>
      <c r="J3336" s="3" t="n">
        <f aca="false">IF(AND(LEFT(A3336,1)&lt;&gt;"C",D3336&gt;0,F3336&gt;0),1,0)</f>
        <v>1</v>
      </c>
      <c r="K3336" s="3" t="n">
        <f aca="false">IF(AND(H3336="United Kingdom",G3336&lt;&gt;"",COUNTIFS($G$2:G3336,G3336,$H$2:H3336,"United Kingdom")=1),1,0)</f>
        <v>0</v>
      </c>
    </row>
    <row r="3337" customFormat="false" ht="15" hidden="false" customHeight="false" outlineLevel="0" collapsed="false">
      <c r="A3337" s="0" t="s">
        <v>699</v>
      </c>
      <c r="B3337" s="0" t="s">
        <v>72</v>
      </c>
      <c r="C3337" s="0" t="s">
        <v>73</v>
      </c>
      <c r="D3337" s="0" t="n">
        <v>6</v>
      </c>
      <c r="E3337" s="2" t="n">
        <v>40833.4368055556</v>
      </c>
      <c r="F3337" s="0" t="n">
        <v>2.69</v>
      </c>
      <c r="G3337" s="0" t="n">
        <v>14264</v>
      </c>
      <c r="H3337" s="3" t="s">
        <v>14</v>
      </c>
      <c r="I3337" s="4" t="n">
        <f aca="false">D3337*F3337</f>
        <v>16.14</v>
      </c>
      <c r="J3337" s="3" t="n">
        <f aca="false">IF(AND(LEFT(A3337,1)&lt;&gt;"C",D3337&gt;0,F3337&gt;0),1,0)</f>
        <v>1</v>
      </c>
      <c r="K3337" s="3" t="n">
        <f aca="false">IF(AND(H3337="United Kingdom",G3337&lt;&gt;"",COUNTIFS($G$2:G3337,G3337,$H$2:H3337,"United Kingdom")=1),1,0)</f>
        <v>0</v>
      </c>
    </row>
    <row r="3338" customFormat="false" ht="15" hidden="false" customHeight="false" outlineLevel="0" collapsed="false">
      <c r="A3338" s="0" t="s">
        <v>699</v>
      </c>
      <c r="B3338" s="0" t="s">
        <v>32</v>
      </c>
      <c r="C3338" s="0" t="s">
        <v>33</v>
      </c>
      <c r="D3338" s="0" t="n">
        <v>12</v>
      </c>
      <c r="E3338" s="2" t="n">
        <v>40833.4368055556</v>
      </c>
      <c r="F3338" s="0" t="n">
        <v>1.19</v>
      </c>
      <c r="G3338" s="0" t="n">
        <v>14264</v>
      </c>
      <c r="H3338" s="3" t="s">
        <v>14</v>
      </c>
      <c r="I3338" s="4" t="n">
        <f aca="false">D3338*F3338</f>
        <v>14.28</v>
      </c>
      <c r="J3338" s="3" t="n">
        <f aca="false">IF(AND(LEFT(A3338,1)&lt;&gt;"C",D3338&gt;0,F3338&gt;0),1,0)</f>
        <v>1</v>
      </c>
      <c r="K3338" s="3" t="n">
        <f aca="false">IF(AND(H3338="United Kingdom",G3338&lt;&gt;"",COUNTIFS($G$2:G3338,G3338,$H$2:H3338,"United Kingdom")=1),1,0)</f>
        <v>0</v>
      </c>
    </row>
    <row r="3339" customFormat="false" ht="15" hidden="false" customHeight="false" outlineLevel="0" collapsed="false">
      <c r="A3339" s="0" t="s">
        <v>700</v>
      </c>
      <c r="B3339" s="0" t="s">
        <v>48</v>
      </c>
      <c r="C3339" s="0" t="s">
        <v>49</v>
      </c>
      <c r="D3339" s="0" t="n">
        <v>8</v>
      </c>
      <c r="E3339" s="2" t="n">
        <v>40833.5444444444</v>
      </c>
      <c r="F3339" s="0" t="n">
        <v>1.35</v>
      </c>
      <c r="G3339" s="0" t="n">
        <v>14490</v>
      </c>
      <c r="H3339" s="3" t="s">
        <v>14</v>
      </c>
      <c r="I3339" s="4" t="n">
        <f aca="false">D3339*F3339</f>
        <v>10.8</v>
      </c>
      <c r="J3339" s="3" t="n">
        <f aca="false">IF(AND(LEFT(A3339,1)&lt;&gt;"C",D3339&gt;0,F3339&gt;0),1,0)</f>
        <v>1</v>
      </c>
      <c r="K3339" s="3" t="n">
        <f aca="false">IF(AND(H3339="United Kingdom",G3339&lt;&gt;"",COUNTIFS($G$2:G3339,G3339,$H$2:H3339,"United Kingdom")=1),1,0)</f>
        <v>0</v>
      </c>
    </row>
    <row r="3340" customFormat="false" ht="15" hidden="false" customHeight="false" outlineLevel="0" collapsed="false">
      <c r="A3340" s="0" t="s">
        <v>700</v>
      </c>
      <c r="B3340" s="0" t="s">
        <v>37</v>
      </c>
      <c r="C3340" s="0" t="s">
        <v>38</v>
      </c>
      <c r="D3340" s="0" t="n">
        <v>3</v>
      </c>
      <c r="E3340" s="2" t="n">
        <v>40833.5444444444</v>
      </c>
      <c r="F3340" s="0" t="n">
        <v>1.82</v>
      </c>
      <c r="G3340" s="0" t="n">
        <v>14490</v>
      </c>
      <c r="H3340" s="3" t="s">
        <v>14</v>
      </c>
      <c r="I3340" s="4" t="n">
        <f aca="false">D3340*F3340</f>
        <v>5.46</v>
      </c>
      <c r="J3340" s="3" t="n">
        <f aca="false">IF(AND(LEFT(A3340,1)&lt;&gt;"C",D3340&gt;0,F3340&gt;0),1,0)</f>
        <v>1</v>
      </c>
      <c r="K3340" s="3" t="n">
        <f aca="false">IF(AND(H3340="United Kingdom",G3340&lt;&gt;"",COUNTIFS($G$2:G3340,G3340,$H$2:H3340,"United Kingdom")=1),1,0)</f>
        <v>0</v>
      </c>
    </row>
    <row r="3341" customFormat="false" ht="15" hidden="false" customHeight="false" outlineLevel="0" collapsed="false">
      <c r="A3341" s="0" t="s">
        <v>700</v>
      </c>
      <c r="B3341" s="0" t="s">
        <v>72</v>
      </c>
      <c r="C3341" s="0" t="s">
        <v>73</v>
      </c>
      <c r="D3341" s="0" t="n">
        <v>1</v>
      </c>
      <c r="E3341" s="2" t="n">
        <v>40833.5444444444</v>
      </c>
      <c r="F3341" s="0" t="n">
        <v>2.69</v>
      </c>
      <c r="G3341" s="0" t="n">
        <v>14490</v>
      </c>
      <c r="H3341" s="3" t="s">
        <v>14</v>
      </c>
      <c r="I3341" s="4" t="n">
        <f aca="false">D3341*F3341</f>
        <v>2.69</v>
      </c>
      <c r="J3341" s="3" t="n">
        <f aca="false">IF(AND(LEFT(A3341,1)&lt;&gt;"C",D3341&gt;0,F3341&gt;0),1,0)</f>
        <v>1</v>
      </c>
      <c r="K3341" s="3" t="n">
        <f aca="false">IF(AND(H3341="United Kingdom",G3341&lt;&gt;"",COUNTIFS($G$2:G3341,G3341,$H$2:H3341,"United Kingdom")=1),1,0)</f>
        <v>0</v>
      </c>
    </row>
    <row r="3342" customFormat="false" ht="15" hidden="false" customHeight="false" outlineLevel="0" collapsed="false">
      <c r="A3342" s="0" t="s">
        <v>700</v>
      </c>
      <c r="B3342" s="0" t="s">
        <v>63</v>
      </c>
      <c r="C3342" s="0" t="s">
        <v>64</v>
      </c>
      <c r="D3342" s="0" t="n">
        <v>8</v>
      </c>
      <c r="E3342" s="2" t="n">
        <v>40833.5444444444</v>
      </c>
      <c r="F3342" s="0" t="n">
        <v>2.43</v>
      </c>
      <c r="G3342" s="0" t="n">
        <v>14490</v>
      </c>
      <c r="H3342" s="3" t="s">
        <v>14</v>
      </c>
      <c r="I3342" s="4" t="n">
        <f aca="false">D3342*F3342</f>
        <v>19.44</v>
      </c>
      <c r="J3342" s="3" t="n">
        <f aca="false">IF(AND(LEFT(A3342,1)&lt;&gt;"C",D3342&gt;0,F3342&gt;0),1,0)</f>
        <v>1</v>
      </c>
      <c r="K3342" s="3" t="n">
        <f aca="false">IF(AND(H3342="United Kingdom",G3342&lt;&gt;"",COUNTIFS($G$2:G3342,G3342,$H$2:H3342,"United Kingdom")=1),1,0)</f>
        <v>0</v>
      </c>
    </row>
    <row r="3343" customFormat="false" ht="15" hidden="false" customHeight="false" outlineLevel="0" collapsed="false">
      <c r="A3343" s="0" t="s">
        <v>700</v>
      </c>
      <c r="B3343" s="0" t="s">
        <v>65</v>
      </c>
      <c r="C3343" s="0" t="s">
        <v>66</v>
      </c>
      <c r="D3343" s="0" t="n">
        <v>12</v>
      </c>
      <c r="E3343" s="2" t="n">
        <v>40833.5444444444</v>
      </c>
      <c r="F3343" s="0" t="n">
        <v>4.75</v>
      </c>
      <c r="G3343" s="0" t="n">
        <v>14490</v>
      </c>
      <c r="H3343" s="3" t="s">
        <v>14</v>
      </c>
      <c r="I3343" s="4" t="n">
        <f aca="false">D3343*F3343</f>
        <v>57</v>
      </c>
      <c r="J3343" s="3" t="n">
        <f aca="false">IF(AND(LEFT(A3343,1)&lt;&gt;"C",D3343&gt;0,F3343&gt;0),1,0)</f>
        <v>1</v>
      </c>
      <c r="K3343" s="3" t="n">
        <f aca="false">IF(AND(H3343="United Kingdom",G3343&lt;&gt;"",COUNTIFS($G$2:G3343,G3343,$H$2:H3343,"United Kingdom")=1),1,0)</f>
        <v>0</v>
      </c>
    </row>
    <row r="3344" customFormat="false" ht="15" hidden="false" customHeight="false" outlineLevel="0" collapsed="false">
      <c r="A3344" s="0" t="s">
        <v>700</v>
      </c>
      <c r="B3344" s="0" t="s">
        <v>113</v>
      </c>
      <c r="C3344" s="0" t="s">
        <v>114</v>
      </c>
      <c r="D3344" s="0" t="n">
        <v>6</v>
      </c>
      <c r="E3344" s="2" t="n">
        <v>40833.5444444444</v>
      </c>
      <c r="F3344" s="0" t="n">
        <v>3.57</v>
      </c>
      <c r="G3344" s="0" t="n">
        <v>14490</v>
      </c>
      <c r="H3344" s="3" t="s">
        <v>14</v>
      </c>
      <c r="I3344" s="4" t="n">
        <f aca="false">D3344*F3344</f>
        <v>21.42</v>
      </c>
      <c r="J3344" s="3" t="n">
        <f aca="false">IF(AND(LEFT(A3344,1)&lt;&gt;"C",D3344&gt;0,F3344&gt;0),1,0)</f>
        <v>1</v>
      </c>
      <c r="K3344" s="3" t="n">
        <f aca="false">IF(AND(H3344="United Kingdom",G3344&lt;&gt;"",COUNTIFS($G$2:G3344,G3344,$H$2:H3344,"United Kingdom")=1),1,0)</f>
        <v>0</v>
      </c>
    </row>
    <row r="3345" customFormat="false" ht="15" hidden="false" customHeight="false" outlineLevel="0" collapsed="false">
      <c r="A3345" s="0" t="s">
        <v>701</v>
      </c>
      <c r="B3345" s="0" t="s">
        <v>63</v>
      </c>
      <c r="C3345" s="0" t="s">
        <v>64</v>
      </c>
      <c r="D3345" s="0" t="n">
        <v>2</v>
      </c>
      <c r="E3345" s="2" t="n">
        <v>40833.59375</v>
      </c>
      <c r="F3345" s="0" t="n">
        <v>2.43</v>
      </c>
      <c r="G3345" s="0" t="n">
        <v>12535</v>
      </c>
      <c r="H3345" s="3" t="s">
        <v>120</v>
      </c>
      <c r="I3345" s="4" t="n">
        <f aca="false">D3345*F3345</f>
        <v>4.86</v>
      </c>
      <c r="J3345" s="3" t="n">
        <f aca="false">IF(AND(LEFT(A3345,1)&lt;&gt;"C",D3345&gt;0,F3345&gt;0),1,0)</f>
        <v>1</v>
      </c>
      <c r="K3345" s="3" t="n">
        <f aca="false">IF(AND(H3345="United Kingdom",G3345&lt;&gt;"",COUNTIFS($G$2:G3345,G3345,$H$2:H3345,"United Kingdom")=1),1,0)</f>
        <v>0</v>
      </c>
    </row>
    <row r="3346" customFormat="false" ht="15" hidden="false" customHeight="false" outlineLevel="0" collapsed="false">
      <c r="A3346" s="0" t="s">
        <v>701</v>
      </c>
      <c r="B3346" s="0" t="s">
        <v>22</v>
      </c>
      <c r="C3346" s="0" t="s">
        <v>23</v>
      </c>
      <c r="D3346" s="0" t="n">
        <v>1</v>
      </c>
      <c r="E3346" s="2" t="n">
        <v>40833.59375</v>
      </c>
      <c r="F3346" s="0" t="n">
        <v>3.18</v>
      </c>
      <c r="G3346" s="0" t="n">
        <v>12535</v>
      </c>
      <c r="H3346" s="3" t="s">
        <v>120</v>
      </c>
      <c r="I3346" s="4" t="n">
        <f aca="false">D3346*F3346</f>
        <v>3.18</v>
      </c>
      <c r="J3346" s="3" t="n">
        <f aca="false">IF(AND(LEFT(A3346,1)&lt;&gt;"C",D3346&gt;0,F3346&gt;0),1,0)</f>
        <v>1</v>
      </c>
      <c r="K3346" s="3" t="n">
        <f aca="false">IF(AND(H3346="United Kingdom",G3346&lt;&gt;"",COUNTIFS($G$2:G3346,G3346,$H$2:H3346,"United Kingdom")=1),1,0)</f>
        <v>0</v>
      </c>
    </row>
    <row r="3347" customFormat="false" ht="15" hidden="false" customHeight="false" outlineLevel="0" collapsed="false">
      <c r="A3347" s="0" t="s">
        <v>701</v>
      </c>
      <c r="B3347" s="0" t="s">
        <v>77</v>
      </c>
      <c r="C3347" s="0" t="s">
        <v>78</v>
      </c>
      <c r="D3347" s="0" t="n">
        <v>2</v>
      </c>
      <c r="E3347" s="2" t="n">
        <v>40833.59375</v>
      </c>
      <c r="F3347" s="0" t="n">
        <v>3.41</v>
      </c>
      <c r="G3347" s="0" t="n">
        <v>12535</v>
      </c>
      <c r="H3347" s="3" t="s">
        <v>120</v>
      </c>
      <c r="I3347" s="4" t="n">
        <f aca="false">D3347*F3347</f>
        <v>6.82</v>
      </c>
      <c r="J3347" s="3" t="n">
        <f aca="false">IF(AND(LEFT(A3347,1)&lt;&gt;"C",D3347&gt;0,F3347&gt;0),1,0)</f>
        <v>1</v>
      </c>
      <c r="K3347" s="3" t="n">
        <f aca="false">IF(AND(H3347="United Kingdom",G3347&lt;&gt;"",COUNTIFS($G$2:G3347,G3347,$H$2:H3347,"United Kingdom")=1),1,0)</f>
        <v>0</v>
      </c>
    </row>
    <row r="3348" customFormat="false" ht="15" hidden="false" customHeight="false" outlineLevel="0" collapsed="false">
      <c r="A3348" s="0" t="s">
        <v>702</v>
      </c>
      <c r="B3348" s="0" t="s">
        <v>15</v>
      </c>
      <c r="C3348" s="0" t="s">
        <v>16</v>
      </c>
      <c r="D3348" s="0" t="n">
        <v>3</v>
      </c>
      <c r="E3348" s="2" t="n">
        <v>40834.3722222222</v>
      </c>
      <c r="F3348" s="0" t="n">
        <v>3.18</v>
      </c>
      <c r="G3348" s="0" t="n">
        <v>17892</v>
      </c>
      <c r="H3348" s="3" t="s">
        <v>14</v>
      </c>
      <c r="I3348" s="4" t="n">
        <f aca="false">D3348*F3348</f>
        <v>9.54</v>
      </c>
      <c r="J3348" s="3" t="n">
        <f aca="false">IF(AND(LEFT(A3348,1)&lt;&gt;"C",D3348&gt;0,F3348&gt;0),1,0)</f>
        <v>1</v>
      </c>
      <c r="K3348" s="3" t="n">
        <f aca="false">IF(AND(H3348="United Kingdom",G3348&lt;&gt;"",COUNTIFS($G$2:G3348,G3348,$H$2:H3348,"United Kingdom")=1),1,0)</f>
        <v>0</v>
      </c>
    </row>
    <row r="3349" customFormat="false" ht="15" hidden="false" customHeight="false" outlineLevel="0" collapsed="false">
      <c r="A3349" s="0" t="s">
        <v>703</v>
      </c>
      <c r="B3349" s="0" t="s">
        <v>29</v>
      </c>
      <c r="C3349" s="0" t="s">
        <v>30</v>
      </c>
      <c r="D3349" s="0" t="n">
        <v>12</v>
      </c>
      <c r="E3349" s="2" t="n">
        <v>40834.4</v>
      </c>
      <c r="F3349" s="0" t="n">
        <v>5.79</v>
      </c>
      <c r="G3349" s="0" t="n">
        <v>18118</v>
      </c>
      <c r="H3349" s="3" t="s">
        <v>124</v>
      </c>
      <c r="I3349" s="4" t="n">
        <f aca="false">D3349*F3349</f>
        <v>69.48</v>
      </c>
      <c r="J3349" s="3" t="n">
        <f aca="false">IF(AND(LEFT(A3349,1)&lt;&gt;"C",D3349&gt;0,F3349&gt;0),1,0)</f>
        <v>1</v>
      </c>
      <c r="K3349" s="3" t="n">
        <f aca="false">IF(AND(H3349="United Kingdom",G3349&lt;&gt;"",COUNTIFS($G$2:G3349,G3349,$H$2:H3349,"United Kingdom")=1),1,0)</f>
        <v>0</v>
      </c>
    </row>
    <row r="3350" customFormat="false" ht="15" hidden="false" customHeight="false" outlineLevel="0" collapsed="false">
      <c r="A3350" s="0" t="s">
        <v>703</v>
      </c>
      <c r="B3350" s="0" t="s">
        <v>20</v>
      </c>
      <c r="C3350" s="0" t="s">
        <v>21</v>
      </c>
      <c r="D3350" s="0" t="n">
        <v>24</v>
      </c>
      <c r="E3350" s="2" t="n">
        <v>40834.4</v>
      </c>
      <c r="F3350" s="0" t="n">
        <v>4.24</v>
      </c>
      <c r="G3350" s="0" t="n">
        <v>18118</v>
      </c>
      <c r="H3350" s="3" t="s">
        <v>124</v>
      </c>
      <c r="I3350" s="4" t="n">
        <f aca="false">D3350*F3350</f>
        <v>101.76</v>
      </c>
      <c r="J3350" s="3" t="n">
        <f aca="false">IF(AND(LEFT(A3350,1)&lt;&gt;"C",D3350&gt;0,F3350&gt;0),1,0)</f>
        <v>1</v>
      </c>
      <c r="K3350" s="3" t="n">
        <f aca="false">IF(AND(H3350="United Kingdom",G3350&lt;&gt;"",COUNTIFS($G$2:G3350,G3350,$H$2:H3350,"United Kingdom")=1),1,0)</f>
        <v>0</v>
      </c>
    </row>
    <row r="3351" customFormat="false" ht="15" hidden="false" customHeight="false" outlineLevel="0" collapsed="false">
      <c r="A3351" s="0" t="s">
        <v>704</v>
      </c>
      <c r="B3351" s="0" t="s">
        <v>22</v>
      </c>
      <c r="C3351" s="0" t="s">
        <v>23</v>
      </c>
      <c r="D3351" s="0" t="n">
        <v>8</v>
      </c>
      <c r="E3351" s="2" t="n">
        <v>40834.4208333333</v>
      </c>
      <c r="F3351" s="0" t="n">
        <v>3.18</v>
      </c>
      <c r="G3351" s="0" t="n">
        <v>13911</v>
      </c>
      <c r="H3351" s="3" t="s">
        <v>14</v>
      </c>
      <c r="I3351" s="4" t="n">
        <f aca="false">D3351*F3351</f>
        <v>25.44</v>
      </c>
      <c r="J3351" s="3" t="n">
        <f aca="false">IF(AND(LEFT(A3351,1)&lt;&gt;"C",D3351&gt;0,F3351&gt;0),1,0)</f>
        <v>1</v>
      </c>
      <c r="K3351" s="3" t="n">
        <f aca="false">IF(AND(H3351="United Kingdom",G3351&lt;&gt;"",COUNTIFS($G$2:G3351,G3351,$H$2:H3351,"United Kingdom")=1),1,0)</f>
        <v>0</v>
      </c>
    </row>
    <row r="3352" customFormat="false" ht="15" hidden="false" customHeight="false" outlineLevel="0" collapsed="false">
      <c r="A3352" s="0" t="s">
        <v>704</v>
      </c>
      <c r="B3352" s="0" t="s">
        <v>12</v>
      </c>
      <c r="C3352" s="0" t="s">
        <v>13</v>
      </c>
      <c r="D3352" s="0" t="n">
        <v>2</v>
      </c>
      <c r="E3352" s="2" t="n">
        <v>40834.4208333333</v>
      </c>
      <c r="F3352" s="0" t="n">
        <v>3.33</v>
      </c>
      <c r="G3352" s="0" t="n">
        <v>13911</v>
      </c>
      <c r="H3352" s="3" t="s">
        <v>14</v>
      </c>
      <c r="I3352" s="4" t="n">
        <f aca="false">D3352*F3352</f>
        <v>6.66</v>
      </c>
      <c r="J3352" s="3" t="n">
        <f aca="false">IF(AND(LEFT(A3352,1)&lt;&gt;"C",D3352&gt;0,F3352&gt;0),1,0)</f>
        <v>1</v>
      </c>
      <c r="K3352" s="3" t="n">
        <f aca="false">IF(AND(H3352="United Kingdom",G3352&lt;&gt;"",COUNTIFS($G$2:G3352,G3352,$H$2:H3352,"United Kingdom")=1),1,0)</f>
        <v>0</v>
      </c>
    </row>
    <row r="3353" customFormat="false" ht="15" hidden="false" customHeight="false" outlineLevel="0" collapsed="false">
      <c r="A3353" s="0" t="s">
        <v>704</v>
      </c>
      <c r="B3353" s="0" t="s">
        <v>15</v>
      </c>
      <c r="C3353" s="0" t="s">
        <v>16</v>
      </c>
      <c r="D3353" s="0" t="n">
        <v>2</v>
      </c>
      <c r="E3353" s="2" t="n">
        <v>40834.4208333333</v>
      </c>
      <c r="F3353" s="0" t="n">
        <v>3.18</v>
      </c>
      <c r="G3353" s="0" t="n">
        <v>13911</v>
      </c>
      <c r="H3353" s="3" t="s">
        <v>14</v>
      </c>
      <c r="I3353" s="4" t="n">
        <f aca="false">D3353*F3353</f>
        <v>6.36</v>
      </c>
      <c r="J3353" s="3" t="n">
        <f aca="false">IF(AND(LEFT(A3353,1)&lt;&gt;"C",D3353&gt;0,F3353&gt;0),1,0)</f>
        <v>1</v>
      </c>
      <c r="K3353" s="3" t="n">
        <f aca="false">IF(AND(H3353="United Kingdom",G3353&lt;&gt;"",COUNTIFS($G$2:G3353,G3353,$H$2:H3353,"United Kingdom")=1),1,0)</f>
        <v>0</v>
      </c>
    </row>
    <row r="3354" customFormat="false" ht="15" hidden="false" customHeight="false" outlineLevel="0" collapsed="false">
      <c r="A3354" s="0" t="s">
        <v>705</v>
      </c>
      <c r="B3354" s="0" t="s">
        <v>113</v>
      </c>
      <c r="C3354" s="0" t="s">
        <v>114</v>
      </c>
      <c r="D3354" s="0" t="n">
        <v>2</v>
      </c>
      <c r="E3354" s="2" t="n">
        <v>40834.4229166667</v>
      </c>
      <c r="F3354" s="0" t="n">
        <v>3.57</v>
      </c>
      <c r="G3354" s="0" t="n">
        <v>14163</v>
      </c>
      <c r="H3354" s="3" t="s">
        <v>14</v>
      </c>
      <c r="I3354" s="4" t="n">
        <f aca="false">D3354*F3354</f>
        <v>7.14</v>
      </c>
      <c r="J3354" s="3" t="n">
        <f aca="false">IF(AND(LEFT(A3354,1)&lt;&gt;"C",D3354&gt;0,F3354&gt;0),1,0)</f>
        <v>1</v>
      </c>
      <c r="K3354" s="3" t="n">
        <f aca="false">IF(AND(H3354="United Kingdom",G3354&lt;&gt;"",COUNTIFS($G$2:G3354,G3354,$H$2:H3354,"United Kingdom")=1),1,0)</f>
        <v>0</v>
      </c>
    </row>
    <row r="3355" customFormat="false" ht="15" hidden="false" customHeight="false" outlineLevel="0" collapsed="false">
      <c r="A3355" s="0" t="s">
        <v>706</v>
      </c>
      <c r="B3355" s="0" t="s">
        <v>22</v>
      </c>
      <c r="C3355" s="0" t="s">
        <v>23</v>
      </c>
      <c r="D3355" s="0" t="n">
        <v>24</v>
      </c>
      <c r="E3355" s="2" t="n">
        <v>40834.4930555556</v>
      </c>
      <c r="F3355" s="0" t="n">
        <v>3.18</v>
      </c>
      <c r="H3355" s="3" t="s">
        <v>14</v>
      </c>
      <c r="I3355" s="4" t="n">
        <f aca="false">D3355*F3355</f>
        <v>76.32</v>
      </c>
      <c r="J3355" s="3" t="n">
        <f aca="false">IF(AND(LEFT(A3355,1)&lt;&gt;"C",D3355&gt;0,F3355&gt;0),1,0)</f>
        <v>1</v>
      </c>
      <c r="K3355" s="3" t="n">
        <f aca="false">IF(AND(H3355="United Kingdom",G3355&lt;&gt;"",COUNTIFS($G$2:G3355,G3355,$H$2:H3355,"United Kingdom")=1),1,0)</f>
        <v>0</v>
      </c>
    </row>
    <row r="3356" customFormat="false" ht="15" hidden="false" customHeight="false" outlineLevel="0" collapsed="false">
      <c r="A3356" s="0" t="s">
        <v>706</v>
      </c>
      <c r="B3356" s="0" t="s">
        <v>72</v>
      </c>
      <c r="C3356" s="0" t="s">
        <v>73</v>
      </c>
      <c r="D3356" s="0" t="n">
        <v>12</v>
      </c>
      <c r="E3356" s="2" t="n">
        <v>40834.4930555556</v>
      </c>
      <c r="F3356" s="0" t="n">
        <v>2.69</v>
      </c>
      <c r="H3356" s="3" t="s">
        <v>14</v>
      </c>
      <c r="I3356" s="4" t="n">
        <f aca="false">D3356*F3356</f>
        <v>32.28</v>
      </c>
      <c r="J3356" s="3" t="n">
        <f aca="false">IF(AND(LEFT(A3356,1)&lt;&gt;"C",D3356&gt;0,F3356&gt;0),1,0)</f>
        <v>1</v>
      </c>
      <c r="K3356" s="3" t="n">
        <f aca="false">IF(AND(H3356="United Kingdom",G3356&lt;&gt;"",COUNTIFS($G$2:G3356,G3356,$H$2:H3356,"United Kingdom")=1),1,0)</f>
        <v>0</v>
      </c>
    </row>
    <row r="3357" customFormat="false" ht="15" hidden="false" customHeight="false" outlineLevel="0" collapsed="false">
      <c r="A3357" s="0" t="s">
        <v>706</v>
      </c>
      <c r="B3357" s="0" t="s">
        <v>29</v>
      </c>
      <c r="C3357" s="0" t="s">
        <v>30</v>
      </c>
      <c r="D3357" s="0" t="n">
        <v>2</v>
      </c>
      <c r="E3357" s="2" t="n">
        <v>40834.4930555556</v>
      </c>
      <c r="F3357" s="0" t="n">
        <v>5.79</v>
      </c>
      <c r="H3357" s="3" t="s">
        <v>14</v>
      </c>
      <c r="I3357" s="4" t="n">
        <f aca="false">D3357*F3357</f>
        <v>11.58</v>
      </c>
      <c r="J3357" s="3" t="n">
        <f aca="false">IF(AND(LEFT(A3357,1)&lt;&gt;"C",D3357&gt;0,F3357&gt;0),1,0)</f>
        <v>1</v>
      </c>
      <c r="K3357" s="3" t="n">
        <f aca="false">IF(AND(H3357="United Kingdom",G3357&lt;&gt;"",COUNTIFS($G$2:G3357,G3357,$H$2:H3357,"United Kingdom")=1),1,0)</f>
        <v>0</v>
      </c>
    </row>
    <row r="3358" customFormat="false" ht="15" hidden="false" customHeight="false" outlineLevel="0" collapsed="false">
      <c r="A3358" s="0" t="s">
        <v>707</v>
      </c>
      <c r="B3358" s="0" t="s">
        <v>22</v>
      </c>
      <c r="C3358" s="0" t="s">
        <v>23</v>
      </c>
      <c r="D3358" s="0" t="n">
        <v>2</v>
      </c>
      <c r="E3358" s="2" t="n">
        <v>40834.5048611111</v>
      </c>
      <c r="F3358" s="0" t="n">
        <v>3.18</v>
      </c>
      <c r="G3358" s="0" t="n">
        <v>14601</v>
      </c>
      <c r="H3358" s="3" t="s">
        <v>14</v>
      </c>
      <c r="I3358" s="4" t="n">
        <f aca="false">D3358*F3358</f>
        <v>6.36</v>
      </c>
      <c r="J3358" s="3" t="n">
        <f aca="false">IF(AND(LEFT(A3358,1)&lt;&gt;"C",D3358&gt;0,F3358&gt;0),1,0)</f>
        <v>1</v>
      </c>
      <c r="K3358" s="3" t="n">
        <f aca="false">IF(AND(H3358="United Kingdom",G3358&lt;&gt;"",COUNTIFS($G$2:G3358,G3358,$H$2:H3358,"United Kingdom")=1),1,0)</f>
        <v>0</v>
      </c>
    </row>
    <row r="3359" customFormat="false" ht="15" hidden="false" customHeight="false" outlineLevel="0" collapsed="false">
      <c r="A3359" s="0" t="s">
        <v>707</v>
      </c>
      <c r="B3359" s="0" t="s">
        <v>39</v>
      </c>
      <c r="C3359" s="0" t="s">
        <v>40</v>
      </c>
      <c r="D3359" s="0" t="n">
        <v>3</v>
      </c>
      <c r="E3359" s="2" t="n">
        <v>40834.5048611111</v>
      </c>
      <c r="F3359" s="0" t="n">
        <v>2.58</v>
      </c>
      <c r="G3359" s="0" t="n">
        <v>14601</v>
      </c>
      <c r="H3359" s="3" t="s">
        <v>14</v>
      </c>
      <c r="I3359" s="4" t="n">
        <f aca="false">D3359*F3359</f>
        <v>7.74</v>
      </c>
      <c r="J3359" s="3" t="n">
        <f aca="false">IF(AND(LEFT(A3359,1)&lt;&gt;"C",D3359&gt;0,F3359&gt;0),1,0)</f>
        <v>1</v>
      </c>
      <c r="K3359" s="3" t="n">
        <f aca="false">IF(AND(H3359="United Kingdom",G3359&lt;&gt;"",COUNTIFS($G$2:G3359,G3359,$H$2:H3359,"United Kingdom")=1),1,0)</f>
        <v>0</v>
      </c>
    </row>
    <row r="3360" customFormat="false" ht="15" hidden="false" customHeight="false" outlineLevel="0" collapsed="false">
      <c r="A3360" s="0" t="s">
        <v>707</v>
      </c>
      <c r="B3360" s="0" t="s">
        <v>20</v>
      </c>
      <c r="C3360" s="0" t="s">
        <v>21</v>
      </c>
      <c r="D3360" s="0" t="n">
        <v>8</v>
      </c>
      <c r="E3360" s="2" t="n">
        <v>40834.5048611111</v>
      </c>
      <c r="F3360" s="0" t="n">
        <v>4.24</v>
      </c>
      <c r="G3360" s="0" t="n">
        <v>14601</v>
      </c>
      <c r="H3360" s="3" t="s">
        <v>14</v>
      </c>
      <c r="I3360" s="4" t="n">
        <f aca="false">D3360*F3360</f>
        <v>33.92</v>
      </c>
      <c r="J3360" s="3" t="n">
        <f aca="false">IF(AND(LEFT(A3360,1)&lt;&gt;"C",D3360&gt;0,F3360&gt;0),1,0)</f>
        <v>1</v>
      </c>
      <c r="K3360" s="3" t="n">
        <f aca="false">IF(AND(H3360="United Kingdom",G3360&lt;&gt;"",COUNTIFS($G$2:G3360,G3360,$H$2:H3360,"United Kingdom")=1),1,0)</f>
        <v>0</v>
      </c>
    </row>
    <row r="3361" customFormat="false" ht="15" hidden="false" customHeight="false" outlineLevel="0" collapsed="false">
      <c r="A3361" s="0" t="s">
        <v>707</v>
      </c>
      <c r="B3361" s="0" t="s">
        <v>43</v>
      </c>
      <c r="C3361" s="0" t="s">
        <v>44</v>
      </c>
      <c r="D3361" s="0" t="n">
        <v>24</v>
      </c>
      <c r="E3361" s="2" t="n">
        <v>40834.5048611111</v>
      </c>
      <c r="F3361" s="0" t="n">
        <v>1.35</v>
      </c>
      <c r="G3361" s="0" t="n">
        <v>14601</v>
      </c>
      <c r="H3361" s="3" t="s">
        <v>14</v>
      </c>
      <c r="I3361" s="4" t="n">
        <f aca="false">D3361*F3361</f>
        <v>32.4</v>
      </c>
      <c r="J3361" s="3" t="n">
        <f aca="false">IF(AND(LEFT(A3361,1)&lt;&gt;"C",D3361&gt;0,F3361&gt;0),1,0)</f>
        <v>1</v>
      </c>
      <c r="K3361" s="3" t="n">
        <f aca="false">IF(AND(H3361="United Kingdom",G3361&lt;&gt;"",COUNTIFS($G$2:G3361,G3361,$H$2:H3361,"United Kingdom")=1),1,0)</f>
        <v>0</v>
      </c>
    </row>
    <row r="3362" customFormat="false" ht="15" hidden="false" customHeight="false" outlineLevel="0" collapsed="false">
      <c r="A3362" s="0" t="s">
        <v>707</v>
      </c>
      <c r="B3362" s="0" t="s">
        <v>41</v>
      </c>
      <c r="C3362" s="0" t="s">
        <v>42</v>
      </c>
      <c r="D3362" s="0" t="n">
        <v>12</v>
      </c>
      <c r="E3362" s="2" t="n">
        <v>40834.5048611111</v>
      </c>
      <c r="F3362" s="0" t="n">
        <v>3.28</v>
      </c>
      <c r="G3362" s="0" t="n">
        <v>14601</v>
      </c>
      <c r="H3362" s="3" t="s">
        <v>14</v>
      </c>
      <c r="I3362" s="4" t="n">
        <f aca="false">D3362*F3362</f>
        <v>39.36</v>
      </c>
      <c r="J3362" s="3" t="n">
        <f aca="false">IF(AND(LEFT(A3362,1)&lt;&gt;"C",D3362&gt;0,F3362&gt;0),1,0)</f>
        <v>1</v>
      </c>
      <c r="K3362" s="3" t="n">
        <f aca="false">IF(AND(H3362="United Kingdom",G3362&lt;&gt;"",COUNTIFS($G$2:G3362,G3362,$H$2:H3362,"United Kingdom")=1),1,0)</f>
        <v>0</v>
      </c>
    </row>
    <row r="3363" customFormat="false" ht="15" hidden="false" customHeight="false" outlineLevel="0" collapsed="false">
      <c r="A3363" s="0" t="s">
        <v>707</v>
      </c>
      <c r="B3363" s="0" t="s">
        <v>63</v>
      </c>
      <c r="C3363" s="0" t="s">
        <v>64</v>
      </c>
      <c r="D3363" s="0" t="n">
        <v>4</v>
      </c>
      <c r="E3363" s="2" t="n">
        <v>40834.5048611111</v>
      </c>
      <c r="F3363" s="0" t="n">
        <v>2.43</v>
      </c>
      <c r="G3363" s="0" t="n">
        <v>14601</v>
      </c>
      <c r="H3363" s="3" t="s">
        <v>14</v>
      </c>
      <c r="I3363" s="4" t="n">
        <f aca="false">D3363*F3363</f>
        <v>9.72</v>
      </c>
      <c r="J3363" s="3" t="n">
        <f aca="false">IF(AND(LEFT(A3363,1)&lt;&gt;"C",D3363&gt;0,F3363&gt;0),1,0)</f>
        <v>1</v>
      </c>
      <c r="K3363" s="3" t="n">
        <f aca="false">IF(AND(H3363="United Kingdom",G3363&lt;&gt;"",COUNTIFS($G$2:G3363,G3363,$H$2:H3363,"United Kingdom")=1),1,0)</f>
        <v>0</v>
      </c>
    </row>
    <row r="3364" customFormat="false" ht="15" hidden="false" customHeight="false" outlineLevel="0" collapsed="false">
      <c r="A3364" s="0" t="s">
        <v>707</v>
      </c>
      <c r="B3364" s="0" t="s">
        <v>65</v>
      </c>
      <c r="C3364" s="0" t="s">
        <v>66</v>
      </c>
      <c r="D3364" s="0" t="n">
        <v>12</v>
      </c>
      <c r="E3364" s="2" t="n">
        <v>40834.5048611111</v>
      </c>
      <c r="F3364" s="0" t="n">
        <v>4.75</v>
      </c>
      <c r="G3364" s="0" t="n">
        <v>14601</v>
      </c>
      <c r="H3364" s="3" t="s">
        <v>14</v>
      </c>
      <c r="I3364" s="4" t="n">
        <f aca="false">D3364*F3364</f>
        <v>57</v>
      </c>
      <c r="J3364" s="3" t="n">
        <f aca="false">IF(AND(LEFT(A3364,1)&lt;&gt;"C",D3364&gt;0,F3364&gt;0),1,0)</f>
        <v>1</v>
      </c>
      <c r="K3364" s="3" t="n">
        <f aca="false">IF(AND(H3364="United Kingdom",G3364&lt;&gt;"",COUNTIFS($G$2:G3364,G3364,$H$2:H3364,"United Kingdom")=1),1,0)</f>
        <v>0</v>
      </c>
    </row>
    <row r="3365" customFormat="false" ht="15" hidden="false" customHeight="false" outlineLevel="0" collapsed="false">
      <c r="A3365" s="0" t="s">
        <v>707</v>
      </c>
      <c r="B3365" s="0" t="s">
        <v>113</v>
      </c>
      <c r="C3365" s="0" t="s">
        <v>114</v>
      </c>
      <c r="D3365" s="0" t="n">
        <v>2</v>
      </c>
      <c r="E3365" s="2" t="n">
        <v>40834.5048611111</v>
      </c>
      <c r="F3365" s="0" t="n">
        <v>3.57</v>
      </c>
      <c r="G3365" s="0" t="n">
        <v>14601</v>
      </c>
      <c r="H3365" s="3" t="s">
        <v>14</v>
      </c>
      <c r="I3365" s="4" t="n">
        <f aca="false">D3365*F3365</f>
        <v>7.14</v>
      </c>
      <c r="J3365" s="3" t="n">
        <f aca="false">IF(AND(LEFT(A3365,1)&lt;&gt;"C",D3365&gt;0,F3365&gt;0),1,0)</f>
        <v>1</v>
      </c>
      <c r="K3365" s="3" t="n">
        <f aca="false">IF(AND(H3365="United Kingdom",G3365&lt;&gt;"",COUNTIFS($G$2:G3365,G3365,$H$2:H3365,"United Kingdom")=1),1,0)</f>
        <v>0</v>
      </c>
    </row>
    <row r="3366" customFormat="false" ht="15" hidden="false" customHeight="false" outlineLevel="0" collapsed="false">
      <c r="A3366" s="0" t="s">
        <v>707</v>
      </c>
      <c r="B3366" s="0" t="s">
        <v>80</v>
      </c>
      <c r="C3366" s="0" t="s">
        <v>81</v>
      </c>
      <c r="D3366" s="0" t="n">
        <v>24</v>
      </c>
      <c r="E3366" s="2" t="n">
        <v>40834.5048611111</v>
      </c>
      <c r="F3366" s="0" t="n">
        <v>1.53</v>
      </c>
      <c r="G3366" s="0" t="n">
        <v>14601</v>
      </c>
      <c r="H3366" s="3" t="s">
        <v>14</v>
      </c>
      <c r="I3366" s="4" t="n">
        <f aca="false">D3366*F3366</f>
        <v>36.72</v>
      </c>
      <c r="J3366" s="3" t="n">
        <f aca="false">IF(AND(LEFT(A3366,1)&lt;&gt;"C",D3366&gt;0,F3366&gt;0),1,0)</f>
        <v>1</v>
      </c>
      <c r="K3366" s="3" t="n">
        <f aca="false">IF(AND(H3366="United Kingdom",G3366&lt;&gt;"",COUNTIFS($G$2:G3366,G3366,$H$2:H3366,"United Kingdom")=1),1,0)</f>
        <v>0</v>
      </c>
    </row>
    <row r="3367" customFormat="false" ht="15" hidden="false" customHeight="false" outlineLevel="0" collapsed="false">
      <c r="A3367" s="0" t="s">
        <v>708</v>
      </c>
      <c r="B3367" s="0" t="s">
        <v>50</v>
      </c>
      <c r="C3367" s="0" t="s">
        <v>51</v>
      </c>
      <c r="D3367" s="0" t="n">
        <v>4</v>
      </c>
      <c r="E3367" s="2" t="n">
        <v>40834.5131944444</v>
      </c>
      <c r="F3367" s="0" t="n">
        <v>5.41</v>
      </c>
      <c r="H3367" s="3" t="s">
        <v>14</v>
      </c>
      <c r="I3367" s="4" t="n">
        <f aca="false">D3367*F3367</f>
        <v>21.64</v>
      </c>
      <c r="J3367" s="3" t="n">
        <f aca="false">IF(AND(LEFT(A3367,1)&lt;&gt;"C",D3367&gt;0,F3367&gt;0),1,0)</f>
        <v>1</v>
      </c>
      <c r="K3367" s="3" t="n">
        <f aca="false">IF(AND(H3367="United Kingdom",G3367&lt;&gt;"",COUNTIFS($G$2:G3367,G3367,$H$2:H3367,"United Kingdom")=1),1,0)</f>
        <v>0</v>
      </c>
    </row>
    <row r="3368" customFormat="false" ht="15" hidden="false" customHeight="false" outlineLevel="0" collapsed="false">
      <c r="A3368" s="0" t="s">
        <v>708</v>
      </c>
      <c r="B3368" s="0" t="s">
        <v>72</v>
      </c>
      <c r="C3368" s="0" t="s">
        <v>73</v>
      </c>
      <c r="D3368" s="0" t="n">
        <v>2</v>
      </c>
      <c r="E3368" s="2" t="n">
        <v>40834.5131944444</v>
      </c>
      <c r="F3368" s="0" t="n">
        <v>2.69</v>
      </c>
      <c r="H3368" s="3" t="s">
        <v>14</v>
      </c>
      <c r="I3368" s="4" t="n">
        <f aca="false">D3368*F3368</f>
        <v>5.38</v>
      </c>
      <c r="J3368" s="3" t="n">
        <f aca="false">IF(AND(LEFT(A3368,1)&lt;&gt;"C",D3368&gt;0,F3368&gt;0),1,0)</f>
        <v>1</v>
      </c>
      <c r="K3368" s="3" t="n">
        <f aca="false">IF(AND(H3368="United Kingdom",G3368&lt;&gt;"",COUNTIFS($G$2:G3368,G3368,$H$2:H3368,"United Kingdom")=1),1,0)</f>
        <v>0</v>
      </c>
    </row>
    <row r="3369" customFormat="false" ht="15" hidden="false" customHeight="false" outlineLevel="0" collapsed="false">
      <c r="A3369" s="0" t="s">
        <v>708</v>
      </c>
      <c r="B3369" s="0" t="s">
        <v>45</v>
      </c>
      <c r="C3369" s="0" t="s">
        <v>46</v>
      </c>
      <c r="D3369" s="0" t="n">
        <v>16</v>
      </c>
      <c r="E3369" s="2" t="n">
        <v>40834.5131944444</v>
      </c>
      <c r="F3369" s="0" t="n">
        <v>4.55</v>
      </c>
      <c r="H3369" s="3" t="s">
        <v>14</v>
      </c>
      <c r="I3369" s="4" t="n">
        <f aca="false">D3369*F3369</f>
        <v>72.8</v>
      </c>
      <c r="J3369" s="3" t="n">
        <f aca="false">IF(AND(LEFT(A3369,1)&lt;&gt;"C",D3369&gt;0,F3369&gt;0),1,0)</f>
        <v>1</v>
      </c>
      <c r="K3369" s="3" t="n">
        <f aca="false">IF(AND(H3369="United Kingdom",G3369&lt;&gt;"",COUNTIFS($G$2:G3369,G3369,$H$2:H3369,"United Kingdom")=1),1,0)</f>
        <v>0</v>
      </c>
    </row>
    <row r="3370" customFormat="false" ht="15" hidden="false" customHeight="false" outlineLevel="0" collapsed="false">
      <c r="A3370" s="0" t="s">
        <v>708</v>
      </c>
      <c r="B3370" s="0" t="s">
        <v>15</v>
      </c>
      <c r="C3370" s="0" t="s">
        <v>16</v>
      </c>
      <c r="D3370" s="0" t="n">
        <v>12</v>
      </c>
      <c r="E3370" s="2" t="n">
        <v>40834.5131944444</v>
      </c>
      <c r="F3370" s="0" t="n">
        <v>3.18</v>
      </c>
      <c r="H3370" s="3" t="s">
        <v>14</v>
      </c>
      <c r="I3370" s="4" t="n">
        <f aca="false">D3370*F3370</f>
        <v>38.16</v>
      </c>
      <c r="J3370" s="3" t="n">
        <f aca="false">IF(AND(LEFT(A3370,1)&lt;&gt;"C",D3370&gt;0,F3370&gt;0),1,0)</f>
        <v>1</v>
      </c>
      <c r="K3370" s="3" t="n">
        <f aca="false">IF(AND(H3370="United Kingdom",G3370&lt;&gt;"",COUNTIFS($G$2:G3370,G3370,$H$2:H3370,"United Kingdom")=1),1,0)</f>
        <v>0</v>
      </c>
    </row>
    <row r="3371" customFormat="false" ht="15" hidden="false" customHeight="false" outlineLevel="0" collapsed="false">
      <c r="A3371" s="0" t="s">
        <v>708</v>
      </c>
      <c r="B3371" s="0" t="s">
        <v>41</v>
      </c>
      <c r="C3371" s="0" t="s">
        <v>42</v>
      </c>
      <c r="D3371" s="0" t="n">
        <v>8</v>
      </c>
      <c r="E3371" s="2" t="n">
        <v>40834.5131944444</v>
      </c>
      <c r="F3371" s="0" t="n">
        <v>3.28</v>
      </c>
      <c r="H3371" s="3" t="s">
        <v>14</v>
      </c>
      <c r="I3371" s="4" t="n">
        <f aca="false">D3371*F3371</f>
        <v>26.24</v>
      </c>
      <c r="J3371" s="3" t="n">
        <f aca="false">IF(AND(LEFT(A3371,1)&lt;&gt;"C",D3371&gt;0,F3371&gt;0),1,0)</f>
        <v>1</v>
      </c>
      <c r="K3371" s="3" t="n">
        <f aca="false">IF(AND(H3371="United Kingdom",G3371&lt;&gt;"",COUNTIFS($G$2:G3371,G3371,$H$2:H3371,"United Kingdom")=1),1,0)</f>
        <v>0</v>
      </c>
    </row>
    <row r="3372" customFormat="false" ht="15" hidden="false" customHeight="false" outlineLevel="0" collapsed="false">
      <c r="A3372" s="0" t="s">
        <v>708</v>
      </c>
      <c r="B3372" s="0" t="s">
        <v>75</v>
      </c>
      <c r="C3372" s="0" t="s">
        <v>76</v>
      </c>
      <c r="D3372" s="0" t="n">
        <v>12</v>
      </c>
      <c r="E3372" s="2" t="n">
        <v>40834.5131944444</v>
      </c>
      <c r="F3372" s="0" t="n">
        <v>1.97</v>
      </c>
      <c r="H3372" s="3" t="s">
        <v>14</v>
      </c>
      <c r="I3372" s="4" t="n">
        <f aca="false">D3372*F3372</f>
        <v>23.64</v>
      </c>
      <c r="J3372" s="3" t="n">
        <f aca="false">IF(AND(LEFT(A3372,1)&lt;&gt;"C",D3372&gt;0,F3372&gt;0),1,0)</f>
        <v>1</v>
      </c>
      <c r="K3372" s="3" t="n">
        <f aca="false">IF(AND(H3372="United Kingdom",G3372&lt;&gt;"",COUNTIFS($G$2:G3372,G3372,$H$2:H3372,"United Kingdom")=1),1,0)</f>
        <v>0</v>
      </c>
    </row>
    <row r="3373" customFormat="false" ht="15" hidden="false" customHeight="false" outlineLevel="0" collapsed="false">
      <c r="A3373" s="0" t="s">
        <v>708</v>
      </c>
      <c r="B3373" s="0" t="s">
        <v>48</v>
      </c>
      <c r="C3373" s="0" t="s">
        <v>49</v>
      </c>
      <c r="D3373" s="0" t="n">
        <v>6</v>
      </c>
      <c r="E3373" s="2" t="n">
        <v>40834.5131944444</v>
      </c>
      <c r="F3373" s="0" t="n">
        <v>1.35</v>
      </c>
      <c r="H3373" s="3" t="s">
        <v>14</v>
      </c>
      <c r="I3373" s="4" t="n">
        <f aca="false">D3373*F3373</f>
        <v>8.1</v>
      </c>
      <c r="J3373" s="3" t="n">
        <f aca="false">IF(AND(LEFT(A3373,1)&lt;&gt;"C",D3373&gt;0,F3373&gt;0),1,0)</f>
        <v>1</v>
      </c>
      <c r="K3373" s="3" t="n">
        <f aca="false">IF(AND(H3373="United Kingdom",G3373&lt;&gt;"",COUNTIFS($G$2:G3373,G3373,$H$2:H3373,"United Kingdom")=1),1,0)</f>
        <v>0</v>
      </c>
    </row>
    <row r="3374" customFormat="false" ht="15" hidden="false" customHeight="false" outlineLevel="0" collapsed="false">
      <c r="A3374" s="0" t="s">
        <v>708</v>
      </c>
      <c r="B3374" s="0" t="s">
        <v>29</v>
      </c>
      <c r="C3374" s="0" t="s">
        <v>30</v>
      </c>
      <c r="D3374" s="0" t="n">
        <v>2</v>
      </c>
      <c r="E3374" s="2" t="n">
        <v>40834.5131944444</v>
      </c>
      <c r="F3374" s="0" t="n">
        <v>5.79</v>
      </c>
      <c r="H3374" s="3" t="s">
        <v>14</v>
      </c>
      <c r="I3374" s="4" t="n">
        <f aca="false">D3374*F3374</f>
        <v>11.58</v>
      </c>
      <c r="J3374" s="3" t="n">
        <f aca="false">IF(AND(LEFT(A3374,1)&lt;&gt;"C",D3374&gt;0,F3374&gt;0),1,0)</f>
        <v>1</v>
      </c>
      <c r="K3374" s="3" t="n">
        <f aca="false">IF(AND(H3374="United Kingdom",G3374&lt;&gt;"",COUNTIFS($G$2:G3374,G3374,$H$2:H3374,"United Kingdom")=1),1,0)</f>
        <v>0</v>
      </c>
    </row>
    <row r="3375" customFormat="false" ht="15" hidden="false" customHeight="false" outlineLevel="0" collapsed="false">
      <c r="A3375" s="0" t="s">
        <v>708</v>
      </c>
      <c r="B3375" s="0" t="s">
        <v>43</v>
      </c>
      <c r="C3375" s="0" t="s">
        <v>44</v>
      </c>
      <c r="D3375" s="0" t="n">
        <v>4</v>
      </c>
      <c r="E3375" s="2" t="n">
        <v>40834.5131944444</v>
      </c>
      <c r="F3375" s="0" t="n">
        <v>1.35</v>
      </c>
      <c r="H3375" s="3" t="s">
        <v>14</v>
      </c>
      <c r="I3375" s="4" t="n">
        <f aca="false">D3375*F3375</f>
        <v>5.4</v>
      </c>
      <c r="J3375" s="3" t="n">
        <f aca="false">IF(AND(LEFT(A3375,1)&lt;&gt;"C",D3375&gt;0,F3375&gt;0),1,0)</f>
        <v>1</v>
      </c>
      <c r="K3375" s="3" t="n">
        <f aca="false">IF(AND(H3375="United Kingdom",G3375&lt;&gt;"",COUNTIFS($G$2:G3375,G3375,$H$2:H3375,"United Kingdom")=1),1,0)</f>
        <v>0</v>
      </c>
    </row>
    <row r="3376" customFormat="false" ht="15" hidden="false" customHeight="false" outlineLevel="0" collapsed="false">
      <c r="A3376" s="0" t="s">
        <v>709</v>
      </c>
      <c r="B3376" s="0" t="s">
        <v>15</v>
      </c>
      <c r="C3376" s="0" t="s">
        <v>16</v>
      </c>
      <c r="D3376" s="0" t="n">
        <v>24</v>
      </c>
      <c r="E3376" s="2" t="n">
        <v>40834.6590277778</v>
      </c>
      <c r="F3376" s="0" t="n">
        <v>3.18</v>
      </c>
      <c r="G3376" s="0" t="n">
        <v>14823</v>
      </c>
      <c r="H3376" s="3" t="s">
        <v>88</v>
      </c>
      <c r="I3376" s="4" t="n">
        <f aca="false">D3376*F3376</f>
        <v>76.32</v>
      </c>
      <c r="J3376" s="3" t="n">
        <f aca="false">IF(AND(LEFT(A3376,1)&lt;&gt;"C",D3376&gt;0,F3376&gt;0),1,0)</f>
        <v>1</v>
      </c>
      <c r="K3376" s="3" t="n">
        <f aca="false">IF(AND(H3376="United Kingdom",G3376&lt;&gt;"",COUNTIFS($G$2:G3376,G3376,$H$2:H3376,"United Kingdom")=1),1,0)</f>
        <v>0</v>
      </c>
    </row>
    <row r="3377" customFormat="false" ht="15" hidden="false" customHeight="false" outlineLevel="0" collapsed="false">
      <c r="A3377" s="0" t="s">
        <v>709</v>
      </c>
      <c r="B3377" s="0" t="s">
        <v>45</v>
      </c>
      <c r="C3377" s="0" t="s">
        <v>46</v>
      </c>
      <c r="D3377" s="0" t="n">
        <v>3</v>
      </c>
      <c r="E3377" s="2" t="n">
        <v>40834.6590277778</v>
      </c>
      <c r="F3377" s="0" t="n">
        <v>4.55</v>
      </c>
      <c r="G3377" s="0" t="n">
        <v>14823</v>
      </c>
      <c r="H3377" s="3" t="s">
        <v>88</v>
      </c>
      <c r="I3377" s="4" t="n">
        <f aca="false">D3377*F3377</f>
        <v>13.65</v>
      </c>
      <c r="J3377" s="3" t="n">
        <f aca="false">IF(AND(LEFT(A3377,1)&lt;&gt;"C",D3377&gt;0,F3377&gt;0),1,0)</f>
        <v>1</v>
      </c>
      <c r="K3377" s="3" t="n">
        <f aca="false">IF(AND(H3377="United Kingdom",G3377&lt;&gt;"",COUNTIFS($G$2:G3377,G3377,$H$2:H3377,"United Kingdom")=1),1,0)</f>
        <v>0</v>
      </c>
    </row>
    <row r="3378" customFormat="false" ht="15" hidden="false" customHeight="false" outlineLevel="0" collapsed="false">
      <c r="A3378" s="0" t="s">
        <v>710</v>
      </c>
      <c r="B3378" s="0" t="s">
        <v>54</v>
      </c>
      <c r="C3378" s="0" t="s">
        <v>55</v>
      </c>
      <c r="D3378" s="0" t="n">
        <v>8</v>
      </c>
      <c r="E3378" s="2" t="n">
        <v>40834.7631944444</v>
      </c>
      <c r="F3378" s="0" t="n">
        <v>0.99</v>
      </c>
      <c r="G3378" s="0" t="n">
        <v>17481</v>
      </c>
      <c r="H3378" s="3" t="s">
        <v>88</v>
      </c>
      <c r="I3378" s="4" t="n">
        <f aca="false">D3378*F3378</f>
        <v>7.92</v>
      </c>
      <c r="J3378" s="3" t="n">
        <f aca="false">IF(AND(LEFT(A3378,1)&lt;&gt;"C",D3378&gt;0,F3378&gt;0),1,0)</f>
        <v>1</v>
      </c>
      <c r="K3378" s="3" t="n">
        <f aca="false">IF(AND(H3378="United Kingdom",G3378&lt;&gt;"",COUNTIFS($G$2:G3378,G3378,$H$2:H3378,"United Kingdom")=1),1,0)</f>
        <v>0</v>
      </c>
    </row>
    <row r="3379" customFormat="false" ht="15" hidden="false" customHeight="false" outlineLevel="0" collapsed="false">
      <c r="A3379" s="0" t="s">
        <v>710</v>
      </c>
      <c r="B3379" s="0" t="s">
        <v>43</v>
      </c>
      <c r="C3379" s="0" t="s">
        <v>44</v>
      </c>
      <c r="D3379" s="0" t="n">
        <v>4</v>
      </c>
      <c r="E3379" s="2" t="n">
        <v>40834.7631944444</v>
      </c>
      <c r="F3379" s="0" t="n">
        <v>1.35</v>
      </c>
      <c r="G3379" s="0" t="n">
        <v>17481</v>
      </c>
      <c r="H3379" s="3" t="s">
        <v>88</v>
      </c>
      <c r="I3379" s="4" t="n">
        <f aca="false">D3379*F3379</f>
        <v>5.4</v>
      </c>
      <c r="J3379" s="3" t="n">
        <f aca="false">IF(AND(LEFT(A3379,1)&lt;&gt;"C",D3379&gt;0,F3379&gt;0),1,0)</f>
        <v>1</v>
      </c>
      <c r="K3379" s="3" t="n">
        <f aca="false">IF(AND(H3379="United Kingdom",G3379&lt;&gt;"",COUNTIFS($G$2:G3379,G3379,$H$2:H3379,"United Kingdom")=1),1,0)</f>
        <v>0</v>
      </c>
    </row>
    <row r="3380" customFormat="false" ht="15" hidden="false" customHeight="false" outlineLevel="0" collapsed="false">
      <c r="A3380" s="0" t="s">
        <v>710</v>
      </c>
      <c r="B3380" s="0" t="s">
        <v>45</v>
      </c>
      <c r="C3380" s="0" t="s">
        <v>46</v>
      </c>
      <c r="D3380" s="0" t="n">
        <v>6</v>
      </c>
      <c r="E3380" s="2" t="n">
        <v>40834.7631944444</v>
      </c>
      <c r="F3380" s="0" t="n">
        <v>4.55</v>
      </c>
      <c r="G3380" s="0" t="n">
        <v>17481</v>
      </c>
      <c r="H3380" s="3" t="s">
        <v>88</v>
      </c>
      <c r="I3380" s="4" t="n">
        <f aca="false">D3380*F3380</f>
        <v>27.3</v>
      </c>
      <c r="J3380" s="3" t="n">
        <f aca="false">IF(AND(LEFT(A3380,1)&lt;&gt;"C",D3380&gt;0,F3380&gt;0),1,0)</f>
        <v>1</v>
      </c>
      <c r="K3380" s="3" t="n">
        <f aca="false">IF(AND(H3380="United Kingdom",G3380&lt;&gt;"",COUNTIFS($G$2:G3380,G3380,$H$2:H3380,"United Kingdom")=1),1,0)</f>
        <v>0</v>
      </c>
    </row>
    <row r="3381" customFormat="false" ht="15" hidden="false" customHeight="false" outlineLevel="0" collapsed="false">
      <c r="A3381" s="0" t="s">
        <v>710</v>
      </c>
      <c r="B3381" s="0" t="s">
        <v>48</v>
      </c>
      <c r="C3381" s="0" t="s">
        <v>49</v>
      </c>
      <c r="D3381" s="0" t="n">
        <v>8</v>
      </c>
      <c r="E3381" s="2" t="n">
        <v>40834.7631944444</v>
      </c>
      <c r="F3381" s="0" t="n">
        <v>1.35</v>
      </c>
      <c r="G3381" s="0" t="n">
        <v>17481</v>
      </c>
      <c r="H3381" s="3" t="s">
        <v>88</v>
      </c>
      <c r="I3381" s="4" t="n">
        <f aca="false">D3381*F3381</f>
        <v>10.8</v>
      </c>
      <c r="J3381" s="3" t="n">
        <f aca="false">IF(AND(LEFT(A3381,1)&lt;&gt;"C",D3381&gt;0,F3381&gt;0),1,0)</f>
        <v>1</v>
      </c>
      <c r="K3381" s="3" t="n">
        <f aca="false">IF(AND(H3381="United Kingdom",G3381&lt;&gt;"",COUNTIFS($G$2:G3381,G3381,$H$2:H3381,"United Kingdom")=1),1,0)</f>
        <v>0</v>
      </c>
    </row>
    <row r="3382" customFormat="false" ht="15" hidden="false" customHeight="false" outlineLevel="0" collapsed="false">
      <c r="A3382" s="0" t="s">
        <v>711</v>
      </c>
      <c r="B3382" s="0" t="s">
        <v>27</v>
      </c>
      <c r="C3382" s="0" t="s">
        <v>28</v>
      </c>
      <c r="D3382" s="0" t="n">
        <v>2</v>
      </c>
      <c r="E3382" s="2" t="n">
        <v>40835.3604166667</v>
      </c>
      <c r="F3382" s="0" t="n">
        <v>4.55</v>
      </c>
      <c r="G3382" s="0" t="n">
        <v>12612</v>
      </c>
      <c r="H3382" s="3" t="s">
        <v>97</v>
      </c>
      <c r="I3382" s="4" t="n">
        <f aca="false">D3382*F3382</f>
        <v>9.1</v>
      </c>
      <c r="J3382" s="3" t="n">
        <f aca="false">IF(AND(LEFT(A3382,1)&lt;&gt;"C",D3382&gt;0,F3382&gt;0),1,0)</f>
        <v>1</v>
      </c>
      <c r="K3382" s="3" t="n">
        <f aca="false">IF(AND(H3382="United Kingdom",G3382&lt;&gt;"",COUNTIFS($G$2:G3382,G3382,$H$2:H3382,"United Kingdom")=1),1,0)</f>
        <v>0</v>
      </c>
    </row>
    <row r="3383" customFormat="false" ht="15" hidden="false" customHeight="false" outlineLevel="0" collapsed="false">
      <c r="A3383" s="0" t="s">
        <v>711</v>
      </c>
      <c r="B3383" s="0" t="s">
        <v>17</v>
      </c>
      <c r="C3383" s="0" t="s">
        <v>18</v>
      </c>
      <c r="D3383" s="0" t="n">
        <v>2</v>
      </c>
      <c r="E3383" s="2" t="n">
        <v>40835.3604166667</v>
      </c>
      <c r="F3383" s="0" t="n">
        <v>1.92</v>
      </c>
      <c r="G3383" s="0" t="n">
        <v>12612</v>
      </c>
      <c r="H3383" s="3" t="s">
        <v>97</v>
      </c>
      <c r="I3383" s="4" t="n">
        <f aca="false">D3383*F3383</f>
        <v>3.84</v>
      </c>
      <c r="J3383" s="3" t="n">
        <f aca="false">IF(AND(LEFT(A3383,1)&lt;&gt;"C",D3383&gt;0,F3383&gt;0),1,0)</f>
        <v>1</v>
      </c>
      <c r="K3383" s="3" t="n">
        <f aca="false">IF(AND(H3383="United Kingdom",G3383&lt;&gt;"",COUNTIFS($G$2:G3383,G3383,$H$2:H3383,"United Kingdom")=1),1,0)</f>
        <v>0</v>
      </c>
    </row>
    <row r="3384" customFormat="false" ht="15" hidden="false" customHeight="false" outlineLevel="0" collapsed="false">
      <c r="A3384" s="0" t="s">
        <v>711</v>
      </c>
      <c r="B3384" s="0" t="s">
        <v>80</v>
      </c>
      <c r="C3384" s="0" t="s">
        <v>81</v>
      </c>
      <c r="D3384" s="0" t="n">
        <v>12</v>
      </c>
      <c r="E3384" s="2" t="n">
        <v>40835.3604166667</v>
      </c>
      <c r="F3384" s="0" t="n">
        <v>1.53</v>
      </c>
      <c r="G3384" s="0" t="n">
        <v>12612</v>
      </c>
      <c r="H3384" s="3" t="s">
        <v>97</v>
      </c>
      <c r="I3384" s="4" t="n">
        <f aca="false">D3384*F3384</f>
        <v>18.36</v>
      </c>
      <c r="J3384" s="3" t="n">
        <f aca="false">IF(AND(LEFT(A3384,1)&lt;&gt;"C",D3384&gt;0,F3384&gt;0),1,0)</f>
        <v>1</v>
      </c>
      <c r="K3384" s="3" t="n">
        <f aca="false">IF(AND(H3384="United Kingdom",G3384&lt;&gt;"",COUNTIFS($G$2:G3384,G3384,$H$2:H3384,"United Kingdom")=1),1,0)</f>
        <v>0</v>
      </c>
    </row>
    <row r="3385" customFormat="false" ht="15" hidden="false" customHeight="false" outlineLevel="0" collapsed="false">
      <c r="A3385" s="0" t="s">
        <v>711</v>
      </c>
      <c r="B3385" s="0" t="s">
        <v>12</v>
      </c>
      <c r="C3385" s="0" t="s">
        <v>13</v>
      </c>
      <c r="D3385" s="0" t="n">
        <v>6</v>
      </c>
      <c r="E3385" s="2" t="n">
        <v>40835.3604166667</v>
      </c>
      <c r="F3385" s="0" t="n">
        <v>3.33</v>
      </c>
      <c r="G3385" s="0" t="n">
        <v>12612</v>
      </c>
      <c r="H3385" s="3" t="s">
        <v>97</v>
      </c>
      <c r="I3385" s="4" t="n">
        <f aca="false">D3385*F3385</f>
        <v>19.98</v>
      </c>
      <c r="J3385" s="3" t="n">
        <f aca="false">IF(AND(LEFT(A3385,1)&lt;&gt;"C",D3385&gt;0,F3385&gt;0),1,0)</f>
        <v>1</v>
      </c>
      <c r="K3385" s="3" t="n">
        <f aca="false">IF(AND(H3385="United Kingdom",G3385&lt;&gt;"",COUNTIFS($G$2:G3385,G3385,$H$2:H3385,"United Kingdom")=1),1,0)</f>
        <v>0</v>
      </c>
    </row>
    <row r="3386" customFormat="false" ht="15" hidden="false" customHeight="false" outlineLevel="0" collapsed="false">
      <c r="A3386" s="0" t="s">
        <v>711</v>
      </c>
      <c r="B3386" s="0" t="s">
        <v>113</v>
      </c>
      <c r="C3386" s="0" t="s">
        <v>114</v>
      </c>
      <c r="D3386" s="0" t="n">
        <v>48</v>
      </c>
      <c r="E3386" s="2" t="n">
        <v>40835.3604166667</v>
      </c>
      <c r="F3386" s="0" t="n">
        <v>3.57</v>
      </c>
      <c r="G3386" s="0" t="n">
        <v>12612</v>
      </c>
      <c r="H3386" s="3" t="s">
        <v>97</v>
      </c>
      <c r="I3386" s="4" t="n">
        <f aca="false">D3386*F3386</f>
        <v>171.36</v>
      </c>
      <c r="J3386" s="3" t="n">
        <f aca="false">IF(AND(LEFT(A3386,1)&lt;&gt;"C",D3386&gt;0,F3386&gt;0),1,0)</f>
        <v>1</v>
      </c>
      <c r="K3386" s="3" t="n">
        <f aca="false">IF(AND(H3386="United Kingdom",G3386&lt;&gt;"",COUNTIFS($G$2:G3386,G3386,$H$2:H3386,"United Kingdom")=1),1,0)</f>
        <v>0</v>
      </c>
    </row>
    <row r="3387" customFormat="false" ht="15" hidden="false" customHeight="false" outlineLevel="0" collapsed="false">
      <c r="A3387" s="0" t="s">
        <v>711</v>
      </c>
      <c r="B3387" s="0" t="s">
        <v>29</v>
      </c>
      <c r="C3387" s="0" t="s">
        <v>30</v>
      </c>
      <c r="D3387" s="0" t="n">
        <v>16</v>
      </c>
      <c r="E3387" s="2" t="n">
        <v>40835.3604166667</v>
      </c>
      <c r="F3387" s="0" t="n">
        <v>5.79</v>
      </c>
      <c r="G3387" s="0" t="n">
        <v>12612</v>
      </c>
      <c r="H3387" s="3" t="s">
        <v>97</v>
      </c>
      <c r="I3387" s="4" t="n">
        <f aca="false">D3387*F3387</f>
        <v>92.64</v>
      </c>
      <c r="J3387" s="3" t="n">
        <f aca="false">IF(AND(LEFT(A3387,1)&lt;&gt;"C",D3387&gt;0,F3387&gt;0),1,0)</f>
        <v>1</v>
      </c>
      <c r="K3387" s="3" t="n">
        <f aca="false">IF(AND(H3387="United Kingdom",G3387&lt;&gt;"",COUNTIFS($G$2:G3387,G3387,$H$2:H3387,"United Kingdom")=1),1,0)</f>
        <v>0</v>
      </c>
    </row>
    <row r="3388" customFormat="false" ht="15" hidden="false" customHeight="false" outlineLevel="0" collapsed="false">
      <c r="A3388" s="0" t="s">
        <v>711</v>
      </c>
      <c r="B3388" s="0" t="s">
        <v>58</v>
      </c>
      <c r="C3388" s="0" t="s">
        <v>59</v>
      </c>
      <c r="D3388" s="0" t="n">
        <v>12</v>
      </c>
      <c r="E3388" s="2" t="n">
        <v>40835.3604166667</v>
      </c>
      <c r="F3388" s="0" t="n">
        <v>2.16</v>
      </c>
      <c r="G3388" s="0" t="n">
        <v>12612</v>
      </c>
      <c r="H3388" s="3" t="s">
        <v>97</v>
      </c>
      <c r="I3388" s="4" t="n">
        <f aca="false">D3388*F3388</f>
        <v>25.92</v>
      </c>
      <c r="J3388" s="3" t="n">
        <f aca="false">IF(AND(LEFT(A3388,1)&lt;&gt;"C",D3388&gt;0,F3388&gt;0),1,0)</f>
        <v>1</v>
      </c>
      <c r="K3388" s="3" t="n">
        <f aca="false">IF(AND(H3388="United Kingdom",G3388&lt;&gt;"",COUNTIFS($G$2:G3388,G3388,$H$2:H3388,"United Kingdom")=1),1,0)</f>
        <v>0</v>
      </c>
    </row>
    <row r="3389" customFormat="false" ht="15" hidden="false" customHeight="false" outlineLevel="0" collapsed="false">
      <c r="A3389" s="0" t="s">
        <v>711</v>
      </c>
      <c r="B3389" s="0" t="s">
        <v>77</v>
      </c>
      <c r="C3389" s="0" t="s">
        <v>78</v>
      </c>
      <c r="D3389" s="0" t="n">
        <v>6</v>
      </c>
      <c r="E3389" s="2" t="n">
        <v>40835.3604166667</v>
      </c>
      <c r="F3389" s="0" t="n">
        <v>3.41</v>
      </c>
      <c r="G3389" s="0" t="n">
        <v>12612</v>
      </c>
      <c r="H3389" s="3" t="s">
        <v>97</v>
      </c>
      <c r="I3389" s="4" t="n">
        <f aca="false">D3389*F3389</f>
        <v>20.46</v>
      </c>
      <c r="J3389" s="3" t="n">
        <f aca="false">IF(AND(LEFT(A3389,1)&lt;&gt;"C",D3389&gt;0,F3389&gt;0),1,0)</f>
        <v>1</v>
      </c>
      <c r="K3389" s="3" t="n">
        <f aca="false">IF(AND(H3389="United Kingdom",G3389&lt;&gt;"",COUNTIFS($G$2:G3389,G3389,$H$2:H3389,"United Kingdom")=1),1,0)</f>
        <v>0</v>
      </c>
    </row>
    <row r="3390" customFormat="false" ht="15" hidden="false" customHeight="false" outlineLevel="0" collapsed="false">
      <c r="A3390" s="0" t="s">
        <v>711</v>
      </c>
      <c r="B3390" s="0" t="s">
        <v>32</v>
      </c>
      <c r="C3390" s="0" t="s">
        <v>33</v>
      </c>
      <c r="D3390" s="0" t="n">
        <v>6</v>
      </c>
      <c r="E3390" s="2" t="n">
        <v>40835.3604166667</v>
      </c>
      <c r="F3390" s="0" t="n">
        <v>1.19</v>
      </c>
      <c r="G3390" s="0" t="n">
        <v>12612</v>
      </c>
      <c r="H3390" s="3" t="s">
        <v>97</v>
      </c>
      <c r="I3390" s="4" t="n">
        <f aca="false">D3390*F3390</f>
        <v>7.14</v>
      </c>
      <c r="J3390" s="3" t="n">
        <f aca="false">IF(AND(LEFT(A3390,1)&lt;&gt;"C",D3390&gt;0,F3390&gt;0),1,0)</f>
        <v>1</v>
      </c>
      <c r="K3390" s="3" t="n">
        <f aca="false">IF(AND(H3390="United Kingdom",G3390&lt;&gt;"",COUNTIFS($G$2:G3390,G3390,$H$2:H3390,"United Kingdom")=1),1,0)</f>
        <v>0</v>
      </c>
    </row>
    <row r="3391" customFormat="false" ht="15" hidden="false" customHeight="false" outlineLevel="0" collapsed="false">
      <c r="A3391" s="0" t="s">
        <v>711</v>
      </c>
      <c r="B3391" s="0" t="s">
        <v>34</v>
      </c>
      <c r="C3391" s="0" t="s">
        <v>35</v>
      </c>
      <c r="D3391" s="0" t="n">
        <v>4</v>
      </c>
      <c r="E3391" s="2" t="n">
        <v>40835.3604166667</v>
      </c>
      <c r="F3391" s="0" t="n">
        <v>2.38</v>
      </c>
      <c r="G3391" s="0" t="n">
        <v>12612</v>
      </c>
      <c r="H3391" s="3" t="s">
        <v>97</v>
      </c>
      <c r="I3391" s="4" t="n">
        <f aca="false">D3391*F3391</f>
        <v>9.52</v>
      </c>
      <c r="J3391" s="3" t="n">
        <f aca="false">IF(AND(LEFT(A3391,1)&lt;&gt;"C",D3391&gt;0,F3391&gt;0),1,0)</f>
        <v>1</v>
      </c>
      <c r="K3391" s="3" t="n">
        <f aca="false">IF(AND(H3391="United Kingdom",G3391&lt;&gt;"",COUNTIFS($G$2:G3391,G3391,$H$2:H3391,"United Kingdom")=1),1,0)</f>
        <v>0</v>
      </c>
    </row>
    <row r="3392" customFormat="false" ht="15" hidden="false" customHeight="false" outlineLevel="0" collapsed="false">
      <c r="A3392" s="0" t="s">
        <v>711</v>
      </c>
      <c r="B3392" s="0" t="s">
        <v>72</v>
      </c>
      <c r="C3392" s="0" t="s">
        <v>73</v>
      </c>
      <c r="D3392" s="0" t="n">
        <v>6</v>
      </c>
      <c r="E3392" s="2" t="n">
        <v>40835.3604166667</v>
      </c>
      <c r="F3392" s="0" t="n">
        <v>2.69</v>
      </c>
      <c r="G3392" s="0" t="n">
        <v>12612</v>
      </c>
      <c r="H3392" s="3" t="s">
        <v>97</v>
      </c>
      <c r="I3392" s="4" t="n">
        <f aca="false">D3392*F3392</f>
        <v>16.14</v>
      </c>
      <c r="J3392" s="3" t="n">
        <f aca="false">IF(AND(LEFT(A3392,1)&lt;&gt;"C",D3392&gt;0,F3392&gt;0),1,0)</f>
        <v>1</v>
      </c>
      <c r="K3392" s="3" t="n">
        <f aca="false">IF(AND(H3392="United Kingdom",G3392&lt;&gt;"",COUNTIFS($G$2:G3392,G3392,$H$2:H3392,"United Kingdom")=1),1,0)</f>
        <v>0</v>
      </c>
    </row>
    <row r="3393" customFormat="false" ht="15" hidden="false" customHeight="false" outlineLevel="0" collapsed="false">
      <c r="A3393" s="0" t="s">
        <v>711</v>
      </c>
      <c r="B3393" s="0" t="s">
        <v>22</v>
      </c>
      <c r="C3393" s="0" t="s">
        <v>23</v>
      </c>
      <c r="D3393" s="0" t="n">
        <v>6</v>
      </c>
      <c r="E3393" s="2" t="n">
        <v>40835.3604166667</v>
      </c>
      <c r="F3393" s="0" t="n">
        <v>3.18</v>
      </c>
      <c r="G3393" s="0" t="n">
        <v>12612</v>
      </c>
      <c r="H3393" s="3" t="s">
        <v>97</v>
      </c>
      <c r="I3393" s="4" t="n">
        <f aca="false">D3393*F3393</f>
        <v>19.08</v>
      </c>
      <c r="J3393" s="3" t="n">
        <f aca="false">IF(AND(LEFT(A3393,1)&lt;&gt;"C",D3393&gt;0,F3393&gt;0),1,0)</f>
        <v>1</v>
      </c>
      <c r="K3393" s="3" t="n">
        <f aca="false">IF(AND(H3393="United Kingdom",G3393&lt;&gt;"",COUNTIFS($G$2:G3393,G3393,$H$2:H3393,"United Kingdom")=1),1,0)</f>
        <v>0</v>
      </c>
    </row>
    <row r="3394" customFormat="false" ht="15" hidden="false" customHeight="false" outlineLevel="0" collapsed="false">
      <c r="A3394" s="0" t="s">
        <v>711</v>
      </c>
      <c r="B3394" s="0" t="s">
        <v>68</v>
      </c>
      <c r="C3394" s="0" t="s">
        <v>69</v>
      </c>
      <c r="D3394" s="0" t="n">
        <v>4</v>
      </c>
      <c r="E3394" s="2" t="n">
        <v>40835.3604166667</v>
      </c>
      <c r="F3394" s="0" t="n">
        <v>1.26</v>
      </c>
      <c r="G3394" s="0" t="n">
        <v>12612</v>
      </c>
      <c r="H3394" s="3" t="s">
        <v>97</v>
      </c>
      <c r="I3394" s="4" t="n">
        <f aca="false">D3394*F3394</f>
        <v>5.04</v>
      </c>
      <c r="J3394" s="3" t="n">
        <f aca="false">IF(AND(LEFT(A3394,1)&lt;&gt;"C",D3394&gt;0,F3394&gt;0),1,0)</f>
        <v>1</v>
      </c>
      <c r="K3394" s="3" t="n">
        <f aca="false">IF(AND(H3394="United Kingdom",G3394&lt;&gt;"",COUNTIFS($G$2:G3394,G3394,$H$2:H3394,"United Kingdom")=1),1,0)</f>
        <v>0</v>
      </c>
    </row>
    <row r="3395" customFormat="false" ht="15" hidden="false" customHeight="false" outlineLevel="0" collapsed="false">
      <c r="A3395" s="0" t="s">
        <v>711</v>
      </c>
      <c r="B3395" s="0" t="s">
        <v>63</v>
      </c>
      <c r="C3395" s="0" t="s">
        <v>64</v>
      </c>
      <c r="D3395" s="0" t="n">
        <v>12</v>
      </c>
      <c r="E3395" s="2" t="n">
        <v>40835.3604166667</v>
      </c>
      <c r="F3395" s="0" t="n">
        <v>2.43</v>
      </c>
      <c r="G3395" s="0" t="n">
        <v>12612</v>
      </c>
      <c r="H3395" s="3" t="s">
        <v>97</v>
      </c>
      <c r="I3395" s="4" t="n">
        <f aca="false">D3395*F3395</f>
        <v>29.16</v>
      </c>
      <c r="J3395" s="3" t="n">
        <f aca="false">IF(AND(LEFT(A3395,1)&lt;&gt;"C",D3395&gt;0,F3395&gt;0),1,0)</f>
        <v>1</v>
      </c>
      <c r="K3395" s="3" t="n">
        <f aca="false">IF(AND(H3395="United Kingdom",G3395&lt;&gt;"",COUNTIFS($G$2:G3395,G3395,$H$2:H3395,"United Kingdom")=1),1,0)</f>
        <v>0</v>
      </c>
    </row>
    <row r="3396" customFormat="false" ht="15" hidden="false" customHeight="false" outlineLevel="0" collapsed="false">
      <c r="A3396" s="0" t="s">
        <v>711</v>
      </c>
      <c r="B3396" s="0" t="s">
        <v>39</v>
      </c>
      <c r="C3396" s="0" t="s">
        <v>40</v>
      </c>
      <c r="D3396" s="0" t="n">
        <v>2</v>
      </c>
      <c r="E3396" s="2" t="n">
        <v>40835.3604166667</v>
      </c>
      <c r="F3396" s="0" t="n">
        <v>2.58</v>
      </c>
      <c r="G3396" s="0" t="n">
        <v>12612</v>
      </c>
      <c r="H3396" s="3" t="s">
        <v>97</v>
      </c>
      <c r="I3396" s="4" t="n">
        <f aca="false">D3396*F3396</f>
        <v>5.16</v>
      </c>
      <c r="J3396" s="3" t="n">
        <f aca="false">IF(AND(LEFT(A3396,1)&lt;&gt;"C",D3396&gt;0,F3396&gt;0),1,0)</f>
        <v>1</v>
      </c>
      <c r="K3396" s="3" t="n">
        <f aca="false">IF(AND(H3396="United Kingdom",G3396&lt;&gt;"",COUNTIFS($G$2:G3396,G3396,$H$2:H3396,"United Kingdom")=1),1,0)</f>
        <v>0</v>
      </c>
    </row>
    <row r="3397" customFormat="false" ht="15" hidden="false" customHeight="false" outlineLevel="0" collapsed="false">
      <c r="A3397" s="0" t="s">
        <v>711</v>
      </c>
      <c r="B3397" s="0" t="s">
        <v>50</v>
      </c>
      <c r="C3397" s="0" t="s">
        <v>51</v>
      </c>
      <c r="D3397" s="0" t="n">
        <v>6</v>
      </c>
      <c r="E3397" s="2" t="n">
        <v>40835.3604166667</v>
      </c>
      <c r="F3397" s="0" t="n">
        <v>5.41</v>
      </c>
      <c r="G3397" s="0" t="n">
        <v>12612</v>
      </c>
      <c r="H3397" s="3" t="s">
        <v>97</v>
      </c>
      <c r="I3397" s="4" t="n">
        <f aca="false">D3397*F3397</f>
        <v>32.46</v>
      </c>
      <c r="J3397" s="3" t="n">
        <f aca="false">IF(AND(LEFT(A3397,1)&lt;&gt;"C",D3397&gt;0,F3397&gt;0),1,0)</f>
        <v>1</v>
      </c>
      <c r="K3397" s="3" t="n">
        <f aca="false">IF(AND(H3397="United Kingdom",G3397&lt;&gt;"",COUNTIFS($G$2:G3397,G3397,$H$2:H3397,"United Kingdom")=1),1,0)</f>
        <v>0</v>
      </c>
    </row>
    <row r="3398" customFormat="false" ht="15" hidden="false" customHeight="false" outlineLevel="0" collapsed="false">
      <c r="A3398" s="0" t="s">
        <v>711</v>
      </c>
      <c r="B3398" s="0" t="s">
        <v>90</v>
      </c>
      <c r="C3398" s="0" t="s">
        <v>91</v>
      </c>
      <c r="D3398" s="0" t="n">
        <v>6</v>
      </c>
      <c r="E3398" s="2" t="n">
        <v>40835.3604166667</v>
      </c>
      <c r="F3398" s="0" t="n">
        <v>3.04</v>
      </c>
      <c r="G3398" s="0" t="n">
        <v>12612</v>
      </c>
      <c r="H3398" s="3" t="s">
        <v>97</v>
      </c>
      <c r="I3398" s="4" t="n">
        <f aca="false">D3398*F3398</f>
        <v>18.24</v>
      </c>
      <c r="J3398" s="3" t="n">
        <f aca="false">IF(AND(LEFT(A3398,1)&lt;&gt;"C",D3398&gt;0,F3398&gt;0),1,0)</f>
        <v>1</v>
      </c>
      <c r="K3398" s="3" t="n">
        <f aca="false">IF(AND(H3398="United Kingdom",G3398&lt;&gt;"",COUNTIFS($G$2:G3398,G3398,$H$2:H3398,"United Kingdom")=1),1,0)</f>
        <v>0</v>
      </c>
    </row>
    <row r="3399" customFormat="false" ht="15" hidden="false" customHeight="false" outlineLevel="0" collapsed="false">
      <c r="A3399" s="0" t="s">
        <v>711</v>
      </c>
      <c r="B3399" s="0" t="s">
        <v>65</v>
      </c>
      <c r="C3399" s="0" t="s">
        <v>66</v>
      </c>
      <c r="D3399" s="0" t="n">
        <v>24</v>
      </c>
      <c r="E3399" s="2" t="n">
        <v>40835.3604166667</v>
      </c>
      <c r="F3399" s="0" t="n">
        <v>4.75</v>
      </c>
      <c r="G3399" s="0" t="n">
        <v>12612</v>
      </c>
      <c r="H3399" s="3" t="s">
        <v>97</v>
      </c>
      <c r="I3399" s="4" t="n">
        <f aca="false">D3399*F3399</f>
        <v>114</v>
      </c>
      <c r="J3399" s="3" t="n">
        <f aca="false">IF(AND(LEFT(A3399,1)&lt;&gt;"C",D3399&gt;0,F3399&gt;0),1,0)</f>
        <v>1</v>
      </c>
      <c r="K3399" s="3" t="n">
        <f aca="false">IF(AND(H3399="United Kingdom",G3399&lt;&gt;"",COUNTIFS($G$2:G3399,G3399,$H$2:H3399,"United Kingdom")=1),1,0)</f>
        <v>0</v>
      </c>
    </row>
    <row r="3400" customFormat="false" ht="15" hidden="false" customHeight="false" outlineLevel="0" collapsed="false">
      <c r="A3400" s="0" t="s">
        <v>711</v>
      </c>
      <c r="B3400" s="0" t="s">
        <v>75</v>
      </c>
      <c r="C3400" s="0" t="s">
        <v>76</v>
      </c>
      <c r="D3400" s="0" t="n">
        <v>2</v>
      </c>
      <c r="E3400" s="2" t="n">
        <v>40835.3604166667</v>
      </c>
      <c r="F3400" s="0" t="n">
        <v>1.97</v>
      </c>
      <c r="G3400" s="0" t="n">
        <v>12612</v>
      </c>
      <c r="H3400" s="3" t="s">
        <v>97</v>
      </c>
      <c r="I3400" s="4" t="n">
        <f aca="false">D3400*F3400</f>
        <v>3.94</v>
      </c>
      <c r="J3400" s="3" t="n">
        <f aca="false">IF(AND(LEFT(A3400,1)&lt;&gt;"C",D3400&gt;0,F3400&gt;0),1,0)</f>
        <v>1</v>
      </c>
      <c r="K3400" s="3" t="n">
        <f aca="false">IF(AND(H3400="United Kingdom",G3400&lt;&gt;"",COUNTIFS($G$2:G3400,G3400,$H$2:H3400,"United Kingdom")=1),1,0)</f>
        <v>0</v>
      </c>
    </row>
    <row r="3401" customFormat="false" ht="15" hidden="false" customHeight="false" outlineLevel="0" collapsed="false">
      <c r="A3401" s="0" t="s">
        <v>712</v>
      </c>
      <c r="B3401" s="0" t="s">
        <v>72</v>
      </c>
      <c r="C3401" s="0" t="s">
        <v>73</v>
      </c>
      <c r="D3401" s="0" t="n">
        <v>12</v>
      </c>
      <c r="E3401" s="2" t="n">
        <v>40835.4548611111</v>
      </c>
      <c r="F3401" s="0" t="n">
        <v>2.69</v>
      </c>
      <c r="G3401" s="0" t="n">
        <v>12480</v>
      </c>
      <c r="H3401" s="3" t="s">
        <v>14</v>
      </c>
      <c r="I3401" s="4" t="n">
        <f aca="false">D3401*F3401</f>
        <v>32.28</v>
      </c>
      <c r="J3401" s="3" t="n">
        <f aca="false">IF(AND(LEFT(A3401,1)&lt;&gt;"C",D3401&gt;0,F3401&gt;0),1,0)</f>
        <v>1</v>
      </c>
      <c r="K3401" s="3" t="n">
        <f aca="false">IF(AND(H3401="United Kingdom",G3401&lt;&gt;"",COUNTIFS($G$2:G3401,G3401,$H$2:H3401,"United Kingdom")=1),1,0)</f>
        <v>0</v>
      </c>
    </row>
    <row r="3402" customFormat="false" ht="15" hidden="false" customHeight="false" outlineLevel="0" collapsed="false">
      <c r="A3402" s="0" t="s">
        <v>712</v>
      </c>
      <c r="B3402" s="0" t="s">
        <v>22</v>
      </c>
      <c r="C3402" s="0" t="s">
        <v>23</v>
      </c>
      <c r="D3402" s="0" t="n">
        <v>2</v>
      </c>
      <c r="E3402" s="2" t="n">
        <v>40835.4548611111</v>
      </c>
      <c r="F3402" s="0" t="n">
        <v>3.18</v>
      </c>
      <c r="G3402" s="0" t="n">
        <v>12480</v>
      </c>
      <c r="H3402" s="3" t="s">
        <v>14</v>
      </c>
      <c r="I3402" s="4" t="n">
        <f aca="false">D3402*F3402</f>
        <v>6.36</v>
      </c>
      <c r="J3402" s="3" t="n">
        <f aca="false">IF(AND(LEFT(A3402,1)&lt;&gt;"C",D3402&gt;0,F3402&gt;0),1,0)</f>
        <v>1</v>
      </c>
      <c r="K3402" s="3" t="n">
        <f aca="false">IF(AND(H3402="United Kingdom",G3402&lt;&gt;"",COUNTIFS($G$2:G3402,G3402,$H$2:H3402,"United Kingdom")=1),1,0)</f>
        <v>0</v>
      </c>
    </row>
    <row r="3403" customFormat="false" ht="15" hidden="false" customHeight="false" outlineLevel="0" collapsed="false">
      <c r="A3403" s="0" t="s">
        <v>712</v>
      </c>
      <c r="B3403" s="0" t="s">
        <v>63</v>
      </c>
      <c r="C3403" s="0" t="s">
        <v>64</v>
      </c>
      <c r="D3403" s="0" t="n">
        <v>2</v>
      </c>
      <c r="E3403" s="2" t="n">
        <v>40835.4548611111</v>
      </c>
      <c r="F3403" s="0" t="n">
        <v>2.43</v>
      </c>
      <c r="G3403" s="0" t="n">
        <v>12480</v>
      </c>
      <c r="H3403" s="3" t="s">
        <v>14</v>
      </c>
      <c r="I3403" s="4" t="n">
        <f aca="false">D3403*F3403</f>
        <v>4.86</v>
      </c>
      <c r="J3403" s="3" t="n">
        <f aca="false">IF(AND(LEFT(A3403,1)&lt;&gt;"C",D3403&gt;0,F3403&gt;0),1,0)</f>
        <v>1</v>
      </c>
      <c r="K3403" s="3" t="n">
        <f aca="false">IF(AND(H3403="United Kingdom",G3403&lt;&gt;"",COUNTIFS($G$2:G3403,G3403,$H$2:H3403,"United Kingdom")=1),1,0)</f>
        <v>0</v>
      </c>
    </row>
    <row r="3404" customFormat="false" ht="15" hidden="false" customHeight="false" outlineLevel="0" collapsed="false">
      <c r="A3404" s="0" t="s">
        <v>712</v>
      </c>
      <c r="B3404" s="0" t="s">
        <v>27</v>
      </c>
      <c r="C3404" s="0" t="s">
        <v>28</v>
      </c>
      <c r="D3404" s="0" t="n">
        <v>4</v>
      </c>
      <c r="E3404" s="2" t="n">
        <v>40835.4548611111</v>
      </c>
      <c r="F3404" s="0" t="n">
        <v>4.55</v>
      </c>
      <c r="G3404" s="0" t="n">
        <v>12480</v>
      </c>
      <c r="H3404" s="3" t="s">
        <v>14</v>
      </c>
      <c r="I3404" s="4" t="n">
        <f aca="false">D3404*F3404</f>
        <v>18.2</v>
      </c>
      <c r="J3404" s="3" t="n">
        <f aca="false">IF(AND(LEFT(A3404,1)&lt;&gt;"C",D3404&gt;0,F3404&gt;0),1,0)</f>
        <v>1</v>
      </c>
      <c r="K3404" s="3" t="n">
        <f aca="false">IF(AND(H3404="United Kingdom",G3404&lt;&gt;"",COUNTIFS($G$2:G3404,G3404,$H$2:H3404,"United Kingdom")=1),1,0)</f>
        <v>0</v>
      </c>
    </row>
    <row r="3405" customFormat="false" ht="15" hidden="false" customHeight="false" outlineLevel="0" collapsed="false">
      <c r="A3405" s="0" t="s">
        <v>713</v>
      </c>
      <c r="B3405" s="0" t="s">
        <v>39</v>
      </c>
      <c r="C3405" s="0" t="s">
        <v>40</v>
      </c>
      <c r="D3405" s="0" t="n">
        <v>8</v>
      </c>
      <c r="E3405" s="2" t="n">
        <v>40835.5041666667</v>
      </c>
      <c r="F3405" s="0" t="n">
        <v>2.58</v>
      </c>
      <c r="G3405" s="0" t="n">
        <v>15713</v>
      </c>
      <c r="H3405" s="3" t="s">
        <v>14</v>
      </c>
      <c r="I3405" s="4" t="n">
        <f aca="false">D3405*F3405</f>
        <v>20.64</v>
      </c>
      <c r="J3405" s="3" t="n">
        <f aca="false">IF(AND(LEFT(A3405,1)&lt;&gt;"C",D3405&gt;0,F3405&gt;0),1,0)</f>
        <v>1</v>
      </c>
      <c r="K3405" s="3" t="n">
        <f aca="false">IF(AND(H3405="United Kingdom",G3405&lt;&gt;"",COUNTIFS($G$2:G3405,G3405,$H$2:H3405,"United Kingdom")=1),1,0)</f>
        <v>0</v>
      </c>
    </row>
    <row r="3406" customFormat="false" ht="15" hidden="false" customHeight="false" outlineLevel="0" collapsed="false">
      <c r="A3406" s="0" t="s">
        <v>713</v>
      </c>
      <c r="B3406" s="0" t="s">
        <v>75</v>
      </c>
      <c r="C3406" s="0" t="s">
        <v>76</v>
      </c>
      <c r="D3406" s="0" t="n">
        <v>2</v>
      </c>
      <c r="E3406" s="2" t="n">
        <v>40835.5041666667</v>
      </c>
      <c r="F3406" s="0" t="n">
        <v>1.97</v>
      </c>
      <c r="G3406" s="0" t="n">
        <v>15713</v>
      </c>
      <c r="H3406" s="3" t="s">
        <v>14</v>
      </c>
      <c r="I3406" s="4" t="n">
        <f aca="false">D3406*F3406</f>
        <v>3.94</v>
      </c>
      <c r="J3406" s="3" t="n">
        <f aca="false">IF(AND(LEFT(A3406,1)&lt;&gt;"C",D3406&gt;0,F3406&gt;0),1,0)</f>
        <v>1</v>
      </c>
      <c r="K3406" s="3" t="n">
        <f aca="false">IF(AND(H3406="United Kingdom",G3406&lt;&gt;"",COUNTIFS($G$2:G3406,G3406,$H$2:H3406,"United Kingdom")=1),1,0)</f>
        <v>0</v>
      </c>
    </row>
    <row r="3407" customFormat="false" ht="15" hidden="false" customHeight="false" outlineLevel="0" collapsed="false">
      <c r="A3407" s="0" t="s">
        <v>714</v>
      </c>
      <c r="B3407" s="0" t="s">
        <v>52</v>
      </c>
      <c r="C3407" s="0" t="s">
        <v>53</v>
      </c>
      <c r="D3407" s="0" t="n">
        <v>8</v>
      </c>
      <c r="E3407" s="2" t="n">
        <v>40835.5118055556</v>
      </c>
      <c r="F3407" s="0" t="n">
        <v>4.16</v>
      </c>
      <c r="G3407" s="0" t="n">
        <v>15108</v>
      </c>
      <c r="H3407" s="3" t="s">
        <v>14</v>
      </c>
      <c r="I3407" s="4" t="n">
        <f aca="false">D3407*F3407</f>
        <v>33.28</v>
      </c>
      <c r="J3407" s="3" t="n">
        <f aca="false">IF(AND(LEFT(A3407,1)&lt;&gt;"C",D3407&gt;0,F3407&gt;0),1,0)</f>
        <v>1</v>
      </c>
      <c r="K3407" s="3" t="n">
        <f aca="false">IF(AND(H3407="United Kingdom",G3407&lt;&gt;"",COUNTIFS($G$2:G3407,G3407,$H$2:H3407,"United Kingdom")=1),1,0)</f>
        <v>0</v>
      </c>
    </row>
    <row r="3408" customFormat="false" ht="15" hidden="false" customHeight="false" outlineLevel="0" collapsed="false">
      <c r="A3408" s="0" t="s">
        <v>715</v>
      </c>
      <c r="B3408" s="0" t="s">
        <v>75</v>
      </c>
      <c r="C3408" s="0" t="s">
        <v>76</v>
      </c>
      <c r="D3408" s="0" t="n">
        <v>288</v>
      </c>
      <c r="E3408" s="2" t="n">
        <v>40835.5958333333</v>
      </c>
      <c r="F3408" s="0" t="n">
        <v>1.97</v>
      </c>
      <c r="G3408" s="0" t="n">
        <v>14810</v>
      </c>
      <c r="H3408" s="3" t="s">
        <v>14</v>
      </c>
      <c r="I3408" s="4" t="n">
        <f aca="false">D3408*F3408</f>
        <v>567.36</v>
      </c>
      <c r="J3408" s="3" t="n">
        <f aca="false">IF(AND(LEFT(A3408,1)&lt;&gt;"C",D3408&gt;0,F3408&gt;0),1,0)</f>
        <v>1</v>
      </c>
      <c r="K3408" s="3" t="n">
        <f aca="false">IF(AND(H3408="United Kingdom",G3408&lt;&gt;"",COUNTIFS($G$2:G3408,G3408,$H$2:H3408,"United Kingdom")=1),1,0)</f>
        <v>0</v>
      </c>
    </row>
    <row r="3409" customFormat="false" ht="15" hidden="false" customHeight="false" outlineLevel="0" collapsed="false">
      <c r="A3409" s="0" t="s">
        <v>715</v>
      </c>
      <c r="B3409" s="0" t="s">
        <v>12</v>
      </c>
      <c r="C3409" s="0" t="s">
        <v>13</v>
      </c>
      <c r="D3409" s="0" t="n">
        <v>216</v>
      </c>
      <c r="E3409" s="2" t="n">
        <v>40835.5958333333</v>
      </c>
      <c r="F3409" s="0" t="n">
        <v>3.33</v>
      </c>
      <c r="G3409" s="0" t="n">
        <v>14810</v>
      </c>
      <c r="H3409" s="3" t="s">
        <v>14</v>
      </c>
      <c r="I3409" s="4" t="n">
        <f aca="false">D3409*F3409</f>
        <v>719.28</v>
      </c>
      <c r="J3409" s="3" t="n">
        <f aca="false">IF(AND(LEFT(A3409,1)&lt;&gt;"C",D3409&gt;0,F3409&gt;0),1,0)</f>
        <v>1</v>
      </c>
      <c r="K3409" s="3" t="n">
        <f aca="false">IF(AND(H3409="United Kingdom",G3409&lt;&gt;"",COUNTIFS($G$2:G3409,G3409,$H$2:H3409,"United Kingdom")=1),1,0)</f>
        <v>0</v>
      </c>
    </row>
    <row r="3410" customFormat="false" ht="15" hidden="false" customHeight="false" outlineLevel="0" collapsed="false">
      <c r="A3410" s="0" t="s">
        <v>715</v>
      </c>
      <c r="B3410" s="0" t="s">
        <v>50</v>
      </c>
      <c r="C3410" s="0" t="s">
        <v>51</v>
      </c>
      <c r="D3410" s="0" t="n">
        <v>24</v>
      </c>
      <c r="E3410" s="2" t="n">
        <v>40835.5958333333</v>
      </c>
      <c r="F3410" s="0" t="n">
        <v>5.41</v>
      </c>
      <c r="G3410" s="0" t="n">
        <v>14810</v>
      </c>
      <c r="H3410" s="3" t="s">
        <v>14</v>
      </c>
      <c r="I3410" s="4" t="n">
        <f aca="false">D3410*F3410</f>
        <v>129.84</v>
      </c>
      <c r="J3410" s="3" t="n">
        <f aca="false">IF(AND(LEFT(A3410,1)&lt;&gt;"C",D3410&gt;0,F3410&gt;0),1,0)</f>
        <v>1</v>
      </c>
      <c r="K3410" s="3" t="n">
        <f aca="false">IF(AND(H3410="United Kingdom",G3410&lt;&gt;"",COUNTIFS($G$2:G3410,G3410,$H$2:H3410,"United Kingdom")=1),1,0)</f>
        <v>0</v>
      </c>
    </row>
    <row r="3411" customFormat="false" ht="15" hidden="false" customHeight="false" outlineLevel="0" collapsed="false">
      <c r="A3411" s="0" t="s">
        <v>716</v>
      </c>
      <c r="B3411" s="0" t="s">
        <v>43</v>
      </c>
      <c r="C3411" s="0" t="s">
        <v>44</v>
      </c>
      <c r="D3411" s="0" t="n">
        <v>15</v>
      </c>
      <c r="E3411" s="2" t="n">
        <v>40836.4652777778</v>
      </c>
      <c r="F3411" s="0" t="n">
        <v>1.35</v>
      </c>
      <c r="G3411" s="0" t="n">
        <v>14600</v>
      </c>
      <c r="H3411" s="3" t="s">
        <v>120</v>
      </c>
      <c r="I3411" s="4" t="n">
        <f aca="false">D3411*F3411</f>
        <v>20.25</v>
      </c>
      <c r="J3411" s="3" t="n">
        <f aca="false">IF(AND(LEFT(A3411,1)&lt;&gt;"C",D3411&gt;0,F3411&gt;0),1,0)</f>
        <v>1</v>
      </c>
      <c r="K3411" s="3" t="n">
        <f aca="false">IF(AND(H3411="United Kingdom",G3411&lt;&gt;"",COUNTIFS($G$2:G3411,G3411,$H$2:H3411,"United Kingdom")=1),1,0)</f>
        <v>0</v>
      </c>
    </row>
    <row r="3412" customFormat="false" ht="15" hidden="false" customHeight="false" outlineLevel="0" collapsed="false">
      <c r="A3412" s="0" t="s">
        <v>716</v>
      </c>
      <c r="B3412" s="0" t="s">
        <v>52</v>
      </c>
      <c r="C3412" s="0" t="s">
        <v>53</v>
      </c>
      <c r="D3412" s="0" t="n">
        <v>7</v>
      </c>
      <c r="E3412" s="2" t="n">
        <v>40836.4652777778</v>
      </c>
      <c r="F3412" s="0" t="n">
        <v>4.16</v>
      </c>
      <c r="G3412" s="0" t="n">
        <v>14600</v>
      </c>
      <c r="H3412" s="3" t="s">
        <v>120</v>
      </c>
      <c r="I3412" s="4" t="n">
        <f aca="false">D3412*F3412</f>
        <v>29.12</v>
      </c>
      <c r="J3412" s="3" t="n">
        <f aca="false">IF(AND(LEFT(A3412,1)&lt;&gt;"C",D3412&gt;0,F3412&gt;0),1,0)</f>
        <v>1</v>
      </c>
      <c r="K3412" s="3" t="n">
        <f aca="false">IF(AND(H3412="United Kingdom",G3412&lt;&gt;"",COUNTIFS($G$2:G3412,G3412,$H$2:H3412,"United Kingdom")=1),1,0)</f>
        <v>0</v>
      </c>
    </row>
    <row r="3413" customFormat="false" ht="15" hidden="false" customHeight="false" outlineLevel="0" collapsed="false">
      <c r="A3413" s="0" t="s">
        <v>716</v>
      </c>
      <c r="B3413" s="0" t="s">
        <v>68</v>
      </c>
      <c r="C3413" s="0" t="s">
        <v>69</v>
      </c>
      <c r="D3413" s="0" t="n">
        <v>1</v>
      </c>
      <c r="E3413" s="2" t="n">
        <v>40836.4652777778</v>
      </c>
      <c r="F3413" s="0" t="n">
        <v>1.26</v>
      </c>
      <c r="G3413" s="0" t="n">
        <v>14600</v>
      </c>
      <c r="H3413" s="3" t="s">
        <v>120</v>
      </c>
      <c r="I3413" s="4" t="n">
        <f aca="false">D3413*F3413</f>
        <v>1.26</v>
      </c>
      <c r="J3413" s="3" t="n">
        <f aca="false">IF(AND(LEFT(A3413,1)&lt;&gt;"C",D3413&gt;0,F3413&gt;0),1,0)</f>
        <v>1</v>
      </c>
      <c r="K3413" s="3" t="n">
        <f aca="false">IF(AND(H3413="United Kingdom",G3413&lt;&gt;"",COUNTIFS($G$2:G3413,G3413,$H$2:H3413,"United Kingdom")=1),1,0)</f>
        <v>0</v>
      </c>
    </row>
    <row r="3414" customFormat="false" ht="15" hidden="false" customHeight="false" outlineLevel="0" collapsed="false">
      <c r="A3414" s="0" t="s">
        <v>716</v>
      </c>
      <c r="B3414" s="0" t="s">
        <v>72</v>
      </c>
      <c r="C3414" s="0" t="s">
        <v>73</v>
      </c>
      <c r="D3414" s="0" t="n">
        <v>7</v>
      </c>
      <c r="E3414" s="2" t="n">
        <v>40836.4652777778</v>
      </c>
      <c r="F3414" s="0" t="n">
        <v>2.69</v>
      </c>
      <c r="G3414" s="0" t="n">
        <v>14600</v>
      </c>
      <c r="H3414" s="3" t="s">
        <v>120</v>
      </c>
      <c r="I3414" s="4" t="n">
        <f aca="false">D3414*F3414</f>
        <v>18.83</v>
      </c>
      <c r="J3414" s="3" t="n">
        <f aca="false">IF(AND(LEFT(A3414,1)&lt;&gt;"C",D3414&gt;0,F3414&gt;0),1,0)</f>
        <v>1</v>
      </c>
      <c r="K3414" s="3" t="n">
        <f aca="false">IF(AND(H3414="United Kingdom",G3414&lt;&gt;"",COUNTIFS($G$2:G3414,G3414,$H$2:H3414,"United Kingdom")=1),1,0)</f>
        <v>0</v>
      </c>
    </row>
    <row r="3415" customFormat="false" ht="15" hidden="false" customHeight="false" outlineLevel="0" collapsed="false">
      <c r="A3415" s="0" t="s">
        <v>716</v>
      </c>
      <c r="B3415" s="0" t="s">
        <v>25</v>
      </c>
      <c r="C3415" s="0" t="s">
        <v>26</v>
      </c>
      <c r="D3415" s="0" t="n">
        <v>10</v>
      </c>
      <c r="E3415" s="2" t="n">
        <v>40836.4652777778</v>
      </c>
      <c r="F3415" s="0" t="n">
        <v>2.21</v>
      </c>
      <c r="G3415" s="0" t="n">
        <v>14600</v>
      </c>
      <c r="H3415" s="3" t="s">
        <v>120</v>
      </c>
      <c r="I3415" s="4" t="n">
        <f aca="false">D3415*F3415</f>
        <v>22.1</v>
      </c>
      <c r="J3415" s="3" t="n">
        <f aca="false">IF(AND(LEFT(A3415,1)&lt;&gt;"C",D3415&gt;0,F3415&gt;0),1,0)</f>
        <v>1</v>
      </c>
      <c r="K3415" s="3" t="n">
        <f aca="false">IF(AND(H3415="United Kingdom",G3415&lt;&gt;"",COUNTIFS($G$2:G3415,G3415,$H$2:H3415,"United Kingdom")=1),1,0)</f>
        <v>0</v>
      </c>
    </row>
    <row r="3416" customFormat="false" ht="15" hidden="false" customHeight="false" outlineLevel="0" collapsed="false">
      <c r="A3416" s="0" t="s">
        <v>716</v>
      </c>
      <c r="B3416" s="0" t="s">
        <v>37</v>
      </c>
      <c r="C3416" s="0" t="s">
        <v>38</v>
      </c>
      <c r="D3416" s="0" t="n">
        <v>15</v>
      </c>
      <c r="E3416" s="2" t="n">
        <v>40836.4652777778</v>
      </c>
      <c r="F3416" s="0" t="n">
        <v>1.82</v>
      </c>
      <c r="G3416" s="0" t="n">
        <v>14600</v>
      </c>
      <c r="H3416" s="3" t="s">
        <v>120</v>
      </c>
      <c r="I3416" s="4" t="n">
        <f aca="false">D3416*F3416</f>
        <v>27.3</v>
      </c>
      <c r="J3416" s="3" t="n">
        <f aca="false">IF(AND(LEFT(A3416,1)&lt;&gt;"C",D3416&gt;0,F3416&gt;0),1,0)</f>
        <v>1</v>
      </c>
      <c r="K3416" s="3" t="n">
        <f aca="false">IF(AND(H3416="United Kingdom",G3416&lt;&gt;"",COUNTIFS($G$2:G3416,G3416,$H$2:H3416,"United Kingdom")=1),1,0)</f>
        <v>0</v>
      </c>
    </row>
    <row r="3417" customFormat="false" ht="15" hidden="false" customHeight="false" outlineLevel="0" collapsed="false">
      <c r="A3417" s="0" t="s">
        <v>717</v>
      </c>
      <c r="B3417" s="0" t="s">
        <v>22</v>
      </c>
      <c r="C3417" s="0" t="s">
        <v>23</v>
      </c>
      <c r="D3417" s="0" t="n">
        <v>19</v>
      </c>
      <c r="E3417" s="2" t="n">
        <v>40836.7979166667</v>
      </c>
      <c r="F3417" s="0" t="n">
        <v>3.18</v>
      </c>
      <c r="G3417" s="0" t="n">
        <v>15427</v>
      </c>
      <c r="H3417" s="3" t="s">
        <v>57</v>
      </c>
      <c r="I3417" s="4" t="n">
        <f aca="false">D3417*F3417</f>
        <v>60.42</v>
      </c>
      <c r="J3417" s="3" t="n">
        <f aca="false">IF(AND(LEFT(A3417,1)&lt;&gt;"C",D3417&gt;0,F3417&gt;0),1,0)</f>
        <v>1</v>
      </c>
      <c r="K3417" s="3" t="n">
        <f aca="false">IF(AND(H3417="United Kingdom",G3417&lt;&gt;"",COUNTIFS($G$2:G3417,G3417,$H$2:H3417,"United Kingdom")=1),1,0)</f>
        <v>0</v>
      </c>
    </row>
    <row r="3418" customFormat="false" ht="15" hidden="false" customHeight="false" outlineLevel="0" collapsed="false">
      <c r="A3418" s="0" t="s">
        <v>717</v>
      </c>
      <c r="B3418" s="0" t="s">
        <v>113</v>
      </c>
      <c r="C3418" s="0" t="s">
        <v>114</v>
      </c>
      <c r="D3418" s="0" t="n">
        <v>25</v>
      </c>
      <c r="E3418" s="2" t="n">
        <v>40836.7979166667</v>
      </c>
      <c r="F3418" s="0" t="n">
        <v>3.57</v>
      </c>
      <c r="G3418" s="0" t="n">
        <v>15427</v>
      </c>
      <c r="H3418" s="3" t="s">
        <v>57</v>
      </c>
      <c r="I3418" s="4" t="n">
        <f aca="false">D3418*F3418</f>
        <v>89.25</v>
      </c>
      <c r="J3418" s="3" t="n">
        <f aca="false">IF(AND(LEFT(A3418,1)&lt;&gt;"C",D3418&gt;0,F3418&gt;0),1,0)</f>
        <v>1</v>
      </c>
      <c r="K3418" s="3" t="n">
        <f aca="false">IF(AND(H3418="United Kingdom",G3418&lt;&gt;"",COUNTIFS($G$2:G3418,G3418,$H$2:H3418,"United Kingdom")=1),1,0)</f>
        <v>0</v>
      </c>
    </row>
    <row r="3419" customFormat="false" ht="15" hidden="false" customHeight="false" outlineLevel="0" collapsed="false">
      <c r="A3419" s="0" t="s">
        <v>717</v>
      </c>
      <c r="B3419" s="0" t="s">
        <v>63</v>
      </c>
      <c r="C3419" s="0" t="s">
        <v>64</v>
      </c>
      <c r="D3419" s="0" t="n">
        <v>19</v>
      </c>
      <c r="E3419" s="2" t="n">
        <v>40836.7979166667</v>
      </c>
      <c r="F3419" s="0" t="n">
        <v>2.43</v>
      </c>
      <c r="G3419" s="0" t="n">
        <v>15427</v>
      </c>
      <c r="H3419" s="3" t="s">
        <v>57</v>
      </c>
      <c r="I3419" s="4" t="n">
        <f aca="false">D3419*F3419</f>
        <v>46.17</v>
      </c>
      <c r="J3419" s="3" t="n">
        <f aca="false">IF(AND(LEFT(A3419,1)&lt;&gt;"C",D3419&gt;0,F3419&gt;0),1,0)</f>
        <v>1</v>
      </c>
      <c r="K3419" s="3" t="n">
        <f aca="false">IF(AND(H3419="United Kingdom",G3419&lt;&gt;"",COUNTIFS($G$2:G3419,G3419,$H$2:H3419,"United Kingdom")=1),1,0)</f>
        <v>0</v>
      </c>
    </row>
    <row r="3420" customFormat="false" ht="15" hidden="false" customHeight="false" outlineLevel="0" collapsed="false">
      <c r="A3420" s="0" t="s">
        <v>718</v>
      </c>
      <c r="B3420" s="0" t="s">
        <v>68</v>
      </c>
      <c r="C3420" s="0" t="s">
        <v>69</v>
      </c>
      <c r="D3420" s="0" t="n">
        <v>1</v>
      </c>
      <c r="E3420" s="2" t="n">
        <v>40837.4354166667</v>
      </c>
      <c r="F3420" s="0" t="n">
        <v>1.26</v>
      </c>
      <c r="G3420" s="0" t="n">
        <v>12972</v>
      </c>
      <c r="H3420" s="3" t="s">
        <v>14</v>
      </c>
      <c r="I3420" s="4" t="n">
        <f aca="false">D3420*F3420</f>
        <v>1.26</v>
      </c>
      <c r="J3420" s="3" t="n">
        <f aca="false">IF(AND(LEFT(A3420,1)&lt;&gt;"C",D3420&gt;0,F3420&gt;0),1,0)</f>
        <v>1</v>
      </c>
      <c r="K3420" s="3" t="n">
        <f aca="false">IF(AND(H3420="United Kingdom",G3420&lt;&gt;"",COUNTIFS($G$2:G3420,G3420,$H$2:H3420,"United Kingdom")=1),1,0)</f>
        <v>0</v>
      </c>
    </row>
    <row r="3421" customFormat="false" ht="15" hidden="false" customHeight="false" outlineLevel="0" collapsed="false">
      <c r="A3421" s="0" t="s">
        <v>718</v>
      </c>
      <c r="B3421" s="0" t="s">
        <v>54</v>
      </c>
      <c r="C3421" s="0" t="s">
        <v>55</v>
      </c>
      <c r="D3421" s="0" t="n">
        <v>2</v>
      </c>
      <c r="E3421" s="2" t="n">
        <v>40837.4354166667</v>
      </c>
      <c r="F3421" s="0" t="n">
        <v>0.99</v>
      </c>
      <c r="G3421" s="0" t="n">
        <v>12972</v>
      </c>
      <c r="H3421" s="3" t="s">
        <v>14</v>
      </c>
      <c r="I3421" s="4" t="n">
        <f aca="false">D3421*F3421</f>
        <v>1.98</v>
      </c>
      <c r="J3421" s="3" t="n">
        <f aca="false">IF(AND(LEFT(A3421,1)&lt;&gt;"C",D3421&gt;0,F3421&gt;0),1,0)</f>
        <v>1</v>
      </c>
      <c r="K3421" s="3" t="n">
        <f aca="false">IF(AND(H3421="United Kingdom",G3421&lt;&gt;"",COUNTIFS($G$2:G3421,G3421,$H$2:H3421,"United Kingdom")=1),1,0)</f>
        <v>0</v>
      </c>
    </row>
    <row r="3422" customFormat="false" ht="15" hidden="false" customHeight="false" outlineLevel="0" collapsed="false">
      <c r="A3422" s="0" t="s">
        <v>718</v>
      </c>
      <c r="B3422" s="0" t="s">
        <v>48</v>
      </c>
      <c r="C3422" s="0" t="s">
        <v>49</v>
      </c>
      <c r="D3422" s="0" t="n">
        <v>2</v>
      </c>
      <c r="E3422" s="2" t="n">
        <v>40837.4354166667</v>
      </c>
      <c r="F3422" s="0" t="n">
        <v>1.35</v>
      </c>
      <c r="G3422" s="0" t="n">
        <v>12972</v>
      </c>
      <c r="H3422" s="3" t="s">
        <v>14</v>
      </c>
      <c r="I3422" s="4" t="n">
        <f aca="false">D3422*F3422</f>
        <v>2.7</v>
      </c>
      <c r="J3422" s="3" t="n">
        <f aca="false">IF(AND(LEFT(A3422,1)&lt;&gt;"C",D3422&gt;0,F3422&gt;0),1,0)</f>
        <v>1</v>
      </c>
      <c r="K3422" s="3" t="n">
        <f aca="false">IF(AND(H3422="United Kingdom",G3422&lt;&gt;"",COUNTIFS($G$2:G3422,G3422,$H$2:H3422,"United Kingdom")=1),1,0)</f>
        <v>0</v>
      </c>
    </row>
    <row r="3423" customFormat="false" ht="15" hidden="false" customHeight="false" outlineLevel="0" collapsed="false">
      <c r="A3423" s="0" t="s">
        <v>718</v>
      </c>
      <c r="B3423" s="0" t="s">
        <v>34</v>
      </c>
      <c r="C3423" s="0" t="s">
        <v>35</v>
      </c>
      <c r="D3423" s="0" t="n">
        <v>4</v>
      </c>
      <c r="E3423" s="2" t="n">
        <v>40837.4354166667</v>
      </c>
      <c r="F3423" s="0" t="n">
        <v>2.38</v>
      </c>
      <c r="G3423" s="0" t="n">
        <v>12972</v>
      </c>
      <c r="H3423" s="3" t="s">
        <v>14</v>
      </c>
      <c r="I3423" s="4" t="n">
        <f aca="false">D3423*F3423</f>
        <v>9.52</v>
      </c>
      <c r="J3423" s="3" t="n">
        <f aca="false">IF(AND(LEFT(A3423,1)&lt;&gt;"C",D3423&gt;0,F3423&gt;0),1,0)</f>
        <v>1</v>
      </c>
      <c r="K3423" s="3" t="n">
        <f aca="false">IF(AND(H3423="United Kingdom",G3423&lt;&gt;"",COUNTIFS($G$2:G3423,G3423,$H$2:H3423,"United Kingdom")=1),1,0)</f>
        <v>0</v>
      </c>
    </row>
    <row r="3424" customFormat="false" ht="15" hidden="false" customHeight="false" outlineLevel="0" collapsed="false">
      <c r="A3424" s="0" t="s">
        <v>718</v>
      </c>
      <c r="B3424" s="0" t="s">
        <v>41</v>
      </c>
      <c r="C3424" s="0" t="s">
        <v>42</v>
      </c>
      <c r="D3424" s="0" t="n">
        <v>3</v>
      </c>
      <c r="E3424" s="2" t="n">
        <v>40837.4354166667</v>
      </c>
      <c r="F3424" s="0" t="n">
        <v>3.28</v>
      </c>
      <c r="G3424" s="0" t="n">
        <v>12972</v>
      </c>
      <c r="H3424" s="3" t="s">
        <v>14</v>
      </c>
      <c r="I3424" s="4" t="n">
        <f aca="false">D3424*F3424</f>
        <v>9.84</v>
      </c>
      <c r="J3424" s="3" t="n">
        <f aca="false">IF(AND(LEFT(A3424,1)&lt;&gt;"C",D3424&gt;0,F3424&gt;0),1,0)</f>
        <v>1</v>
      </c>
      <c r="K3424" s="3" t="n">
        <f aca="false">IF(AND(H3424="United Kingdom",G3424&lt;&gt;"",COUNTIFS($G$2:G3424,G3424,$H$2:H3424,"United Kingdom")=1),1,0)</f>
        <v>0</v>
      </c>
    </row>
    <row r="3425" customFormat="false" ht="15" hidden="false" customHeight="false" outlineLevel="0" collapsed="false">
      <c r="A3425" s="0" t="s">
        <v>718</v>
      </c>
      <c r="B3425" s="0" t="s">
        <v>75</v>
      </c>
      <c r="C3425" s="0" t="s">
        <v>76</v>
      </c>
      <c r="D3425" s="0" t="n">
        <v>6</v>
      </c>
      <c r="E3425" s="2" t="n">
        <v>40837.4354166667</v>
      </c>
      <c r="F3425" s="0" t="n">
        <v>1.97</v>
      </c>
      <c r="G3425" s="0" t="n">
        <v>12972</v>
      </c>
      <c r="H3425" s="3" t="s">
        <v>14</v>
      </c>
      <c r="I3425" s="4" t="n">
        <f aca="false">D3425*F3425</f>
        <v>11.82</v>
      </c>
      <c r="J3425" s="3" t="n">
        <f aca="false">IF(AND(LEFT(A3425,1)&lt;&gt;"C",D3425&gt;0,F3425&gt;0),1,0)</f>
        <v>1</v>
      </c>
      <c r="K3425" s="3" t="n">
        <f aca="false">IF(AND(H3425="United Kingdom",G3425&lt;&gt;"",COUNTIFS($G$2:G3425,G3425,$H$2:H3425,"United Kingdom")=1),1,0)</f>
        <v>0</v>
      </c>
    </row>
    <row r="3426" customFormat="false" ht="15" hidden="false" customHeight="false" outlineLevel="0" collapsed="false">
      <c r="A3426" s="0" t="s">
        <v>718</v>
      </c>
      <c r="B3426" s="0" t="s">
        <v>77</v>
      </c>
      <c r="C3426" s="0" t="s">
        <v>78</v>
      </c>
      <c r="D3426" s="0" t="n">
        <v>4</v>
      </c>
      <c r="E3426" s="2" t="n">
        <v>40837.4354166667</v>
      </c>
      <c r="F3426" s="0" t="n">
        <v>3.41</v>
      </c>
      <c r="G3426" s="0" t="n">
        <v>12972</v>
      </c>
      <c r="H3426" s="3" t="s">
        <v>14</v>
      </c>
      <c r="I3426" s="4" t="n">
        <f aca="false">D3426*F3426</f>
        <v>13.64</v>
      </c>
      <c r="J3426" s="3" t="n">
        <f aca="false">IF(AND(LEFT(A3426,1)&lt;&gt;"C",D3426&gt;0,F3426&gt;0),1,0)</f>
        <v>1</v>
      </c>
      <c r="K3426" s="3" t="n">
        <f aca="false">IF(AND(H3426="United Kingdom",G3426&lt;&gt;"",COUNTIFS($G$2:G3426,G3426,$H$2:H3426,"United Kingdom")=1),1,0)</f>
        <v>0</v>
      </c>
    </row>
    <row r="3427" customFormat="false" ht="15" hidden="false" customHeight="false" outlineLevel="0" collapsed="false">
      <c r="A3427" s="0" t="s">
        <v>718</v>
      </c>
      <c r="B3427" s="0" t="s">
        <v>43</v>
      </c>
      <c r="C3427" s="0" t="s">
        <v>44</v>
      </c>
      <c r="D3427" s="0" t="n">
        <v>2</v>
      </c>
      <c r="E3427" s="2" t="n">
        <v>40837.4354166667</v>
      </c>
      <c r="F3427" s="0" t="n">
        <v>1.35</v>
      </c>
      <c r="G3427" s="0" t="n">
        <v>12972</v>
      </c>
      <c r="H3427" s="3" t="s">
        <v>14</v>
      </c>
      <c r="I3427" s="4" t="n">
        <f aca="false">D3427*F3427</f>
        <v>2.7</v>
      </c>
      <c r="J3427" s="3" t="n">
        <f aca="false">IF(AND(LEFT(A3427,1)&lt;&gt;"C",D3427&gt;0,F3427&gt;0),1,0)</f>
        <v>1</v>
      </c>
      <c r="K3427" s="3" t="n">
        <f aca="false">IF(AND(H3427="United Kingdom",G3427&lt;&gt;"",COUNTIFS($G$2:G3427,G3427,$H$2:H3427,"United Kingdom")=1),1,0)</f>
        <v>0</v>
      </c>
    </row>
    <row r="3428" customFormat="false" ht="15" hidden="false" customHeight="false" outlineLevel="0" collapsed="false">
      <c r="A3428" s="0" t="s">
        <v>719</v>
      </c>
      <c r="B3428" s="0" t="s">
        <v>113</v>
      </c>
      <c r="C3428" s="0" t="s">
        <v>114</v>
      </c>
      <c r="D3428" s="0" t="n">
        <v>4</v>
      </c>
      <c r="E3428" s="2" t="n">
        <v>40837.5423611111</v>
      </c>
      <c r="F3428" s="0" t="n">
        <v>3.57</v>
      </c>
      <c r="G3428" s="0" t="n">
        <v>15657</v>
      </c>
      <c r="H3428" s="3" t="s">
        <v>14</v>
      </c>
      <c r="I3428" s="4" t="n">
        <f aca="false">D3428*F3428</f>
        <v>14.28</v>
      </c>
      <c r="J3428" s="3" t="n">
        <f aca="false">IF(AND(LEFT(A3428,1)&lt;&gt;"C",D3428&gt;0,F3428&gt;0),1,0)</f>
        <v>1</v>
      </c>
      <c r="K3428" s="3" t="n">
        <f aca="false">IF(AND(H3428="United Kingdom",G3428&lt;&gt;"",COUNTIFS($G$2:G3428,G3428,$H$2:H3428,"United Kingdom")=1),1,0)</f>
        <v>0</v>
      </c>
    </row>
    <row r="3429" customFormat="false" ht="15" hidden="false" customHeight="false" outlineLevel="0" collapsed="false">
      <c r="A3429" s="0" t="s">
        <v>719</v>
      </c>
      <c r="B3429" s="0" t="s">
        <v>80</v>
      </c>
      <c r="C3429" s="0" t="s">
        <v>81</v>
      </c>
      <c r="D3429" s="0" t="n">
        <v>3</v>
      </c>
      <c r="E3429" s="2" t="n">
        <v>40837.5423611111</v>
      </c>
      <c r="F3429" s="0" t="n">
        <v>1.53</v>
      </c>
      <c r="G3429" s="0" t="n">
        <v>15657</v>
      </c>
      <c r="H3429" s="3" t="s">
        <v>14</v>
      </c>
      <c r="I3429" s="4" t="n">
        <f aca="false">D3429*F3429</f>
        <v>4.59</v>
      </c>
      <c r="J3429" s="3" t="n">
        <f aca="false">IF(AND(LEFT(A3429,1)&lt;&gt;"C",D3429&gt;0,F3429&gt;0),1,0)</f>
        <v>1</v>
      </c>
      <c r="K3429" s="3" t="n">
        <f aca="false">IF(AND(H3429="United Kingdom",G3429&lt;&gt;"",COUNTIFS($G$2:G3429,G3429,$H$2:H3429,"United Kingdom")=1),1,0)</f>
        <v>0</v>
      </c>
    </row>
    <row r="3430" customFormat="false" ht="15" hidden="false" customHeight="false" outlineLevel="0" collapsed="false">
      <c r="A3430" s="0" t="s">
        <v>719</v>
      </c>
      <c r="B3430" s="0" t="s">
        <v>58</v>
      </c>
      <c r="C3430" s="0" t="s">
        <v>59</v>
      </c>
      <c r="D3430" s="0" t="n">
        <v>2</v>
      </c>
      <c r="E3430" s="2" t="n">
        <v>40837.5423611111</v>
      </c>
      <c r="F3430" s="0" t="n">
        <v>2.16</v>
      </c>
      <c r="G3430" s="0" t="n">
        <v>15657</v>
      </c>
      <c r="H3430" s="3" t="s">
        <v>14</v>
      </c>
      <c r="I3430" s="4" t="n">
        <f aca="false">D3430*F3430</f>
        <v>4.32</v>
      </c>
      <c r="J3430" s="3" t="n">
        <f aca="false">IF(AND(LEFT(A3430,1)&lt;&gt;"C",D3430&gt;0,F3430&gt;0),1,0)</f>
        <v>1</v>
      </c>
      <c r="K3430" s="3" t="n">
        <f aca="false">IF(AND(H3430="United Kingdom",G3430&lt;&gt;"",COUNTIFS($G$2:G3430,G3430,$H$2:H3430,"United Kingdom")=1),1,0)</f>
        <v>0</v>
      </c>
    </row>
    <row r="3431" customFormat="false" ht="15" hidden="false" customHeight="false" outlineLevel="0" collapsed="false">
      <c r="A3431" s="0" t="s">
        <v>719</v>
      </c>
      <c r="B3431" s="0" t="s">
        <v>37</v>
      </c>
      <c r="C3431" s="0" t="s">
        <v>38</v>
      </c>
      <c r="D3431" s="0" t="n">
        <v>4</v>
      </c>
      <c r="E3431" s="2" t="n">
        <v>40837.5423611111</v>
      </c>
      <c r="F3431" s="0" t="n">
        <v>1.82</v>
      </c>
      <c r="G3431" s="0" t="n">
        <v>15657</v>
      </c>
      <c r="H3431" s="3" t="s">
        <v>14</v>
      </c>
      <c r="I3431" s="4" t="n">
        <f aca="false">D3431*F3431</f>
        <v>7.28</v>
      </c>
      <c r="J3431" s="3" t="n">
        <f aca="false">IF(AND(LEFT(A3431,1)&lt;&gt;"C",D3431&gt;0,F3431&gt;0),1,0)</f>
        <v>1</v>
      </c>
      <c r="K3431" s="3" t="n">
        <f aca="false">IF(AND(H3431="United Kingdom",G3431&lt;&gt;"",COUNTIFS($G$2:G3431,G3431,$H$2:H3431,"United Kingdom")=1),1,0)</f>
        <v>0</v>
      </c>
    </row>
    <row r="3432" customFormat="false" ht="15" hidden="false" customHeight="false" outlineLevel="0" collapsed="false">
      <c r="A3432" s="0" t="s">
        <v>719</v>
      </c>
      <c r="B3432" s="0" t="s">
        <v>54</v>
      </c>
      <c r="C3432" s="0" t="s">
        <v>55</v>
      </c>
      <c r="D3432" s="0" t="n">
        <v>8</v>
      </c>
      <c r="E3432" s="2" t="n">
        <v>40837.5423611111</v>
      </c>
      <c r="F3432" s="0" t="n">
        <v>0.99</v>
      </c>
      <c r="G3432" s="0" t="n">
        <v>15657</v>
      </c>
      <c r="H3432" s="3" t="s">
        <v>14</v>
      </c>
      <c r="I3432" s="4" t="n">
        <f aca="false">D3432*F3432</f>
        <v>7.92</v>
      </c>
      <c r="J3432" s="3" t="n">
        <f aca="false">IF(AND(LEFT(A3432,1)&lt;&gt;"C",D3432&gt;0,F3432&gt;0),1,0)</f>
        <v>1</v>
      </c>
      <c r="K3432" s="3" t="n">
        <f aca="false">IF(AND(H3432="United Kingdom",G3432&lt;&gt;"",COUNTIFS($G$2:G3432,G3432,$H$2:H3432,"United Kingdom")=1),1,0)</f>
        <v>0</v>
      </c>
    </row>
    <row r="3433" customFormat="false" ht="15" hidden="false" customHeight="false" outlineLevel="0" collapsed="false">
      <c r="A3433" s="0" t="s">
        <v>719</v>
      </c>
      <c r="B3433" s="0" t="s">
        <v>29</v>
      </c>
      <c r="C3433" s="0" t="s">
        <v>30</v>
      </c>
      <c r="D3433" s="0" t="n">
        <v>1</v>
      </c>
      <c r="E3433" s="2" t="n">
        <v>40837.5423611111</v>
      </c>
      <c r="F3433" s="0" t="n">
        <v>5.79</v>
      </c>
      <c r="G3433" s="0" t="n">
        <v>15657</v>
      </c>
      <c r="H3433" s="3" t="s">
        <v>14</v>
      </c>
      <c r="I3433" s="4" t="n">
        <f aca="false">D3433*F3433</f>
        <v>5.79</v>
      </c>
      <c r="J3433" s="3" t="n">
        <f aca="false">IF(AND(LEFT(A3433,1)&lt;&gt;"C",D3433&gt;0,F3433&gt;0),1,0)</f>
        <v>1</v>
      </c>
      <c r="K3433" s="3" t="n">
        <f aca="false">IF(AND(H3433="United Kingdom",G3433&lt;&gt;"",COUNTIFS($G$2:G3433,G3433,$H$2:H3433,"United Kingdom")=1),1,0)</f>
        <v>0</v>
      </c>
    </row>
    <row r="3434" customFormat="false" ht="15" hidden="false" customHeight="false" outlineLevel="0" collapsed="false">
      <c r="A3434" s="0" t="s">
        <v>719</v>
      </c>
      <c r="B3434" s="0" t="s">
        <v>39</v>
      </c>
      <c r="C3434" s="0" t="s">
        <v>40</v>
      </c>
      <c r="D3434" s="0" t="n">
        <v>4</v>
      </c>
      <c r="E3434" s="2" t="n">
        <v>40837.5423611111</v>
      </c>
      <c r="F3434" s="0" t="n">
        <v>2.58</v>
      </c>
      <c r="G3434" s="0" t="n">
        <v>15657</v>
      </c>
      <c r="H3434" s="3" t="s">
        <v>14</v>
      </c>
      <c r="I3434" s="4" t="n">
        <f aca="false">D3434*F3434</f>
        <v>10.32</v>
      </c>
      <c r="J3434" s="3" t="n">
        <f aca="false">IF(AND(LEFT(A3434,1)&lt;&gt;"C",D3434&gt;0,F3434&gt;0),1,0)</f>
        <v>1</v>
      </c>
      <c r="K3434" s="3" t="n">
        <f aca="false">IF(AND(H3434="United Kingdom",G3434&lt;&gt;"",COUNTIFS($G$2:G3434,G3434,$H$2:H3434,"United Kingdom")=1),1,0)</f>
        <v>0</v>
      </c>
    </row>
    <row r="3435" customFormat="false" ht="15" hidden="false" customHeight="false" outlineLevel="0" collapsed="false">
      <c r="A3435" s="0" t="s">
        <v>719</v>
      </c>
      <c r="B3435" s="0" t="s">
        <v>72</v>
      </c>
      <c r="C3435" s="0" t="s">
        <v>73</v>
      </c>
      <c r="D3435" s="0" t="n">
        <v>12</v>
      </c>
      <c r="E3435" s="2" t="n">
        <v>40837.5423611111</v>
      </c>
      <c r="F3435" s="0" t="n">
        <v>2.69</v>
      </c>
      <c r="G3435" s="0" t="n">
        <v>15657</v>
      </c>
      <c r="H3435" s="3" t="s">
        <v>14</v>
      </c>
      <c r="I3435" s="4" t="n">
        <f aca="false">D3435*F3435</f>
        <v>32.28</v>
      </c>
      <c r="J3435" s="3" t="n">
        <f aca="false">IF(AND(LEFT(A3435,1)&lt;&gt;"C",D3435&gt;0,F3435&gt;0),1,0)</f>
        <v>1</v>
      </c>
      <c r="K3435" s="3" t="n">
        <f aca="false">IF(AND(H3435="United Kingdom",G3435&lt;&gt;"",COUNTIFS($G$2:G3435,G3435,$H$2:H3435,"United Kingdom")=1),1,0)</f>
        <v>0</v>
      </c>
    </row>
    <row r="3436" customFormat="false" ht="15" hidden="false" customHeight="false" outlineLevel="0" collapsed="false">
      <c r="A3436" s="0" t="s">
        <v>719</v>
      </c>
      <c r="B3436" s="0" t="s">
        <v>77</v>
      </c>
      <c r="C3436" s="0" t="s">
        <v>78</v>
      </c>
      <c r="D3436" s="0" t="n">
        <v>12</v>
      </c>
      <c r="E3436" s="2" t="n">
        <v>40837.5423611111</v>
      </c>
      <c r="F3436" s="0" t="n">
        <v>3.41</v>
      </c>
      <c r="G3436" s="0" t="n">
        <v>15657</v>
      </c>
      <c r="H3436" s="3" t="s">
        <v>14</v>
      </c>
      <c r="I3436" s="4" t="n">
        <f aca="false">D3436*F3436</f>
        <v>40.92</v>
      </c>
      <c r="J3436" s="3" t="n">
        <f aca="false">IF(AND(LEFT(A3436,1)&lt;&gt;"C",D3436&gt;0,F3436&gt;0),1,0)</f>
        <v>1</v>
      </c>
      <c r="K3436" s="3" t="n">
        <f aca="false">IF(AND(H3436="United Kingdom",G3436&lt;&gt;"",COUNTIFS($G$2:G3436,G3436,$H$2:H3436,"United Kingdom")=1),1,0)</f>
        <v>0</v>
      </c>
    </row>
    <row r="3437" customFormat="false" ht="15" hidden="false" customHeight="false" outlineLevel="0" collapsed="false">
      <c r="A3437" s="0" t="s">
        <v>720</v>
      </c>
      <c r="B3437" s="0" t="s">
        <v>25</v>
      </c>
      <c r="C3437" s="0" t="s">
        <v>26</v>
      </c>
      <c r="D3437" s="0" t="n">
        <v>48</v>
      </c>
      <c r="E3437" s="2" t="n">
        <v>40837.6381944444</v>
      </c>
      <c r="F3437" s="0" t="n">
        <v>2.21</v>
      </c>
      <c r="G3437" s="0" t="n">
        <v>16661</v>
      </c>
      <c r="H3437" s="3" t="s">
        <v>14</v>
      </c>
      <c r="I3437" s="4" t="n">
        <f aca="false">D3437*F3437</f>
        <v>106.08</v>
      </c>
      <c r="J3437" s="3" t="n">
        <f aca="false">IF(AND(LEFT(A3437,1)&lt;&gt;"C",D3437&gt;0,F3437&gt;0),1,0)</f>
        <v>1</v>
      </c>
      <c r="K3437" s="3" t="n">
        <f aca="false">IF(AND(H3437="United Kingdom",G3437&lt;&gt;"",COUNTIFS($G$2:G3437,G3437,$H$2:H3437,"United Kingdom")=1),1,0)</f>
        <v>0</v>
      </c>
    </row>
    <row r="3438" customFormat="false" ht="15" hidden="false" customHeight="false" outlineLevel="0" collapsed="false">
      <c r="A3438" s="0" t="s">
        <v>720</v>
      </c>
      <c r="B3438" s="0" t="s">
        <v>80</v>
      </c>
      <c r="C3438" s="0" t="s">
        <v>81</v>
      </c>
      <c r="D3438" s="0" t="n">
        <v>72</v>
      </c>
      <c r="E3438" s="2" t="n">
        <v>40837.6381944444</v>
      </c>
      <c r="F3438" s="0" t="n">
        <v>1.53</v>
      </c>
      <c r="G3438" s="0" t="n">
        <v>16661</v>
      </c>
      <c r="H3438" s="3" t="s">
        <v>14</v>
      </c>
      <c r="I3438" s="4" t="n">
        <f aca="false">D3438*F3438</f>
        <v>110.16</v>
      </c>
      <c r="J3438" s="3" t="n">
        <f aca="false">IF(AND(LEFT(A3438,1)&lt;&gt;"C",D3438&gt;0,F3438&gt;0),1,0)</f>
        <v>1</v>
      </c>
      <c r="K3438" s="3" t="n">
        <f aca="false">IF(AND(H3438="United Kingdom",G3438&lt;&gt;"",COUNTIFS($G$2:G3438,G3438,$H$2:H3438,"United Kingdom")=1),1,0)</f>
        <v>0</v>
      </c>
    </row>
    <row r="3439" customFormat="false" ht="15" hidden="false" customHeight="false" outlineLevel="0" collapsed="false">
      <c r="A3439" s="0" t="s">
        <v>720</v>
      </c>
      <c r="B3439" s="0" t="s">
        <v>43</v>
      </c>
      <c r="C3439" s="0" t="s">
        <v>44</v>
      </c>
      <c r="D3439" s="0" t="n">
        <v>36</v>
      </c>
      <c r="E3439" s="2" t="n">
        <v>40837.6381944444</v>
      </c>
      <c r="F3439" s="0" t="n">
        <v>1.35</v>
      </c>
      <c r="G3439" s="0" t="n">
        <v>16661</v>
      </c>
      <c r="H3439" s="3" t="s">
        <v>14</v>
      </c>
      <c r="I3439" s="4" t="n">
        <f aca="false">D3439*F3439</f>
        <v>48.6</v>
      </c>
      <c r="J3439" s="3" t="n">
        <f aca="false">IF(AND(LEFT(A3439,1)&lt;&gt;"C",D3439&gt;0,F3439&gt;0),1,0)</f>
        <v>1</v>
      </c>
      <c r="K3439" s="3" t="n">
        <f aca="false">IF(AND(H3439="United Kingdom",G3439&lt;&gt;"",COUNTIFS($G$2:G3439,G3439,$H$2:H3439,"United Kingdom")=1),1,0)</f>
        <v>0</v>
      </c>
    </row>
    <row r="3440" customFormat="false" ht="15" hidden="false" customHeight="false" outlineLevel="0" collapsed="false">
      <c r="A3440" s="0" t="s">
        <v>720</v>
      </c>
      <c r="B3440" s="0" t="s">
        <v>50</v>
      </c>
      <c r="C3440" s="0" t="s">
        <v>51</v>
      </c>
      <c r="D3440" s="0" t="n">
        <v>96</v>
      </c>
      <c r="E3440" s="2" t="n">
        <v>40837.6381944444</v>
      </c>
      <c r="F3440" s="0" t="n">
        <v>5.41</v>
      </c>
      <c r="G3440" s="0" t="n">
        <v>16661</v>
      </c>
      <c r="H3440" s="3" t="s">
        <v>14</v>
      </c>
      <c r="I3440" s="4" t="n">
        <f aca="false">D3440*F3440</f>
        <v>519.36</v>
      </c>
      <c r="J3440" s="3" t="n">
        <f aca="false">IF(AND(LEFT(A3440,1)&lt;&gt;"C",D3440&gt;0,F3440&gt;0),1,0)</f>
        <v>1</v>
      </c>
      <c r="K3440" s="3" t="n">
        <f aca="false">IF(AND(H3440="United Kingdom",G3440&lt;&gt;"",COUNTIFS($G$2:G3440,G3440,$H$2:H3440,"United Kingdom")=1),1,0)</f>
        <v>0</v>
      </c>
    </row>
    <row r="3441" customFormat="false" ht="15" hidden="false" customHeight="false" outlineLevel="0" collapsed="false">
      <c r="A3441" s="0" t="s">
        <v>720</v>
      </c>
      <c r="B3441" s="0" t="s">
        <v>41</v>
      </c>
      <c r="C3441" s="0" t="s">
        <v>42</v>
      </c>
      <c r="D3441" s="0" t="n">
        <v>288</v>
      </c>
      <c r="E3441" s="2" t="n">
        <v>40837.6381944444</v>
      </c>
      <c r="F3441" s="0" t="n">
        <v>3.28</v>
      </c>
      <c r="G3441" s="0" t="n">
        <v>16661</v>
      </c>
      <c r="H3441" s="3" t="s">
        <v>14</v>
      </c>
      <c r="I3441" s="4" t="n">
        <f aca="false">D3441*F3441</f>
        <v>944.64</v>
      </c>
      <c r="J3441" s="3" t="n">
        <f aca="false">IF(AND(LEFT(A3441,1)&lt;&gt;"C",D3441&gt;0,F3441&gt;0),1,0)</f>
        <v>1</v>
      </c>
      <c r="K3441" s="3" t="n">
        <f aca="false">IF(AND(H3441="United Kingdom",G3441&lt;&gt;"",COUNTIFS($G$2:G3441,G3441,$H$2:H3441,"United Kingdom")=1),1,0)</f>
        <v>0</v>
      </c>
    </row>
    <row r="3442" customFormat="false" ht="15" hidden="false" customHeight="false" outlineLevel="0" collapsed="false">
      <c r="A3442" s="0" t="s">
        <v>720</v>
      </c>
      <c r="B3442" s="0" t="s">
        <v>77</v>
      </c>
      <c r="C3442" s="0" t="s">
        <v>78</v>
      </c>
      <c r="D3442" s="0" t="n">
        <v>24</v>
      </c>
      <c r="E3442" s="2" t="n">
        <v>40837.6381944444</v>
      </c>
      <c r="F3442" s="0" t="n">
        <v>3.41</v>
      </c>
      <c r="G3442" s="0" t="n">
        <v>16661</v>
      </c>
      <c r="H3442" s="3" t="s">
        <v>14</v>
      </c>
      <c r="I3442" s="4" t="n">
        <f aca="false">D3442*F3442</f>
        <v>81.84</v>
      </c>
      <c r="J3442" s="3" t="n">
        <f aca="false">IF(AND(LEFT(A3442,1)&lt;&gt;"C",D3442&gt;0,F3442&gt;0),1,0)</f>
        <v>1</v>
      </c>
      <c r="K3442" s="3" t="n">
        <f aca="false">IF(AND(H3442="United Kingdom",G3442&lt;&gt;"",COUNTIFS($G$2:G3442,G3442,$H$2:H3442,"United Kingdom")=1),1,0)</f>
        <v>0</v>
      </c>
    </row>
    <row r="3443" customFormat="false" ht="15" hidden="false" customHeight="false" outlineLevel="0" collapsed="false">
      <c r="A3443" s="0" t="s">
        <v>720</v>
      </c>
      <c r="B3443" s="0" t="s">
        <v>58</v>
      </c>
      <c r="C3443" s="0" t="s">
        <v>59</v>
      </c>
      <c r="D3443" s="0" t="n">
        <v>96</v>
      </c>
      <c r="E3443" s="2" t="n">
        <v>40837.6381944444</v>
      </c>
      <c r="F3443" s="0" t="n">
        <v>2.16</v>
      </c>
      <c r="G3443" s="0" t="n">
        <v>16661</v>
      </c>
      <c r="H3443" s="3" t="s">
        <v>14</v>
      </c>
      <c r="I3443" s="4" t="n">
        <f aca="false">D3443*F3443</f>
        <v>207.36</v>
      </c>
      <c r="J3443" s="3" t="n">
        <f aca="false">IF(AND(LEFT(A3443,1)&lt;&gt;"C",D3443&gt;0,F3443&gt;0),1,0)</f>
        <v>1</v>
      </c>
      <c r="K3443" s="3" t="n">
        <f aca="false">IF(AND(H3443="United Kingdom",G3443&lt;&gt;"",COUNTIFS($G$2:G3443,G3443,$H$2:H3443,"United Kingdom")=1),1,0)</f>
        <v>0</v>
      </c>
    </row>
    <row r="3444" customFormat="false" ht="15" hidden="false" customHeight="false" outlineLevel="0" collapsed="false">
      <c r="A3444" s="0" t="s">
        <v>720</v>
      </c>
      <c r="B3444" s="0" t="s">
        <v>63</v>
      </c>
      <c r="C3444" s="0" t="s">
        <v>64</v>
      </c>
      <c r="D3444" s="0" t="n">
        <v>144</v>
      </c>
      <c r="E3444" s="2" t="n">
        <v>40837.6381944444</v>
      </c>
      <c r="F3444" s="0" t="n">
        <v>2.43</v>
      </c>
      <c r="G3444" s="0" t="n">
        <v>16661</v>
      </c>
      <c r="H3444" s="3" t="s">
        <v>14</v>
      </c>
      <c r="I3444" s="4" t="n">
        <f aca="false">D3444*F3444</f>
        <v>349.92</v>
      </c>
      <c r="J3444" s="3" t="n">
        <f aca="false">IF(AND(LEFT(A3444,1)&lt;&gt;"C",D3444&gt;0,F3444&gt;0),1,0)</f>
        <v>1</v>
      </c>
      <c r="K3444" s="3" t="n">
        <f aca="false">IF(AND(H3444="United Kingdom",G3444&lt;&gt;"",COUNTIFS($G$2:G3444,G3444,$H$2:H3444,"United Kingdom")=1),1,0)</f>
        <v>0</v>
      </c>
    </row>
    <row r="3445" customFormat="false" ht="15" hidden="false" customHeight="false" outlineLevel="0" collapsed="false">
      <c r="A3445" s="0" t="s">
        <v>720</v>
      </c>
      <c r="B3445" s="0" t="s">
        <v>72</v>
      </c>
      <c r="C3445" s="0" t="s">
        <v>73</v>
      </c>
      <c r="D3445" s="0" t="n">
        <v>576</v>
      </c>
      <c r="E3445" s="2" t="n">
        <v>40837.6381944444</v>
      </c>
      <c r="F3445" s="0" t="n">
        <v>2.69</v>
      </c>
      <c r="G3445" s="0" t="n">
        <v>16661</v>
      </c>
      <c r="H3445" s="3" t="s">
        <v>14</v>
      </c>
      <c r="I3445" s="4" t="n">
        <f aca="false">D3445*F3445</f>
        <v>1549.44</v>
      </c>
      <c r="J3445" s="3" t="n">
        <f aca="false">IF(AND(LEFT(A3445,1)&lt;&gt;"C",D3445&gt;0,F3445&gt;0),1,0)</f>
        <v>1</v>
      </c>
      <c r="K3445" s="3" t="n">
        <f aca="false">IF(AND(H3445="United Kingdom",G3445&lt;&gt;"",COUNTIFS($G$2:G3445,G3445,$H$2:H3445,"United Kingdom")=1),1,0)</f>
        <v>0</v>
      </c>
    </row>
    <row r="3446" customFormat="false" ht="15" hidden="false" customHeight="false" outlineLevel="0" collapsed="false">
      <c r="A3446" s="0" t="s">
        <v>721</v>
      </c>
      <c r="B3446" s="0" t="s">
        <v>90</v>
      </c>
      <c r="C3446" s="0" t="s">
        <v>91</v>
      </c>
      <c r="D3446" s="0" t="n">
        <v>3</v>
      </c>
      <c r="E3446" s="2" t="n">
        <v>40837.7333333333</v>
      </c>
      <c r="F3446" s="0" t="n">
        <v>3.04</v>
      </c>
      <c r="G3446" s="0" t="n">
        <v>18118</v>
      </c>
      <c r="H3446" s="3" t="s">
        <v>124</v>
      </c>
      <c r="I3446" s="4" t="n">
        <f aca="false">D3446*F3446</f>
        <v>9.12</v>
      </c>
      <c r="J3446" s="3" t="n">
        <f aca="false">IF(AND(LEFT(A3446,1)&lt;&gt;"C",D3446&gt;0,F3446&gt;0),1,0)</f>
        <v>1</v>
      </c>
      <c r="K3446" s="3" t="n">
        <f aca="false">IF(AND(H3446="United Kingdom",G3446&lt;&gt;"",COUNTIFS($G$2:G3446,G3446,$H$2:H3446,"United Kingdom")=1),1,0)</f>
        <v>0</v>
      </c>
    </row>
    <row r="3447" customFormat="false" ht="15" hidden="false" customHeight="false" outlineLevel="0" collapsed="false">
      <c r="A3447" s="0" t="s">
        <v>721</v>
      </c>
      <c r="B3447" s="0" t="s">
        <v>77</v>
      </c>
      <c r="C3447" s="0" t="s">
        <v>78</v>
      </c>
      <c r="D3447" s="0" t="n">
        <v>3</v>
      </c>
      <c r="E3447" s="2" t="n">
        <v>40837.7333333333</v>
      </c>
      <c r="F3447" s="0" t="n">
        <v>3.41</v>
      </c>
      <c r="G3447" s="0" t="n">
        <v>18118</v>
      </c>
      <c r="H3447" s="3" t="s">
        <v>124</v>
      </c>
      <c r="I3447" s="4" t="n">
        <f aca="false">D3447*F3447</f>
        <v>10.23</v>
      </c>
      <c r="J3447" s="3" t="n">
        <f aca="false">IF(AND(LEFT(A3447,1)&lt;&gt;"C",D3447&gt;0,F3447&gt;0),1,0)</f>
        <v>1</v>
      </c>
      <c r="K3447" s="3" t="n">
        <f aca="false">IF(AND(H3447="United Kingdom",G3447&lt;&gt;"",COUNTIFS($G$2:G3447,G3447,$H$2:H3447,"United Kingdom")=1),1,0)</f>
        <v>0</v>
      </c>
    </row>
    <row r="3448" customFormat="false" ht="15" hidden="false" customHeight="false" outlineLevel="0" collapsed="false">
      <c r="A3448" s="0" t="s">
        <v>721</v>
      </c>
      <c r="B3448" s="0" t="s">
        <v>72</v>
      </c>
      <c r="C3448" s="0" t="s">
        <v>73</v>
      </c>
      <c r="D3448" s="0" t="n">
        <v>12</v>
      </c>
      <c r="E3448" s="2" t="n">
        <v>40837.7333333333</v>
      </c>
      <c r="F3448" s="0" t="n">
        <v>2.69</v>
      </c>
      <c r="G3448" s="0" t="n">
        <v>18118</v>
      </c>
      <c r="H3448" s="3" t="s">
        <v>124</v>
      </c>
      <c r="I3448" s="4" t="n">
        <f aca="false">D3448*F3448</f>
        <v>32.28</v>
      </c>
      <c r="J3448" s="3" t="n">
        <f aca="false">IF(AND(LEFT(A3448,1)&lt;&gt;"C",D3448&gt;0,F3448&gt;0),1,0)</f>
        <v>1</v>
      </c>
      <c r="K3448" s="3" t="n">
        <f aca="false">IF(AND(H3448="United Kingdom",G3448&lt;&gt;"",COUNTIFS($G$2:G3448,G3448,$H$2:H3448,"United Kingdom")=1),1,0)</f>
        <v>0</v>
      </c>
    </row>
    <row r="3449" customFormat="false" ht="15" hidden="false" customHeight="false" outlineLevel="0" collapsed="false">
      <c r="A3449" s="0" t="s">
        <v>721</v>
      </c>
      <c r="B3449" s="0" t="s">
        <v>12</v>
      </c>
      <c r="C3449" s="0" t="s">
        <v>13</v>
      </c>
      <c r="D3449" s="0" t="n">
        <v>9</v>
      </c>
      <c r="E3449" s="2" t="n">
        <v>40837.7333333333</v>
      </c>
      <c r="F3449" s="0" t="n">
        <v>3.33</v>
      </c>
      <c r="G3449" s="0" t="n">
        <v>18118</v>
      </c>
      <c r="H3449" s="3" t="s">
        <v>124</v>
      </c>
      <c r="I3449" s="4" t="n">
        <f aca="false">D3449*F3449</f>
        <v>29.97</v>
      </c>
      <c r="J3449" s="3" t="n">
        <f aca="false">IF(AND(LEFT(A3449,1)&lt;&gt;"C",D3449&gt;0,F3449&gt;0),1,0)</f>
        <v>1</v>
      </c>
      <c r="K3449" s="3" t="n">
        <f aca="false">IF(AND(H3449="United Kingdom",G3449&lt;&gt;"",COUNTIFS($G$2:G3449,G3449,$H$2:H3449,"United Kingdom")=1),1,0)</f>
        <v>0</v>
      </c>
    </row>
    <row r="3450" customFormat="false" ht="15" hidden="false" customHeight="false" outlineLevel="0" collapsed="false">
      <c r="A3450" s="0" t="s">
        <v>721</v>
      </c>
      <c r="B3450" s="0" t="s">
        <v>27</v>
      </c>
      <c r="C3450" s="0" t="s">
        <v>28</v>
      </c>
      <c r="D3450" s="0" t="n">
        <v>24</v>
      </c>
      <c r="E3450" s="2" t="n">
        <v>40837.7333333333</v>
      </c>
      <c r="F3450" s="0" t="n">
        <v>4.55</v>
      </c>
      <c r="G3450" s="0" t="n">
        <v>18118</v>
      </c>
      <c r="H3450" s="3" t="s">
        <v>124</v>
      </c>
      <c r="I3450" s="4" t="n">
        <f aca="false">D3450*F3450</f>
        <v>109.2</v>
      </c>
      <c r="J3450" s="3" t="n">
        <f aca="false">IF(AND(LEFT(A3450,1)&lt;&gt;"C",D3450&gt;0,F3450&gt;0),1,0)</f>
        <v>1</v>
      </c>
      <c r="K3450" s="3" t="n">
        <f aca="false">IF(AND(H3450="United Kingdom",G3450&lt;&gt;"",COUNTIFS($G$2:G3450,G3450,$H$2:H3450,"United Kingdom")=1),1,0)</f>
        <v>0</v>
      </c>
    </row>
    <row r="3451" customFormat="false" ht="15" hidden="false" customHeight="false" outlineLevel="0" collapsed="false">
      <c r="A3451" s="0" t="s">
        <v>721</v>
      </c>
      <c r="B3451" s="0" t="s">
        <v>48</v>
      </c>
      <c r="C3451" s="0" t="s">
        <v>49</v>
      </c>
      <c r="D3451" s="0" t="n">
        <v>24</v>
      </c>
      <c r="E3451" s="2" t="n">
        <v>40837.7333333333</v>
      </c>
      <c r="F3451" s="0" t="n">
        <v>1.35</v>
      </c>
      <c r="G3451" s="0" t="n">
        <v>18118</v>
      </c>
      <c r="H3451" s="3" t="s">
        <v>124</v>
      </c>
      <c r="I3451" s="4" t="n">
        <f aca="false">D3451*F3451</f>
        <v>32.4</v>
      </c>
      <c r="J3451" s="3" t="n">
        <f aca="false">IF(AND(LEFT(A3451,1)&lt;&gt;"C",D3451&gt;0,F3451&gt;0),1,0)</f>
        <v>1</v>
      </c>
      <c r="K3451" s="3" t="n">
        <f aca="false">IF(AND(H3451="United Kingdom",G3451&lt;&gt;"",COUNTIFS($G$2:G3451,G3451,$H$2:H3451,"United Kingdom")=1),1,0)</f>
        <v>0</v>
      </c>
    </row>
    <row r="3452" customFormat="false" ht="15" hidden="false" customHeight="false" outlineLevel="0" collapsed="false">
      <c r="A3452" s="0" t="s">
        <v>721</v>
      </c>
      <c r="B3452" s="0" t="s">
        <v>39</v>
      </c>
      <c r="C3452" s="0" t="s">
        <v>40</v>
      </c>
      <c r="D3452" s="0" t="n">
        <v>6</v>
      </c>
      <c r="E3452" s="2" t="n">
        <v>40837.7333333333</v>
      </c>
      <c r="F3452" s="0" t="n">
        <v>2.58</v>
      </c>
      <c r="G3452" s="0" t="n">
        <v>18118</v>
      </c>
      <c r="H3452" s="3" t="s">
        <v>124</v>
      </c>
      <c r="I3452" s="4" t="n">
        <f aca="false">D3452*F3452</f>
        <v>15.48</v>
      </c>
      <c r="J3452" s="3" t="n">
        <f aca="false">IF(AND(LEFT(A3452,1)&lt;&gt;"C",D3452&gt;0,F3452&gt;0),1,0)</f>
        <v>1</v>
      </c>
      <c r="K3452" s="3" t="n">
        <f aca="false">IF(AND(H3452="United Kingdom",G3452&lt;&gt;"",COUNTIFS($G$2:G3452,G3452,$H$2:H3452,"United Kingdom")=1),1,0)</f>
        <v>0</v>
      </c>
    </row>
    <row r="3453" customFormat="false" ht="15" hidden="false" customHeight="false" outlineLevel="0" collapsed="false">
      <c r="A3453" s="0" t="s">
        <v>721</v>
      </c>
      <c r="B3453" s="0" t="s">
        <v>58</v>
      </c>
      <c r="C3453" s="0" t="s">
        <v>59</v>
      </c>
      <c r="D3453" s="0" t="n">
        <v>24</v>
      </c>
      <c r="E3453" s="2" t="n">
        <v>40837.7333333333</v>
      </c>
      <c r="F3453" s="0" t="n">
        <v>2.16</v>
      </c>
      <c r="G3453" s="0" t="n">
        <v>18118</v>
      </c>
      <c r="H3453" s="3" t="s">
        <v>124</v>
      </c>
      <c r="I3453" s="4" t="n">
        <f aca="false">D3453*F3453</f>
        <v>51.84</v>
      </c>
      <c r="J3453" s="3" t="n">
        <f aca="false">IF(AND(LEFT(A3453,1)&lt;&gt;"C",D3453&gt;0,F3453&gt;0),1,0)</f>
        <v>1</v>
      </c>
      <c r="K3453" s="3" t="n">
        <f aca="false">IF(AND(H3453="United Kingdom",G3453&lt;&gt;"",COUNTIFS($G$2:G3453,G3453,$H$2:H3453,"United Kingdom")=1),1,0)</f>
        <v>0</v>
      </c>
    </row>
    <row r="3454" customFormat="false" ht="15" hidden="false" customHeight="false" outlineLevel="0" collapsed="false">
      <c r="A3454" s="0" t="s">
        <v>721</v>
      </c>
      <c r="B3454" s="0" t="s">
        <v>65</v>
      </c>
      <c r="C3454" s="0" t="s">
        <v>66</v>
      </c>
      <c r="D3454" s="0" t="n">
        <v>12</v>
      </c>
      <c r="E3454" s="2" t="n">
        <v>40837.7333333333</v>
      </c>
      <c r="F3454" s="0" t="n">
        <v>4.75</v>
      </c>
      <c r="G3454" s="0" t="n">
        <v>18118</v>
      </c>
      <c r="H3454" s="3" t="s">
        <v>124</v>
      </c>
      <c r="I3454" s="4" t="n">
        <f aca="false">D3454*F3454</f>
        <v>57</v>
      </c>
      <c r="J3454" s="3" t="n">
        <f aca="false">IF(AND(LEFT(A3454,1)&lt;&gt;"C",D3454&gt;0,F3454&gt;0),1,0)</f>
        <v>1</v>
      </c>
      <c r="K3454" s="3" t="n">
        <f aca="false">IF(AND(H3454="United Kingdom",G3454&lt;&gt;"",COUNTIFS($G$2:G3454,G3454,$H$2:H3454,"United Kingdom")=1),1,0)</f>
        <v>0</v>
      </c>
    </row>
    <row r="3455" customFormat="false" ht="15" hidden="false" customHeight="false" outlineLevel="0" collapsed="false">
      <c r="A3455" s="0" t="s">
        <v>721</v>
      </c>
      <c r="B3455" s="0" t="s">
        <v>22</v>
      </c>
      <c r="C3455" s="0" t="s">
        <v>23</v>
      </c>
      <c r="D3455" s="0" t="n">
        <v>12</v>
      </c>
      <c r="E3455" s="2" t="n">
        <v>40837.7333333333</v>
      </c>
      <c r="F3455" s="0" t="n">
        <v>3.18</v>
      </c>
      <c r="G3455" s="0" t="n">
        <v>18118</v>
      </c>
      <c r="H3455" s="3" t="s">
        <v>124</v>
      </c>
      <c r="I3455" s="4" t="n">
        <f aca="false">D3455*F3455</f>
        <v>38.16</v>
      </c>
      <c r="J3455" s="3" t="n">
        <f aca="false">IF(AND(LEFT(A3455,1)&lt;&gt;"C",D3455&gt;0,F3455&gt;0),1,0)</f>
        <v>1</v>
      </c>
      <c r="K3455" s="3" t="n">
        <f aca="false">IF(AND(H3455="United Kingdom",G3455&lt;&gt;"",COUNTIFS($G$2:G3455,G3455,$H$2:H3455,"United Kingdom")=1),1,0)</f>
        <v>0</v>
      </c>
    </row>
    <row r="3456" customFormat="false" ht="15" hidden="false" customHeight="false" outlineLevel="0" collapsed="false">
      <c r="A3456" s="0" t="s">
        <v>721</v>
      </c>
      <c r="B3456" s="0" t="s">
        <v>80</v>
      </c>
      <c r="C3456" s="0" t="s">
        <v>81</v>
      </c>
      <c r="D3456" s="0" t="n">
        <v>9</v>
      </c>
      <c r="E3456" s="2" t="n">
        <v>40837.7333333333</v>
      </c>
      <c r="F3456" s="0" t="n">
        <v>1.53</v>
      </c>
      <c r="G3456" s="0" t="n">
        <v>18118</v>
      </c>
      <c r="H3456" s="3" t="s">
        <v>124</v>
      </c>
      <c r="I3456" s="4" t="n">
        <f aca="false">D3456*F3456</f>
        <v>13.77</v>
      </c>
      <c r="J3456" s="3" t="n">
        <f aca="false">IF(AND(LEFT(A3456,1)&lt;&gt;"C",D3456&gt;0,F3456&gt;0),1,0)</f>
        <v>1</v>
      </c>
      <c r="K3456" s="3" t="n">
        <f aca="false">IF(AND(H3456="United Kingdom",G3456&lt;&gt;"",COUNTIFS($G$2:G3456,G3456,$H$2:H3456,"United Kingdom")=1),1,0)</f>
        <v>0</v>
      </c>
    </row>
    <row r="3457" customFormat="false" ht="15" hidden="false" customHeight="false" outlineLevel="0" collapsed="false">
      <c r="A3457" s="0" t="s">
        <v>721</v>
      </c>
      <c r="B3457" s="0" t="s">
        <v>52</v>
      </c>
      <c r="C3457" s="0" t="s">
        <v>53</v>
      </c>
      <c r="D3457" s="0" t="n">
        <v>36</v>
      </c>
      <c r="E3457" s="2" t="n">
        <v>40837.7333333333</v>
      </c>
      <c r="F3457" s="0" t="n">
        <v>4.16</v>
      </c>
      <c r="G3457" s="0" t="n">
        <v>18118</v>
      </c>
      <c r="H3457" s="3" t="s">
        <v>124</v>
      </c>
      <c r="I3457" s="4" t="n">
        <f aca="false">D3457*F3457</f>
        <v>149.76</v>
      </c>
      <c r="J3457" s="3" t="n">
        <f aca="false">IF(AND(LEFT(A3457,1)&lt;&gt;"C",D3457&gt;0,F3457&gt;0),1,0)</f>
        <v>1</v>
      </c>
      <c r="K3457" s="3" t="n">
        <f aca="false">IF(AND(H3457="United Kingdom",G3457&lt;&gt;"",COUNTIFS($G$2:G3457,G3457,$H$2:H3457,"United Kingdom")=1),1,0)</f>
        <v>0</v>
      </c>
    </row>
    <row r="3458" customFormat="false" ht="15" hidden="false" customHeight="false" outlineLevel="0" collapsed="false">
      <c r="A3458" s="0" t="s">
        <v>721</v>
      </c>
      <c r="B3458" s="0" t="s">
        <v>15</v>
      </c>
      <c r="C3458" s="0" t="s">
        <v>16</v>
      </c>
      <c r="D3458" s="0" t="n">
        <v>6</v>
      </c>
      <c r="E3458" s="2" t="n">
        <v>40837.7333333333</v>
      </c>
      <c r="F3458" s="0" t="n">
        <v>3.18</v>
      </c>
      <c r="G3458" s="0" t="n">
        <v>18118</v>
      </c>
      <c r="H3458" s="3" t="s">
        <v>124</v>
      </c>
      <c r="I3458" s="4" t="n">
        <f aca="false">D3458*F3458</f>
        <v>19.08</v>
      </c>
      <c r="J3458" s="3" t="n">
        <f aca="false">IF(AND(LEFT(A3458,1)&lt;&gt;"C",D3458&gt;0,F3458&gt;0),1,0)</f>
        <v>1</v>
      </c>
      <c r="K3458" s="3" t="n">
        <f aca="false">IF(AND(H3458="United Kingdom",G3458&lt;&gt;"",COUNTIFS($G$2:G3458,G3458,$H$2:H3458,"United Kingdom")=1),1,0)</f>
        <v>0</v>
      </c>
    </row>
    <row r="3459" customFormat="false" ht="15" hidden="false" customHeight="false" outlineLevel="0" collapsed="false">
      <c r="A3459" s="0" t="s">
        <v>721</v>
      </c>
      <c r="B3459" s="0" t="s">
        <v>37</v>
      </c>
      <c r="C3459" s="0" t="s">
        <v>38</v>
      </c>
      <c r="D3459" s="0" t="n">
        <v>6</v>
      </c>
      <c r="E3459" s="2" t="n">
        <v>40837.7333333333</v>
      </c>
      <c r="F3459" s="0" t="n">
        <v>1.82</v>
      </c>
      <c r="G3459" s="0" t="n">
        <v>18118</v>
      </c>
      <c r="H3459" s="3" t="s">
        <v>124</v>
      </c>
      <c r="I3459" s="4" t="n">
        <f aca="false">D3459*F3459</f>
        <v>10.92</v>
      </c>
      <c r="J3459" s="3" t="n">
        <f aca="false">IF(AND(LEFT(A3459,1)&lt;&gt;"C",D3459&gt;0,F3459&gt;0),1,0)</f>
        <v>1</v>
      </c>
      <c r="K3459" s="3" t="n">
        <f aca="false">IF(AND(H3459="United Kingdom",G3459&lt;&gt;"",COUNTIFS($G$2:G3459,G3459,$H$2:H3459,"United Kingdom")=1),1,0)</f>
        <v>0</v>
      </c>
    </row>
    <row r="3460" customFormat="false" ht="15" hidden="false" customHeight="false" outlineLevel="0" collapsed="false">
      <c r="A3460" s="0" t="s">
        <v>721</v>
      </c>
      <c r="B3460" s="0" t="s">
        <v>25</v>
      </c>
      <c r="C3460" s="0" t="s">
        <v>26</v>
      </c>
      <c r="D3460" s="0" t="n">
        <v>18</v>
      </c>
      <c r="E3460" s="2" t="n">
        <v>40837.7333333333</v>
      </c>
      <c r="F3460" s="0" t="n">
        <v>2.21</v>
      </c>
      <c r="G3460" s="0" t="n">
        <v>18118</v>
      </c>
      <c r="H3460" s="3" t="s">
        <v>124</v>
      </c>
      <c r="I3460" s="4" t="n">
        <f aca="false">D3460*F3460</f>
        <v>39.78</v>
      </c>
      <c r="J3460" s="3" t="n">
        <f aca="false">IF(AND(LEFT(A3460,1)&lt;&gt;"C",D3460&gt;0,F3460&gt;0),1,0)</f>
        <v>1</v>
      </c>
      <c r="K3460" s="3" t="n">
        <f aca="false">IF(AND(H3460="United Kingdom",G3460&lt;&gt;"",COUNTIFS($G$2:G3460,G3460,$H$2:H3460,"United Kingdom")=1),1,0)</f>
        <v>0</v>
      </c>
    </row>
    <row r="3461" customFormat="false" ht="15" hidden="false" customHeight="false" outlineLevel="0" collapsed="false">
      <c r="A3461" s="0" t="s">
        <v>721</v>
      </c>
      <c r="B3461" s="0" t="s">
        <v>17</v>
      </c>
      <c r="C3461" s="0" t="s">
        <v>18</v>
      </c>
      <c r="D3461" s="0" t="n">
        <v>3</v>
      </c>
      <c r="E3461" s="2" t="n">
        <v>40837.7333333333</v>
      </c>
      <c r="F3461" s="0" t="n">
        <v>1.92</v>
      </c>
      <c r="G3461" s="0" t="n">
        <v>18118</v>
      </c>
      <c r="H3461" s="3" t="s">
        <v>124</v>
      </c>
      <c r="I3461" s="4" t="n">
        <f aca="false">D3461*F3461</f>
        <v>5.76</v>
      </c>
      <c r="J3461" s="3" t="n">
        <f aca="false">IF(AND(LEFT(A3461,1)&lt;&gt;"C",D3461&gt;0,F3461&gt;0),1,0)</f>
        <v>1</v>
      </c>
      <c r="K3461" s="3" t="n">
        <f aca="false">IF(AND(H3461="United Kingdom",G3461&lt;&gt;"",COUNTIFS($G$2:G3461,G3461,$H$2:H3461,"United Kingdom")=1),1,0)</f>
        <v>0</v>
      </c>
    </row>
    <row r="3462" customFormat="false" ht="15" hidden="false" customHeight="false" outlineLevel="0" collapsed="false">
      <c r="A3462" s="0" t="s">
        <v>721</v>
      </c>
      <c r="B3462" s="0" t="s">
        <v>32</v>
      </c>
      <c r="C3462" s="0" t="s">
        <v>33</v>
      </c>
      <c r="D3462" s="0" t="n">
        <v>18</v>
      </c>
      <c r="E3462" s="2" t="n">
        <v>40837.7333333333</v>
      </c>
      <c r="F3462" s="0" t="n">
        <v>1.19</v>
      </c>
      <c r="G3462" s="0" t="n">
        <v>18118</v>
      </c>
      <c r="H3462" s="3" t="s">
        <v>124</v>
      </c>
      <c r="I3462" s="4" t="n">
        <f aca="false">D3462*F3462</f>
        <v>21.42</v>
      </c>
      <c r="J3462" s="3" t="n">
        <f aca="false">IF(AND(LEFT(A3462,1)&lt;&gt;"C",D3462&gt;0,F3462&gt;0),1,0)</f>
        <v>1</v>
      </c>
      <c r="K3462" s="3" t="n">
        <f aca="false">IF(AND(H3462="United Kingdom",G3462&lt;&gt;"",COUNTIFS($G$2:G3462,G3462,$H$2:H3462,"United Kingdom")=1),1,0)</f>
        <v>0</v>
      </c>
    </row>
    <row r="3463" customFormat="false" ht="15" hidden="false" customHeight="false" outlineLevel="0" collapsed="false">
      <c r="A3463" s="0" t="s">
        <v>721</v>
      </c>
      <c r="B3463" s="0" t="s">
        <v>43</v>
      </c>
      <c r="C3463" s="0" t="s">
        <v>44</v>
      </c>
      <c r="D3463" s="0" t="n">
        <v>9</v>
      </c>
      <c r="E3463" s="2" t="n">
        <v>40837.7333333333</v>
      </c>
      <c r="F3463" s="0" t="n">
        <v>1.35</v>
      </c>
      <c r="G3463" s="0" t="n">
        <v>18118</v>
      </c>
      <c r="H3463" s="3" t="s">
        <v>124</v>
      </c>
      <c r="I3463" s="4" t="n">
        <f aca="false">D3463*F3463</f>
        <v>12.15</v>
      </c>
      <c r="J3463" s="3" t="n">
        <f aca="false">IF(AND(LEFT(A3463,1)&lt;&gt;"C",D3463&gt;0,F3463&gt;0),1,0)</f>
        <v>1</v>
      </c>
      <c r="K3463" s="3" t="n">
        <f aca="false">IF(AND(H3463="United Kingdom",G3463&lt;&gt;"",COUNTIFS($G$2:G3463,G3463,$H$2:H3463,"United Kingdom")=1),1,0)</f>
        <v>0</v>
      </c>
    </row>
    <row r="3464" customFormat="false" ht="15" hidden="false" customHeight="false" outlineLevel="0" collapsed="false">
      <c r="A3464" s="0" t="s">
        <v>721</v>
      </c>
      <c r="B3464" s="0" t="s">
        <v>34</v>
      </c>
      <c r="C3464" s="0" t="s">
        <v>35</v>
      </c>
      <c r="D3464" s="0" t="n">
        <v>24</v>
      </c>
      <c r="E3464" s="2" t="n">
        <v>40837.7333333333</v>
      </c>
      <c r="F3464" s="0" t="n">
        <v>2.38</v>
      </c>
      <c r="G3464" s="0" t="n">
        <v>18118</v>
      </c>
      <c r="H3464" s="3" t="s">
        <v>124</v>
      </c>
      <c r="I3464" s="4" t="n">
        <f aca="false">D3464*F3464</f>
        <v>57.12</v>
      </c>
      <c r="J3464" s="3" t="n">
        <f aca="false">IF(AND(LEFT(A3464,1)&lt;&gt;"C",D3464&gt;0,F3464&gt;0),1,0)</f>
        <v>1</v>
      </c>
      <c r="K3464" s="3" t="n">
        <f aca="false">IF(AND(H3464="United Kingdom",G3464&lt;&gt;"",COUNTIFS($G$2:G3464,G3464,$H$2:H3464,"United Kingdom")=1),1,0)</f>
        <v>0</v>
      </c>
    </row>
    <row r="3465" customFormat="false" ht="15" hidden="false" customHeight="false" outlineLevel="0" collapsed="false">
      <c r="A3465" s="0" t="s">
        <v>721</v>
      </c>
      <c r="B3465" s="0" t="s">
        <v>68</v>
      </c>
      <c r="C3465" s="0" t="s">
        <v>69</v>
      </c>
      <c r="D3465" s="0" t="n">
        <v>6</v>
      </c>
      <c r="E3465" s="2" t="n">
        <v>40837.7333333333</v>
      </c>
      <c r="F3465" s="0" t="n">
        <v>1.26</v>
      </c>
      <c r="G3465" s="0" t="n">
        <v>18118</v>
      </c>
      <c r="H3465" s="3" t="s">
        <v>124</v>
      </c>
      <c r="I3465" s="4" t="n">
        <f aca="false">D3465*F3465</f>
        <v>7.56</v>
      </c>
      <c r="J3465" s="3" t="n">
        <f aca="false">IF(AND(LEFT(A3465,1)&lt;&gt;"C",D3465&gt;0,F3465&gt;0),1,0)</f>
        <v>1</v>
      </c>
      <c r="K3465" s="3" t="n">
        <f aca="false">IF(AND(H3465="United Kingdom",G3465&lt;&gt;"",COUNTIFS($G$2:G3465,G3465,$H$2:H3465,"United Kingdom")=1),1,0)</f>
        <v>0</v>
      </c>
    </row>
    <row r="3466" customFormat="false" ht="15" hidden="false" customHeight="false" outlineLevel="0" collapsed="false">
      <c r="A3466" s="0" t="s">
        <v>721</v>
      </c>
      <c r="B3466" s="0" t="s">
        <v>75</v>
      </c>
      <c r="C3466" s="0" t="s">
        <v>76</v>
      </c>
      <c r="D3466" s="0" t="n">
        <v>12</v>
      </c>
      <c r="E3466" s="2" t="n">
        <v>40837.7333333333</v>
      </c>
      <c r="F3466" s="0" t="n">
        <v>1.97</v>
      </c>
      <c r="G3466" s="0" t="n">
        <v>18118</v>
      </c>
      <c r="H3466" s="3" t="s">
        <v>124</v>
      </c>
      <c r="I3466" s="4" t="n">
        <f aca="false">D3466*F3466</f>
        <v>23.64</v>
      </c>
      <c r="J3466" s="3" t="n">
        <f aca="false">IF(AND(LEFT(A3466,1)&lt;&gt;"C",D3466&gt;0,F3466&gt;0),1,0)</f>
        <v>1</v>
      </c>
      <c r="K3466" s="3" t="n">
        <f aca="false">IF(AND(H3466="United Kingdom",G3466&lt;&gt;"",COUNTIFS($G$2:G3466,G3466,$H$2:H3466,"United Kingdom")=1),1,0)</f>
        <v>0</v>
      </c>
    </row>
    <row r="3467" customFormat="false" ht="15" hidden="false" customHeight="false" outlineLevel="0" collapsed="false">
      <c r="A3467" s="0" t="s">
        <v>721</v>
      </c>
      <c r="B3467" s="0" t="s">
        <v>20</v>
      </c>
      <c r="C3467" s="0" t="s">
        <v>21</v>
      </c>
      <c r="D3467" s="0" t="n">
        <v>6</v>
      </c>
      <c r="E3467" s="2" t="n">
        <v>40837.7333333333</v>
      </c>
      <c r="F3467" s="0" t="n">
        <v>4.24</v>
      </c>
      <c r="G3467" s="0" t="n">
        <v>18118</v>
      </c>
      <c r="H3467" s="3" t="s">
        <v>124</v>
      </c>
      <c r="I3467" s="4" t="n">
        <f aca="false">D3467*F3467</f>
        <v>25.44</v>
      </c>
      <c r="J3467" s="3" t="n">
        <f aca="false">IF(AND(LEFT(A3467,1)&lt;&gt;"C",D3467&gt;0,F3467&gt;0),1,0)</f>
        <v>1</v>
      </c>
      <c r="K3467" s="3" t="n">
        <f aca="false">IF(AND(H3467="United Kingdom",G3467&lt;&gt;"",COUNTIFS($G$2:G3467,G3467,$H$2:H3467,"United Kingdom")=1),1,0)</f>
        <v>0</v>
      </c>
    </row>
    <row r="3468" customFormat="false" ht="15" hidden="false" customHeight="false" outlineLevel="0" collapsed="false">
      <c r="A3468" s="0" t="s">
        <v>721</v>
      </c>
      <c r="B3468" s="0" t="s">
        <v>60</v>
      </c>
      <c r="C3468" s="0" t="s">
        <v>61</v>
      </c>
      <c r="D3468" s="0" t="n">
        <v>3</v>
      </c>
      <c r="E3468" s="2" t="n">
        <v>40837.7333333333</v>
      </c>
      <c r="F3468" s="0" t="n">
        <v>0.63</v>
      </c>
      <c r="G3468" s="0" t="n">
        <v>18118</v>
      </c>
      <c r="H3468" s="3" t="s">
        <v>124</v>
      </c>
      <c r="I3468" s="4" t="n">
        <f aca="false">D3468*F3468</f>
        <v>1.89</v>
      </c>
      <c r="J3468" s="3" t="n">
        <f aca="false">IF(AND(LEFT(A3468,1)&lt;&gt;"C",D3468&gt;0,F3468&gt;0),1,0)</f>
        <v>1</v>
      </c>
      <c r="K3468" s="3" t="n">
        <f aca="false">IF(AND(H3468="United Kingdom",G3468&lt;&gt;"",COUNTIFS($G$2:G3468,G3468,$H$2:H3468,"United Kingdom")=1),1,0)</f>
        <v>0</v>
      </c>
    </row>
    <row r="3469" customFormat="false" ht="15" hidden="false" customHeight="false" outlineLevel="0" collapsed="false">
      <c r="A3469" s="0" t="s">
        <v>721</v>
      </c>
      <c r="B3469" s="0" t="s">
        <v>113</v>
      </c>
      <c r="C3469" s="0" t="s">
        <v>114</v>
      </c>
      <c r="D3469" s="0" t="n">
        <v>12</v>
      </c>
      <c r="E3469" s="2" t="n">
        <v>40837.7333333333</v>
      </c>
      <c r="F3469" s="0" t="n">
        <v>3.57</v>
      </c>
      <c r="G3469" s="0" t="n">
        <v>18118</v>
      </c>
      <c r="H3469" s="3" t="s">
        <v>124</v>
      </c>
      <c r="I3469" s="4" t="n">
        <f aca="false">D3469*F3469</f>
        <v>42.84</v>
      </c>
      <c r="J3469" s="3" t="n">
        <f aca="false">IF(AND(LEFT(A3469,1)&lt;&gt;"C",D3469&gt;0,F3469&gt;0),1,0)</f>
        <v>1</v>
      </c>
      <c r="K3469" s="3" t="n">
        <f aca="false">IF(AND(H3469="United Kingdom",G3469&lt;&gt;"",COUNTIFS($G$2:G3469,G3469,$H$2:H3469,"United Kingdom")=1),1,0)</f>
        <v>0</v>
      </c>
    </row>
    <row r="3470" customFormat="false" ht="15" hidden="false" customHeight="false" outlineLevel="0" collapsed="false">
      <c r="A3470" s="0" t="s">
        <v>721</v>
      </c>
      <c r="B3470" s="0" t="s">
        <v>54</v>
      </c>
      <c r="C3470" s="0" t="s">
        <v>55</v>
      </c>
      <c r="D3470" s="0" t="n">
        <v>3</v>
      </c>
      <c r="E3470" s="2" t="n">
        <v>40837.7333333333</v>
      </c>
      <c r="F3470" s="0" t="n">
        <v>0.99</v>
      </c>
      <c r="G3470" s="0" t="n">
        <v>18118</v>
      </c>
      <c r="H3470" s="3" t="s">
        <v>124</v>
      </c>
      <c r="I3470" s="4" t="n">
        <f aca="false">D3470*F3470</f>
        <v>2.97</v>
      </c>
      <c r="J3470" s="3" t="n">
        <f aca="false">IF(AND(LEFT(A3470,1)&lt;&gt;"C",D3470&gt;0,F3470&gt;0),1,0)</f>
        <v>1</v>
      </c>
      <c r="K3470" s="3" t="n">
        <f aca="false">IF(AND(H3470="United Kingdom",G3470&lt;&gt;"",COUNTIFS($G$2:G3470,G3470,$H$2:H3470,"United Kingdom")=1),1,0)</f>
        <v>0</v>
      </c>
    </row>
    <row r="3471" customFormat="false" ht="15" hidden="false" customHeight="false" outlineLevel="0" collapsed="false">
      <c r="A3471" s="0" t="s">
        <v>721</v>
      </c>
      <c r="B3471" s="0" t="s">
        <v>50</v>
      </c>
      <c r="C3471" s="0" t="s">
        <v>51</v>
      </c>
      <c r="D3471" s="0" t="n">
        <v>3</v>
      </c>
      <c r="E3471" s="2" t="n">
        <v>40837.7333333333</v>
      </c>
      <c r="F3471" s="0" t="n">
        <v>5.41</v>
      </c>
      <c r="G3471" s="0" t="n">
        <v>18118</v>
      </c>
      <c r="H3471" s="3" t="s">
        <v>124</v>
      </c>
      <c r="I3471" s="4" t="n">
        <f aca="false">D3471*F3471</f>
        <v>16.23</v>
      </c>
      <c r="J3471" s="3" t="n">
        <f aca="false">IF(AND(LEFT(A3471,1)&lt;&gt;"C",D3471&gt;0,F3471&gt;0),1,0)</f>
        <v>1</v>
      </c>
      <c r="K3471" s="3" t="n">
        <f aca="false">IF(AND(H3471="United Kingdom",G3471&lt;&gt;"",COUNTIFS($G$2:G3471,G3471,$H$2:H3471,"United Kingdom")=1),1,0)</f>
        <v>0</v>
      </c>
    </row>
    <row r="3472" customFormat="false" ht="15" hidden="false" customHeight="false" outlineLevel="0" collapsed="false">
      <c r="A3472" s="0" t="s">
        <v>721</v>
      </c>
      <c r="B3472" s="0" t="s">
        <v>45</v>
      </c>
      <c r="C3472" s="0" t="s">
        <v>46</v>
      </c>
      <c r="D3472" s="0" t="n">
        <v>24</v>
      </c>
      <c r="E3472" s="2" t="n">
        <v>40837.7333333333</v>
      </c>
      <c r="F3472" s="0" t="n">
        <v>4.55</v>
      </c>
      <c r="G3472" s="0" t="n">
        <v>18118</v>
      </c>
      <c r="H3472" s="3" t="s">
        <v>124</v>
      </c>
      <c r="I3472" s="4" t="n">
        <f aca="false">D3472*F3472</f>
        <v>109.2</v>
      </c>
      <c r="J3472" s="3" t="n">
        <f aca="false">IF(AND(LEFT(A3472,1)&lt;&gt;"C",D3472&gt;0,F3472&gt;0),1,0)</f>
        <v>1</v>
      </c>
      <c r="K3472" s="3" t="n">
        <f aca="false">IF(AND(H3472="United Kingdom",G3472&lt;&gt;"",COUNTIFS($G$2:G3472,G3472,$H$2:H3472,"United Kingdom")=1),1,0)</f>
        <v>0</v>
      </c>
    </row>
    <row r="3473" customFormat="false" ht="15" hidden="false" customHeight="false" outlineLevel="0" collapsed="false">
      <c r="A3473" s="0" t="s">
        <v>722</v>
      </c>
      <c r="B3473" s="0" t="s">
        <v>45</v>
      </c>
      <c r="C3473" s="0" t="s">
        <v>46</v>
      </c>
      <c r="D3473" s="0" t="n">
        <v>8</v>
      </c>
      <c r="E3473" s="2" t="n">
        <v>40837.7770833333</v>
      </c>
      <c r="F3473" s="0" t="n">
        <v>4.55</v>
      </c>
      <c r="G3473" s="0" t="n">
        <v>16420</v>
      </c>
      <c r="H3473" s="3" t="s">
        <v>14</v>
      </c>
      <c r="I3473" s="4" t="n">
        <f aca="false">D3473*F3473</f>
        <v>36.4</v>
      </c>
      <c r="J3473" s="3" t="n">
        <f aca="false">IF(AND(LEFT(A3473,1)&lt;&gt;"C",D3473&gt;0,F3473&gt;0),1,0)</f>
        <v>1</v>
      </c>
      <c r="K3473" s="3" t="n">
        <f aca="false">IF(AND(H3473="United Kingdom",G3473&lt;&gt;"",COUNTIFS($G$2:G3473,G3473,$H$2:H3473,"United Kingdom")=1),1,0)</f>
        <v>0</v>
      </c>
    </row>
    <row r="3474" customFormat="false" ht="15" hidden="false" customHeight="false" outlineLevel="0" collapsed="false">
      <c r="A3474" s="0" t="s">
        <v>722</v>
      </c>
      <c r="B3474" s="0" t="s">
        <v>41</v>
      </c>
      <c r="C3474" s="0" t="s">
        <v>42</v>
      </c>
      <c r="D3474" s="0" t="n">
        <v>6</v>
      </c>
      <c r="E3474" s="2" t="n">
        <v>40837.7770833333</v>
      </c>
      <c r="F3474" s="0" t="n">
        <v>3.28</v>
      </c>
      <c r="G3474" s="0" t="n">
        <v>16420</v>
      </c>
      <c r="H3474" s="3" t="s">
        <v>14</v>
      </c>
      <c r="I3474" s="4" t="n">
        <f aca="false">D3474*F3474</f>
        <v>19.68</v>
      </c>
      <c r="J3474" s="3" t="n">
        <f aca="false">IF(AND(LEFT(A3474,1)&lt;&gt;"C",D3474&gt;0,F3474&gt;0),1,0)</f>
        <v>1</v>
      </c>
      <c r="K3474" s="3" t="n">
        <f aca="false">IF(AND(H3474="United Kingdom",G3474&lt;&gt;"",COUNTIFS($G$2:G3474,G3474,$H$2:H3474,"United Kingdom")=1),1,0)</f>
        <v>0</v>
      </c>
    </row>
    <row r="3475" customFormat="false" ht="15" hidden="false" customHeight="false" outlineLevel="0" collapsed="false">
      <c r="A3475" s="0" t="s">
        <v>722</v>
      </c>
      <c r="B3475" s="0" t="s">
        <v>48</v>
      </c>
      <c r="C3475" s="0" t="s">
        <v>49</v>
      </c>
      <c r="D3475" s="0" t="n">
        <v>2</v>
      </c>
      <c r="E3475" s="2" t="n">
        <v>40837.7770833333</v>
      </c>
      <c r="F3475" s="0" t="n">
        <v>1.35</v>
      </c>
      <c r="G3475" s="0" t="n">
        <v>16420</v>
      </c>
      <c r="H3475" s="3" t="s">
        <v>14</v>
      </c>
      <c r="I3475" s="4" t="n">
        <f aca="false">D3475*F3475</f>
        <v>2.7</v>
      </c>
      <c r="J3475" s="3" t="n">
        <f aca="false">IF(AND(LEFT(A3475,1)&lt;&gt;"C",D3475&gt;0,F3475&gt;0),1,0)</f>
        <v>1</v>
      </c>
      <c r="K3475" s="3" t="n">
        <f aca="false">IF(AND(H3475="United Kingdom",G3475&lt;&gt;"",COUNTIFS($G$2:G3475,G3475,$H$2:H3475,"United Kingdom")=1),1,0)</f>
        <v>0</v>
      </c>
    </row>
    <row r="3476" customFormat="false" ht="15" hidden="false" customHeight="false" outlineLevel="0" collapsed="false">
      <c r="A3476" s="0" t="s">
        <v>722</v>
      </c>
      <c r="B3476" s="0" t="s">
        <v>17</v>
      </c>
      <c r="C3476" s="0" t="s">
        <v>18</v>
      </c>
      <c r="D3476" s="0" t="n">
        <v>6</v>
      </c>
      <c r="E3476" s="2" t="n">
        <v>40837.7770833333</v>
      </c>
      <c r="F3476" s="0" t="n">
        <v>1.92</v>
      </c>
      <c r="G3476" s="0" t="n">
        <v>16420</v>
      </c>
      <c r="H3476" s="3" t="s">
        <v>14</v>
      </c>
      <c r="I3476" s="4" t="n">
        <f aca="false">D3476*F3476</f>
        <v>11.52</v>
      </c>
      <c r="J3476" s="3" t="n">
        <f aca="false">IF(AND(LEFT(A3476,1)&lt;&gt;"C",D3476&gt;0,F3476&gt;0),1,0)</f>
        <v>1</v>
      </c>
      <c r="K3476" s="3" t="n">
        <f aca="false">IF(AND(H3476="United Kingdom",G3476&lt;&gt;"",COUNTIFS($G$2:G3476,G3476,$H$2:H3476,"United Kingdom")=1),1,0)</f>
        <v>0</v>
      </c>
    </row>
    <row r="3477" customFormat="false" ht="15" hidden="false" customHeight="false" outlineLevel="0" collapsed="false">
      <c r="A3477" s="0" t="s">
        <v>722</v>
      </c>
      <c r="B3477" s="0" t="s">
        <v>20</v>
      </c>
      <c r="C3477" s="0" t="s">
        <v>21</v>
      </c>
      <c r="D3477" s="0" t="n">
        <v>12</v>
      </c>
      <c r="E3477" s="2" t="n">
        <v>40837.7770833333</v>
      </c>
      <c r="F3477" s="0" t="n">
        <v>4.24</v>
      </c>
      <c r="G3477" s="0" t="n">
        <v>16420</v>
      </c>
      <c r="H3477" s="3" t="s">
        <v>14</v>
      </c>
      <c r="I3477" s="4" t="n">
        <f aca="false">D3477*F3477</f>
        <v>50.88</v>
      </c>
      <c r="J3477" s="3" t="n">
        <f aca="false">IF(AND(LEFT(A3477,1)&lt;&gt;"C",D3477&gt;0,F3477&gt;0),1,0)</f>
        <v>1</v>
      </c>
      <c r="K3477" s="3" t="n">
        <f aca="false">IF(AND(H3477="United Kingdom",G3477&lt;&gt;"",COUNTIFS($G$2:G3477,G3477,$H$2:H3477,"United Kingdom")=1),1,0)</f>
        <v>0</v>
      </c>
    </row>
    <row r="3478" customFormat="false" ht="15" hidden="false" customHeight="false" outlineLevel="0" collapsed="false">
      <c r="A3478" s="0" t="s">
        <v>722</v>
      </c>
      <c r="B3478" s="0" t="s">
        <v>43</v>
      </c>
      <c r="C3478" s="0" t="s">
        <v>44</v>
      </c>
      <c r="D3478" s="0" t="n">
        <v>3</v>
      </c>
      <c r="E3478" s="2" t="n">
        <v>40837.7770833333</v>
      </c>
      <c r="F3478" s="0" t="n">
        <v>1.35</v>
      </c>
      <c r="G3478" s="0" t="n">
        <v>16420</v>
      </c>
      <c r="H3478" s="3" t="s">
        <v>14</v>
      </c>
      <c r="I3478" s="4" t="n">
        <f aca="false">D3478*F3478</f>
        <v>4.05</v>
      </c>
      <c r="J3478" s="3" t="n">
        <f aca="false">IF(AND(LEFT(A3478,1)&lt;&gt;"C",D3478&gt;0,F3478&gt;0),1,0)</f>
        <v>1</v>
      </c>
      <c r="K3478" s="3" t="n">
        <f aca="false">IF(AND(H3478="United Kingdom",G3478&lt;&gt;"",COUNTIFS($G$2:G3478,G3478,$H$2:H3478,"United Kingdom")=1),1,0)</f>
        <v>0</v>
      </c>
    </row>
    <row r="3479" customFormat="false" ht="15" hidden="false" customHeight="false" outlineLevel="0" collapsed="false">
      <c r="A3479" s="0" t="s">
        <v>723</v>
      </c>
      <c r="B3479" s="0" t="s">
        <v>113</v>
      </c>
      <c r="C3479" s="0" t="s">
        <v>114</v>
      </c>
      <c r="D3479" s="0" t="n">
        <v>12</v>
      </c>
      <c r="E3479" s="2" t="n">
        <v>40838.3493055556</v>
      </c>
      <c r="F3479" s="0" t="n">
        <v>3.57</v>
      </c>
      <c r="G3479" s="0" t="n">
        <v>16258</v>
      </c>
      <c r="H3479" s="3" t="s">
        <v>14</v>
      </c>
      <c r="I3479" s="4" t="n">
        <f aca="false">D3479*F3479</f>
        <v>42.84</v>
      </c>
      <c r="J3479" s="3" t="n">
        <f aca="false">IF(AND(LEFT(A3479,1)&lt;&gt;"C",D3479&gt;0,F3479&gt;0),1,0)</f>
        <v>1</v>
      </c>
      <c r="K3479" s="3" t="n">
        <f aca="false">IF(AND(H3479="United Kingdom",G3479&lt;&gt;"",COUNTIFS($G$2:G3479,G3479,$H$2:H3479,"United Kingdom")=1),1,0)</f>
        <v>0</v>
      </c>
    </row>
    <row r="3480" customFormat="false" ht="15" hidden="false" customHeight="false" outlineLevel="0" collapsed="false">
      <c r="A3480" s="0" t="s">
        <v>723</v>
      </c>
      <c r="B3480" s="0" t="s">
        <v>90</v>
      </c>
      <c r="C3480" s="0" t="s">
        <v>91</v>
      </c>
      <c r="D3480" s="0" t="n">
        <v>4</v>
      </c>
      <c r="E3480" s="2" t="n">
        <v>40838.3493055556</v>
      </c>
      <c r="F3480" s="0" t="n">
        <v>3.04</v>
      </c>
      <c r="G3480" s="0" t="n">
        <v>16258</v>
      </c>
      <c r="H3480" s="3" t="s">
        <v>14</v>
      </c>
      <c r="I3480" s="4" t="n">
        <f aca="false">D3480*F3480</f>
        <v>12.16</v>
      </c>
      <c r="J3480" s="3" t="n">
        <f aca="false">IF(AND(LEFT(A3480,1)&lt;&gt;"C",D3480&gt;0,F3480&gt;0),1,0)</f>
        <v>1</v>
      </c>
      <c r="K3480" s="3" t="n">
        <f aca="false">IF(AND(H3480="United Kingdom",G3480&lt;&gt;"",COUNTIFS($G$2:G3480,G3480,$H$2:H3480,"United Kingdom")=1),1,0)</f>
        <v>0</v>
      </c>
    </row>
    <row r="3481" customFormat="false" ht="15" hidden="false" customHeight="false" outlineLevel="0" collapsed="false">
      <c r="A3481" s="0" t="s">
        <v>723</v>
      </c>
      <c r="B3481" s="0" t="s">
        <v>17</v>
      </c>
      <c r="C3481" s="0" t="s">
        <v>18</v>
      </c>
      <c r="D3481" s="0" t="n">
        <v>1</v>
      </c>
      <c r="E3481" s="2" t="n">
        <v>40838.3493055556</v>
      </c>
      <c r="F3481" s="0" t="n">
        <v>1.92</v>
      </c>
      <c r="G3481" s="0" t="n">
        <v>16258</v>
      </c>
      <c r="H3481" s="3" t="s">
        <v>14</v>
      </c>
      <c r="I3481" s="4" t="n">
        <f aca="false">D3481*F3481</f>
        <v>1.92</v>
      </c>
      <c r="J3481" s="3" t="n">
        <f aca="false">IF(AND(LEFT(A3481,1)&lt;&gt;"C",D3481&gt;0,F3481&gt;0),1,0)</f>
        <v>1</v>
      </c>
      <c r="K3481" s="3" t="n">
        <f aca="false">IF(AND(H3481="United Kingdom",G3481&lt;&gt;"",COUNTIFS($G$2:G3481,G3481,$H$2:H3481,"United Kingdom")=1),1,0)</f>
        <v>0</v>
      </c>
    </row>
    <row r="3482" customFormat="false" ht="15" hidden="false" customHeight="false" outlineLevel="0" collapsed="false">
      <c r="A3482" s="0" t="s">
        <v>723</v>
      </c>
      <c r="B3482" s="0" t="s">
        <v>54</v>
      </c>
      <c r="C3482" s="0" t="s">
        <v>55</v>
      </c>
      <c r="D3482" s="0" t="n">
        <v>3</v>
      </c>
      <c r="E3482" s="2" t="n">
        <v>40838.3493055556</v>
      </c>
      <c r="F3482" s="0" t="n">
        <v>0.99</v>
      </c>
      <c r="G3482" s="0" t="n">
        <v>16258</v>
      </c>
      <c r="H3482" s="3" t="s">
        <v>14</v>
      </c>
      <c r="I3482" s="4" t="n">
        <f aca="false">D3482*F3482</f>
        <v>2.97</v>
      </c>
      <c r="J3482" s="3" t="n">
        <f aca="false">IF(AND(LEFT(A3482,1)&lt;&gt;"C",D3482&gt;0,F3482&gt;0),1,0)</f>
        <v>1</v>
      </c>
      <c r="K3482" s="3" t="n">
        <f aca="false">IF(AND(H3482="United Kingdom",G3482&lt;&gt;"",COUNTIFS($G$2:G3482,G3482,$H$2:H3482,"United Kingdom")=1),1,0)</f>
        <v>0</v>
      </c>
    </row>
    <row r="3483" customFormat="false" ht="15" hidden="false" customHeight="false" outlineLevel="0" collapsed="false">
      <c r="A3483" s="0" t="s">
        <v>724</v>
      </c>
      <c r="B3483" s="0" t="s">
        <v>113</v>
      </c>
      <c r="C3483" s="0" t="s">
        <v>114</v>
      </c>
      <c r="D3483" s="0" t="n">
        <v>1</v>
      </c>
      <c r="E3483" s="2" t="n">
        <v>40838.7979166667</v>
      </c>
      <c r="F3483" s="0" t="n">
        <v>3.57</v>
      </c>
      <c r="G3483" s="0" t="n">
        <v>16009</v>
      </c>
      <c r="H3483" s="3" t="s">
        <v>14</v>
      </c>
      <c r="I3483" s="4" t="n">
        <f aca="false">D3483*F3483</f>
        <v>3.57</v>
      </c>
      <c r="J3483" s="3" t="n">
        <f aca="false">IF(AND(LEFT(A3483,1)&lt;&gt;"C",D3483&gt;0,F3483&gt;0),1,0)</f>
        <v>1</v>
      </c>
      <c r="K3483" s="3" t="n">
        <f aca="false">IF(AND(H3483="United Kingdom",G3483&lt;&gt;"",COUNTIFS($G$2:G3483,G3483,$H$2:H3483,"United Kingdom")=1),1,0)</f>
        <v>0</v>
      </c>
    </row>
    <row r="3484" customFormat="false" ht="15" hidden="false" customHeight="false" outlineLevel="0" collapsed="false">
      <c r="A3484" s="0" t="s">
        <v>724</v>
      </c>
      <c r="B3484" s="0" t="s">
        <v>29</v>
      </c>
      <c r="C3484" s="0" t="s">
        <v>30</v>
      </c>
      <c r="D3484" s="0" t="n">
        <v>4</v>
      </c>
      <c r="E3484" s="2" t="n">
        <v>40838.7979166667</v>
      </c>
      <c r="F3484" s="0" t="n">
        <v>5.79</v>
      </c>
      <c r="G3484" s="0" t="n">
        <v>16009</v>
      </c>
      <c r="H3484" s="3" t="s">
        <v>14</v>
      </c>
      <c r="I3484" s="4" t="n">
        <f aca="false">D3484*F3484</f>
        <v>23.16</v>
      </c>
      <c r="J3484" s="3" t="n">
        <f aca="false">IF(AND(LEFT(A3484,1)&lt;&gt;"C",D3484&gt;0,F3484&gt;0),1,0)</f>
        <v>1</v>
      </c>
      <c r="K3484" s="3" t="n">
        <f aca="false">IF(AND(H3484="United Kingdom",G3484&lt;&gt;"",COUNTIFS($G$2:G3484,G3484,$H$2:H3484,"United Kingdom")=1),1,0)</f>
        <v>0</v>
      </c>
    </row>
    <row r="3485" customFormat="false" ht="15" hidden="false" customHeight="false" outlineLevel="0" collapsed="false">
      <c r="A3485" s="0" t="s">
        <v>725</v>
      </c>
      <c r="B3485" s="0" t="s">
        <v>27</v>
      </c>
      <c r="C3485" s="0" t="s">
        <v>28</v>
      </c>
      <c r="D3485" s="0" t="n">
        <v>8</v>
      </c>
      <c r="E3485" s="2" t="n">
        <v>40839.3826388889</v>
      </c>
      <c r="F3485" s="0" t="n">
        <v>4.55</v>
      </c>
      <c r="G3485" s="0" t="n">
        <v>15070</v>
      </c>
      <c r="H3485" s="3" t="s">
        <v>14</v>
      </c>
      <c r="I3485" s="4" t="n">
        <f aca="false">D3485*F3485</f>
        <v>36.4</v>
      </c>
      <c r="J3485" s="3" t="n">
        <f aca="false">IF(AND(LEFT(A3485,1)&lt;&gt;"C",D3485&gt;0,F3485&gt;0),1,0)</f>
        <v>1</v>
      </c>
      <c r="K3485" s="3" t="n">
        <f aca="false">IF(AND(H3485="United Kingdom",G3485&lt;&gt;"",COUNTIFS($G$2:G3485,G3485,$H$2:H3485,"United Kingdom")=1),1,0)</f>
        <v>0</v>
      </c>
    </row>
    <row r="3486" customFormat="false" ht="15" hidden="false" customHeight="false" outlineLevel="0" collapsed="false">
      <c r="A3486" s="0" t="s">
        <v>725</v>
      </c>
      <c r="B3486" s="0" t="s">
        <v>25</v>
      </c>
      <c r="C3486" s="0" t="s">
        <v>26</v>
      </c>
      <c r="D3486" s="0" t="n">
        <v>4</v>
      </c>
      <c r="E3486" s="2" t="n">
        <v>40839.3826388889</v>
      </c>
      <c r="F3486" s="0" t="n">
        <v>2.21</v>
      </c>
      <c r="G3486" s="0" t="n">
        <v>15070</v>
      </c>
      <c r="H3486" s="3" t="s">
        <v>14</v>
      </c>
      <c r="I3486" s="4" t="n">
        <f aca="false">D3486*F3486</f>
        <v>8.84</v>
      </c>
      <c r="J3486" s="3" t="n">
        <f aca="false">IF(AND(LEFT(A3486,1)&lt;&gt;"C",D3486&gt;0,F3486&gt;0),1,0)</f>
        <v>1</v>
      </c>
      <c r="K3486" s="3" t="n">
        <f aca="false">IF(AND(H3486="United Kingdom",G3486&lt;&gt;"",COUNTIFS($G$2:G3486,G3486,$H$2:H3486,"United Kingdom")=1),1,0)</f>
        <v>0</v>
      </c>
    </row>
    <row r="3487" customFormat="false" ht="15" hidden="false" customHeight="false" outlineLevel="0" collapsed="false">
      <c r="A3487" s="0" t="s">
        <v>725</v>
      </c>
      <c r="B3487" s="0" t="s">
        <v>54</v>
      </c>
      <c r="C3487" s="0" t="s">
        <v>55</v>
      </c>
      <c r="D3487" s="0" t="n">
        <v>4</v>
      </c>
      <c r="E3487" s="2" t="n">
        <v>40839.3826388889</v>
      </c>
      <c r="F3487" s="0" t="n">
        <v>0.99</v>
      </c>
      <c r="G3487" s="0" t="n">
        <v>15070</v>
      </c>
      <c r="H3487" s="3" t="s">
        <v>14</v>
      </c>
      <c r="I3487" s="4" t="n">
        <f aca="false">D3487*F3487</f>
        <v>3.96</v>
      </c>
      <c r="J3487" s="3" t="n">
        <f aca="false">IF(AND(LEFT(A3487,1)&lt;&gt;"C",D3487&gt;0,F3487&gt;0),1,0)</f>
        <v>1</v>
      </c>
      <c r="K3487" s="3" t="n">
        <f aca="false">IF(AND(H3487="United Kingdom",G3487&lt;&gt;"",COUNTIFS($G$2:G3487,G3487,$H$2:H3487,"United Kingdom")=1),1,0)</f>
        <v>0</v>
      </c>
    </row>
    <row r="3488" customFormat="false" ht="15" hidden="false" customHeight="false" outlineLevel="0" collapsed="false">
      <c r="A3488" s="0" t="s">
        <v>725</v>
      </c>
      <c r="B3488" s="0" t="s">
        <v>113</v>
      </c>
      <c r="C3488" s="0" t="s">
        <v>114</v>
      </c>
      <c r="D3488" s="0" t="n">
        <v>1</v>
      </c>
      <c r="E3488" s="2" t="n">
        <v>40839.3826388889</v>
      </c>
      <c r="F3488" s="0" t="n">
        <v>3.57</v>
      </c>
      <c r="G3488" s="0" t="n">
        <v>15070</v>
      </c>
      <c r="H3488" s="3" t="s">
        <v>14</v>
      </c>
      <c r="I3488" s="4" t="n">
        <f aca="false">D3488*F3488</f>
        <v>3.57</v>
      </c>
      <c r="J3488" s="3" t="n">
        <f aca="false">IF(AND(LEFT(A3488,1)&lt;&gt;"C",D3488&gt;0,F3488&gt;0),1,0)</f>
        <v>1</v>
      </c>
      <c r="K3488" s="3" t="n">
        <f aca="false">IF(AND(H3488="United Kingdom",G3488&lt;&gt;"",COUNTIFS($G$2:G3488,G3488,$H$2:H3488,"United Kingdom")=1),1,0)</f>
        <v>0</v>
      </c>
    </row>
    <row r="3489" customFormat="false" ht="15" hidden="false" customHeight="false" outlineLevel="0" collapsed="false">
      <c r="A3489" s="0" t="s">
        <v>726</v>
      </c>
      <c r="B3489" s="0" t="s">
        <v>41</v>
      </c>
      <c r="C3489" s="0" t="s">
        <v>42</v>
      </c>
      <c r="D3489" s="0" t="n">
        <v>2</v>
      </c>
      <c r="E3489" s="2" t="n">
        <v>40839.3868055556</v>
      </c>
      <c r="F3489" s="0" t="n">
        <v>3.28</v>
      </c>
      <c r="G3489" s="0" t="n">
        <v>13513</v>
      </c>
      <c r="H3489" s="3" t="s">
        <v>97</v>
      </c>
      <c r="I3489" s="4" t="n">
        <f aca="false">D3489*F3489</f>
        <v>6.56</v>
      </c>
      <c r="J3489" s="3" t="n">
        <f aca="false">IF(AND(LEFT(A3489,1)&lt;&gt;"C",D3489&gt;0,F3489&gt;0),1,0)</f>
        <v>1</v>
      </c>
      <c r="K3489" s="3" t="n">
        <f aca="false">IF(AND(H3489="United Kingdom",G3489&lt;&gt;"",COUNTIFS($G$2:G3489,G3489,$H$2:H3489,"United Kingdom")=1),1,0)</f>
        <v>0</v>
      </c>
    </row>
    <row r="3490" customFormat="false" ht="15" hidden="false" customHeight="false" outlineLevel="0" collapsed="false">
      <c r="A3490" s="0" t="s">
        <v>726</v>
      </c>
      <c r="B3490" s="0" t="s">
        <v>43</v>
      </c>
      <c r="C3490" s="0" t="s">
        <v>44</v>
      </c>
      <c r="D3490" s="0" t="n">
        <v>4</v>
      </c>
      <c r="E3490" s="2" t="n">
        <v>40839.3868055556</v>
      </c>
      <c r="F3490" s="0" t="n">
        <v>1.35</v>
      </c>
      <c r="G3490" s="0" t="n">
        <v>13513</v>
      </c>
      <c r="H3490" s="3" t="s">
        <v>97</v>
      </c>
      <c r="I3490" s="4" t="n">
        <f aca="false">D3490*F3490</f>
        <v>5.4</v>
      </c>
      <c r="J3490" s="3" t="n">
        <f aca="false">IF(AND(LEFT(A3490,1)&lt;&gt;"C",D3490&gt;0,F3490&gt;0),1,0)</f>
        <v>1</v>
      </c>
      <c r="K3490" s="3" t="n">
        <f aca="false">IF(AND(H3490="United Kingdom",G3490&lt;&gt;"",COUNTIFS($G$2:G3490,G3490,$H$2:H3490,"United Kingdom")=1),1,0)</f>
        <v>0</v>
      </c>
    </row>
    <row r="3491" customFormat="false" ht="15" hidden="false" customHeight="false" outlineLevel="0" collapsed="false">
      <c r="A3491" s="0" t="s">
        <v>726</v>
      </c>
      <c r="B3491" s="0" t="s">
        <v>72</v>
      </c>
      <c r="C3491" s="0" t="s">
        <v>73</v>
      </c>
      <c r="D3491" s="0" t="n">
        <v>4</v>
      </c>
      <c r="E3491" s="2" t="n">
        <v>40839.3868055556</v>
      </c>
      <c r="F3491" s="0" t="n">
        <v>2.69</v>
      </c>
      <c r="G3491" s="0" t="n">
        <v>13513</v>
      </c>
      <c r="H3491" s="3" t="s">
        <v>97</v>
      </c>
      <c r="I3491" s="4" t="n">
        <f aca="false">D3491*F3491</f>
        <v>10.76</v>
      </c>
      <c r="J3491" s="3" t="n">
        <f aca="false">IF(AND(LEFT(A3491,1)&lt;&gt;"C",D3491&gt;0,F3491&gt;0),1,0)</f>
        <v>1</v>
      </c>
      <c r="K3491" s="3" t="n">
        <f aca="false">IF(AND(H3491="United Kingdom",G3491&lt;&gt;"",COUNTIFS($G$2:G3491,G3491,$H$2:H3491,"United Kingdom")=1),1,0)</f>
        <v>0</v>
      </c>
    </row>
    <row r="3492" customFormat="false" ht="15" hidden="false" customHeight="false" outlineLevel="0" collapsed="false">
      <c r="A3492" s="0" t="s">
        <v>727</v>
      </c>
      <c r="B3492" s="0" t="s">
        <v>58</v>
      </c>
      <c r="C3492" s="0" t="s">
        <v>59</v>
      </c>
      <c r="D3492" s="0" t="n">
        <v>16</v>
      </c>
      <c r="E3492" s="2" t="n">
        <v>40839.6826388889</v>
      </c>
      <c r="F3492" s="0" t="n">
        <v>2.16</v>
      </c>
      <c r="H3492" s="3" t="s">
        <v>14</v>
      </c>
      <c r="I3492" s="4" t="n">
        <f aca="false">D3492*F3492</f>
        <v>34.56</v>
      </c>
      <c r="J3492" s="3" t="n">
        <f aca="false">IF(AND(LEFT(A3492,1)&lt;&gt;"C",D3492&gt;0,F3492&gt;0),1,0)</f>
        <v>1</v>
      </c>
      <c r="K3492" s="3" t="n">
        <f aca="false">IF(AND(H3492="United Kingdom",G3492&lt;&gt;"",COUNTIFS($G$2:G3492,G3492,$H$2:H3492,"United Kingdom")=1),1,0)</f>
        <v>0</v>
      </c>
    </row>
    <row r="3493" customFormat="false" ht="15" hidden="false" customHeight="false" outlineLevel="0" collapsed="false">
      <c r="A3493" s="0" t="s">
        <v>727</v>
      </c>
      <c r="B3493" s="0" t="s">
        <v>48</v>
      </c>
      <c r="C3493" s="0" t="s">
        <v>49</v>
      </c>
      <c r="D3493" s="0" t="n">
        <v>2</v>
      </c>
      <c r="E3493" s="2" t="n">
        <v>40839.6826388889</v>
      </c>
      <c r="F3493" s="0" t="n">
        <v>1.35</v>
      </c>
      <c r="H3493" s="3" t="s">
        <v>14</v>
      </c>
      <c r="I3493" s="4" t="n">
        <f aca="false">D3493*F3493</f>
        <v>2.7</v>
      </c>
      <c r="J3493" s="3" t="n">
        <f aca="false">IF(AND(LEFT(A3493,1)&lt;&gt;"C",D3493&gt;0,F3493&gt;0),1,0)</f>
        <v>1</v>
      </c>
      <c r="K3493" s="3" t="n">
        <f aca="false">IF(AND(H3493="United Kingdom",G3493&lt;&gt;"",COUNTIFS($G$2:G3493,G3493,$H$2:H3493,"United Kingdom")=1),1,0)</f>
        <v>0</v>
      </c>
    </row>
    <row r="3494" customFormat="false" ht="15" hidden="false" customHeight="false" outlineLevel="0" collapsed="false">
      <c r="A3494" s="0" t="s">
        <v>728</v>
      </c>
      <c r="B3494" s="0" t="s">
        <v>52</v>
      </c>
      <c r="C3494" s="0" t="s">
        <v>53</v>
      </c>
      <c r="D3494" s="0" t="n">
        <v>3</v>
      </c>
      <c r="E3494" s="2" t="n">
        <v>40839.7097222222</v>
      </c>
      <c r="F3494" s="0" t="n">
        <v>4.16</v>
      </c>
      <c r="G3494" s="0" t="n">
        <v>14240</v>
      </c>
      <c r="H3494" s="3" t="s">
        <v>14</v>
      </c>
      <c r="I3494" s="4" t="n">
        <f aca="false">D3494*F3494</f>
        <v>12.48</v>
      </c>
      <c r="J3494" s="3" t="n">
        <f aca="false">IF(AND(LEFT(A3494,1)&lt;&gt;"C",D3494&gt;0,F3494&gt;0),1,0)</f>
        <v>1</v>
      </c>
      <c r="K3494" s="3" t="n">
        <f aca="false">IF(AND(H3494="United Kingdom",G3494&lt;&gt;"",COUNTIFS($G$2:G3494,G3494,$H$2:H3494,"United Kingdom")=1),1,0)</f>
        <v>0</v>
      </c>
    </row>
    <row r="3495" customFormat="false" ht="15" hidden="false" customHeight="false" outlineLevel="0" collapsed="false">
      <c r="A3495" s="0" t="s">
        <v>729</v>
      </c>
      <c r="B3495" s="0" t="s">
        <v>37</v>
      </c>
      <c r="C3495" s="0" t="s">
        <v>38</v>
      </c>
      <c r="D3495" s="0" t="n">
        <v>6</v>
      </c>
      <c r="E3495" s="2" t="n">
        <v>40840.3583333333</v>
      </c>
      <c r="F3495" s="0" t="n">
        <v>1.82</v>
      </c>
      <c r="G3495" s="0" t="n">
        <v>17364</v>
      </c>
      <c r="H3495" s="3" t="s">
        <v>57</v>
      </c>
      <c r="I3495" s="4" t="n">
        <f aca="false">D3495*F3495</f>
        <v>10.92</v>
      </c>
      <c r="J3495" s="3" t="n">
        <f aca="false">IF(AND(LEFT(A3495,1)&lt;&gt;"C",D3495&gt;0,F3495&gt;0),1,0)</f>
        <v>1</v>
      </c>
      <c r="K3495" s="3" t="n">
        <f aca="false">IF(AND(H3495="United Kingdom",G3495&lt;&gt;"",COUNTIFS($G$2:G3495,G3495,$H$2:H3495,"United Kingdom")=1),1,0)</f>
        <v>0</v>
      </c>
    </row>
    <row r="3496" customFormat="false" ht="15" hidden="false" customHeight="false" outlineLevel="0" collapsed="false">
      <c r="A3496" s="0" t="s">
        <v>729</v>
      </c>
      <c r="B3496" s="0" t="s">
        <v>25</v>
      </c>
      <c r="C3496" s="0" t="s">
        <v>26</v>
      </c>
      <c r="D3496" s="0" t="n">
        <v>3</v>
      </c>
      <c r="E3496" s="2" t="n">
        <v>40840.3583333333</v>
      </c>
      <c r="F3496" s="0" t="n">
        <v>2.21</v>
      </c>
      <c r="G3496" s="0" t="n">
        <v>17364</v>
      </c>
      <c r="H3496" s="3" t="s">
        <v>57</v>
      </c>
      <c r="I3496" s="4" t="n">
        <f aca="false">D3496*F3496</f>
        <v>6.63</v>
      </c>
      <c r="J3496" s="3" t="n">
        <f aca="false">IF(AND(LEFT(A3496,1)&lt;&gt;"C",D3496&gt;0,F3496&gt;0),1,0)</f>
        <v>1</v>
      </c>
      <c r="K3496" s="3" t="n">
        <f aca="false">IF(AND(H3496="United Kingdom",G3496&lt;&gt;"",COUNTIFS($G$2:G3496,G3496,$H$2:H3496,"United Kingdom")=1),1,0)</f>
        <v>0</v>
      </c>
    </row>
    <row r="3497" customFormat="false" ht="15" hidden="false" customHeight="false" outlineLevel="0" collapsed="false">
      <c r="A3497" s="0" t="s">
        <v>729</v>
      </c>
      <c r="B3497" s="0" t="s">
        <v>60</v>
      </c>
      <c r="C3497" s="0" t="s">
        <v>61</v>
      </c>
      <c r="D3497" s="0" t="n">
        <v>1</v>
      </c>
      <c r="E3497" s="2" t="n">
        <v>40840.3583333333</v>
      </c>
      <c r="F3497" s="0" t="n">
        <v>0.63</v>
      </c>
      <c r="G3497" s="0" t="n">
        <v>17364</v>
      </c>
      <c r="H3497" s="3" t="s">
        <v>57</v>
      </c>
      <c r="I3497" s="4" t="n">
        <f aca="false">D3497*F3497</f>
        <v>0.63</v>
      </c>
      <c r="J3497" s="3" t="n">
        <f aca="false">IF(AND(LEFT(A3497,1)&lt;&gt;"C",D3497&gt;0,F3497&gt;0),1,0)</f>
        <v>1</v>
      </c>
      <c r="K3497" s="3" t="n">
        <f aca="false">IF(AND(H3497="United Kingdom",G3497&lt;&gt;"",COUNTIFS($G$2:G3497,G3497,$H$2:H3497,"United Kingdom")=1),1,0)</f>
        <v>0</v>
      </c>
    </row>
    <row r="3498" customFormat="false" ht="15" hidden="false" customHeight="false" outlineLevel="0" collapsed="false">
      <c r="A3498" s="0" t="s">
        <v>730</v>
      </c>
      <c r="B3498" s="0" t="s">
        <v>48</v>
      </c>
      <c r="C3498" s="0" t="s">
        <v>49</v>
      </c>
      <c r="D3498" s="0" t="n">
        <v>12</v>
      </c>
      <c r="E3498" s="2" t="n">
        <v>40840.3909722222</v>
      </c>
      <c r="F3498" s="0" t="n">
        <v>1.35</v>
      </c>
      <c r="G3498" s="0" t="n">
        <v>14919</v>
      </c>
      <c r="H3498" s="3" t="s">
        <v>14</v>
      </c>
      <c r="I3498" s="4" t="n">
        <f aca="false">D3498*F3498</f>
        <v>16.2</v>
      </c>
      <c r="J3498" s="3" t="n">
        <f aca="false">IF(AND(LEFT(A3498,1)&lt;&gt;"C",D3498&gt;0,F3498&gt;0),1,0)</f>
        <v>1</v>
      </c>
      <c r="K3498" s="3" t="n">
        <f aca="false">IF(AND(H3498="United Kingdom",G3498&lt;&gt;"",COUNTIFS($G$2:G3498,G3498,$H$2:H3498,"United Kingdom")=1),1,0)</f>
        <v>0</v>
      </c>
    </row>
    <row r="3499" customFormat="false" ht="15" hidden="false" customHeight="false" outlineLevel="0" collapsed="false">
      <c r="A3499" s="0" t="s">
        <v>730</v>
      </c>
      <c r="B3499" s="0" t="s">
        <v>90</v>
      </c>
      <c r="C3499" s="0" t="s">
        <v>91</v>
      </c>
      <c r="D3499" s="0" t="n">
        <v>8</v>
      </c>
      <c r="E3499" s="2" t="n">
        <v>40840.3909722222</v>
      </c>
      <c r="F3499" s="0" t="n">
        <v>3.04</v>
      </c>
      <c r="G3499" s="0" t="n">
        <v>14919</v>
      </c>
      <c r="H3499" s="3" t="s">
        <v>14</v>
      </c>
      <c r="I3499" s="4" t="n">
        <f aca="false">D3499*F3499</f>
        <v>24.32</v>
      </c>
      <c r="J3499" s="3" t="n">
        <f aca="false">IF(AND(LEFT(A3499,1)&lt;&gt;"C",D3499&gt;0,F3499&gt;0),1,0)</f>
        <v>1</v>
      </c>
      <c r="K3499" s="3" t="n">
        <f aca="false">IF(AND(H3499="United Kingdom",G3499&lt;&gt;"",COUNTIFS($G$2:G3499,G3499,$H$2:H3499,"United Kingdom")=1),1,0)</f>
        <v>0</v>
      </c>
    </row>
    <row r="3500" customFormat="false" ht="15" hidden="false" customHeight="false" outlineLevel="0" collapsed="false">
      <c r="A3500" s="0" t="s">
        <v>730</v>
      </c>
      <c r="B3500" s="0" t="s">
        <v>80</v>
      </c>
      <c r="C3500" s="0" t="s">
        <v>81</v>
      </c>
      <c r="D3500" s="0" t="n">
        <v>2</v>
      </c>
      <c r="E3500" s="2" t="n">
        <v>40840.3909722222</v>
      </c>
      <c r="F3500" s="0" t="n">
        <v>1.53</v>
      </c>
      <c r="G3500" s="0" t="n">
        <v>14919</v>
      </c>
      <c r="H3500" s="3" t="s">
        <v>14</v>
      </c>
      <c r="I3500" s="4" t="n">
        <f aca="false">D3500*F3500</f>
        <v>3.06</v>
      </c>
      <c r="J3500" s="3" t="n">
        <f aca="false">IF(AND(LEFT(A3500,1)&lt;&gt;"C",D3500&gt;0,F3500&gt;0),1,0)</f>
        <v>1</v>
      </c>
      <c r="K3500" s="3" t="n">
        <f aca="false">IF(AND(H3500="United Kingdom",G3500&lt;&gt;"",COUNTIFS($G$2:G3500,G3500,$H$2:H3500,"United Kingdom")=1),1,0)</f>
        <v>0</v>
      </c>
    </row>
    <row r="3501" customFormat="false" ht="15" hidden="false" customHeight="false" outlineLevel="0" collapsed="false">
      <c r="A3501" s="0" t="s">
        <v>731</v>
      </c>
      <c r="B3501" s="0" t="s">
        <v>20</v>
      </c>
      <c r="C3501" s="0" t="s">
        <v>21</v>
      </c>
      <c r="D3501" s="0" t="n">
        <v>2</v>
      </c>
      <c r="E3501" s="2" t="n">
        <v>40840.5631944445</v>
      </c>
      <c r="F3501" s="0" t="n">
        <v>4.24</v>
      </c>
      <c r="G3501" s="0" t="n">
        <v>15321</v>
      </c>
      <c r="H3501" s="3" t="s">
        <v>14</v>
      </c>
      <c r="I3501" s="4" t="n">
        <f aca="false">D3501*F3501</f>
        <v>8.48</v>
      </c>
      <c r="J3501" s="3" t="n">
        <f aca="false">IF(AND(LEFT(A3501,1)&lt;&gt;"C",D3501&gt;0,F3501&gt;0),1,0)</f>
        <v>1</v>
      </c>
      <c r="K3501" s="3" t="n">
        <f aca="false">IF(AND(H3501="United Kingdom",G3501&lt;&gt;"",COUNTIFS($G$2:G3501,G3501,$H$2:H3501,"United Kingdom")=1),1,0)</f>
        <v>0</v>
      </c>
    </row>
    <row r="3502" customFormat="false" ht="15" hidden="false" customHeight="false" outlineLevel="0" collapsed="false">
      <c r="A3502" s="0" t="s">
        <v>731</v>
      </c>
      <c r="B3502" s="0" t="s">
        <v>77</v>
      </c>
      <c r="C3502" s="0" t="s">
        <v>78</v>
      </c>
      <c r="D3502" s="0" t="n">
        <v>12</v>
      </c>
      <c r="E3502" s="2" t="n">
        <v>40840.5631944445</v>
      </c>
      <c r="F3502" s="0" t="n">
        <v>3.41</v>
      </c>
      <c r="G3502" s="0" t="n">
        <v>15321</v>
      </c>
      <c r="H3502" s="3" t="s">
        <v>14</v>
      </c>
      <c r="I3502" s="4" t="n">
        <f aca="false">D3502*F3502</f>
        <v>40.92</v>
      </c>
      <c r="J3502" s="3" t="n">
        <f aca="false">IF(AND(LEFT(A3502,1)&lt;&gt;"C",D3502&gt;0,F3502&gt;0),1,0)</f>
        <v>1</v>
      </c>
      <c r="K3502" s="3" t="n">
        <f aca="false">IF(AND(H3502="United Kingdom",G3502&lt;&gt;"",COUNTIFS($G$2:G3502,G3502,$H$2:H3502,"United Kingdom")=1),1,0)</f>
        <v>0</v>
      </c>
    </row>
    <row r="3503" customFormat="false" ht="15" hidden="false" customHeight="false" outlineLevel="0" collapsed="false">
      <c r="A3503" s="0" t="s">
        <v>731</v>
      </c>
      <c r="B3503" s="0" t="s">
        <v>17</v>
      </c>
      <c r="C3503" s="0" t="s">
        <v>18</v>
      </c>
      <c r="D3503" s="0" t="n">
        <v>1</v>
      </c>
      <c r="E3503" s="2" t="n">
        <v>40840.5631944445</v>
      </c>
      <c r="F3503" s="0" t="n">
        <v>1.92</v>
      </c>
      <c r="G3503" s="0" t="n">
        <v>15321</v>
      </c>
      <c r="H3503" s="3" t="s">
        <v>14</v>
      </c>
      <c r="I3503" s="4" t="n">
        <f aca="false">D3503*F3503</f>
        <v>1.92</v>
      </c>
      <c r="J3503" s="3" t="n">
        <f aca="false">IF(AND(LEFT(A3503,1)&lt;&gt;"C",D3503&gt;0,F3503&gt;0),1,0)</f>
        <v>1</v>
      </c>
      <c r="K3503" s="3" t="n">
        <f aca="false">IF(AND(H3503="United Kingdom",G3503&lt;&gt;"",COUNTIFS($G$2:G3503,G3503,$H$2:H3503,"United Kingdom")=1),1,0)</f>
        <v>0</v>
      </c>
    </row>
    <row r="3504" customFormat="false" ht="15" hidden="false" customHeight="false" outlineLevel="0" collapsed="false">
      <c r="A3504" s="0" t="s">
        <v>731</v>
      </c>
      <c r="B3504" s="0" t="s">
        <v>68</v>
      </c>
      <c r="C3504" s="0" t="s">
        <v>69</v>
      </c>
      <c r="D3504" s="0" t="n">
        <v>1</v>
      </c>
      <c r="E3504" s="2" t="n">
        <v>40840.5631944445</v>
      </c>
      <c r="F3504" s="0" t="n">
        <v>1.26</v>
      </c>
      <c r="G3504" s="0" t="n">
        <v>15321</v>
      </c>
      <c r="H3504" s="3" t="s">
        <v>14</v>
      </c>
      <c r="I3504" s="4" t="n">
        <f aca="false">D3504*F3504</f>
        <v>1.26</v>
      </c>
      <c r="J3504" s="3" t="n">
        <f aca="false">IF(AND(LEFT(A3504,1)&lt;&gt;"C",D3504&gt;0,F3504&gt;0),1,0)</f>
        <v>1</v>
      </c>
      <c r="K3504" s="3" t="n">
        <f aca="false">IF(AND(H3504="United Kingdom",G3504&lt;&gt;"",COUNTIFS($G$2:G3504,G3504,$H$2:H3504,"United Kingdom")=1),1,0)</f>
        <v>0</v>
      </c>
    </row>
    <row r="3505" customFormat="false" ht="15" hidden="false" customHeight="false" outlineLevel="0" collapsed="false">
      <c r="A3505" s="0" t="s">
        <v>731</v>
      </c>
      <c r="B3505" s="0" t="s">
        <v>32</v>
      </c>
      <c r="C3505" s="0" t="s">
        <v>33</v>
      </c>
      <c r="D3505" s="0" t="n">
        <v>6</v>
      </c>
      <c r="E3505" s="2" t="n">
        <v>40840.5631944445</v>
      </c>
      <c r="F3505" s="0" t="n">
        <v>1.19</v>
      </c>
      <c r="G3505" s="0" t="n">
        <v>15321</v>
      </c>
      <c r="H3505" s="3" t="s">
        <v>14</v>
      </c>
      <c r="I3505" s="4" t="n">
        <f aca="false">D3505*F3505</f>
        <v>7.14</v>
      </c>
      <c r="J3505" s="3" t="n">
        <f aca="false">IF(AND(LEFT(A3505,1)&lt;&gt;"C",D3505&gt;0,F3505&gt;0),1,0)</f>
        <v>1</v>
      </c>
      <c r="K3505" s="3" t="n">
        <f aca="false">IF(AND(H3505="United Kingdom",G3505&lt;&gt;"",COUNTIFS($G$2:G3505,G3505,$H$2:H3505,"United Kingdom")=1),1,0)</f>
        <v>0</v>
      </c>
    </row>
    <row r="3506" customFormat="false" ht="15" hidden="false" customHeight="false" outlineLevel="0" collapsed="false">
      <c r="A3506" s="0" t="s">
        <v>731</v>
      </c>
      <c r="B3506" s="0" t="s">
        <v>75</v>
      </c>
      <c r="C3506" s="0" t="s">
        <v>76</v>
      </c>
      <c r="D3506" s="0" t="n">
        <v>8</v>
      </c>
      <c r="E3506" s="2" t="n">
        <v>40840.5631944445</v>
      </c>
      <c r="F3506" s="0" t="n">
        <v>1.97</v>
      </c>
      <c r="G3506" s="0" t="n">
        <v>15321</v>
      </c>
      <c r="H3506" s="3" t="s">
        <v>14</v>
      </c>
      <c r="I3506" s="4" t="n">
        <f aca="false">D3506*F3506</f>
        <v>15.76</v>
      </c>
      <c r="J3506" s="3" t="n">
        <f aca="false">IF(AND(LEFT(A3506,1)&lt;&gt;"C",D3506&gt;0,F3506&gt;0),1,0)</f>
        <v>1</v>
      </c>
      <c r="K3506" s="3" t="n">
        <f aca="false">IF(AND(H3506="United Kingdom",G3506&lt;&gt;"",COUNTIFS($G$2:G3506,G3506,$H$2:H3506,"United Kingdom")=1),1,0)</f>
        <v>0</v>
      </c>
    </row>
    <row r="3507" customFormat="false" ht="15" hidden="false" customHeight="false" outlineLevel="0" collapsed="false">
      <c r="A3507" s="0" t="s">
        <v>732</v>
      </c>
      <c r="B3507" s="0" t="s">
        <v>80</v>
      </c>
      <c r="C3507" s="0" t="s">
        <v>81</v>
      </c>
      <c r="D3507" s="0" t="n">
        <v>3</v>
      </c>
      <c r="E3507" s="2" t="n">
        <v>40841.39375</v>
      </c>
      <c r="F3507" s="0" t="n">
        <v>1.53</v>
      </c>
      <c r="G3507" s="0" t="n">
        <v>18118</v>
      </c>
      <c r="H3507" s="3" t="s">
        <v>124</v>
      </c>
      <c r="I3507" s="4" t="n">
        <f aca="false">D3507*F3507</f>
        <v>4.59</v>
      </c>
      <c r="J3507" s="3" t="n">
        <f aca="false">IF(AND(LEFT(A3507,1)&lt;&gt;"C",D3507&gt;0,F3507&gt;0),1,0)</f>
        <v>1</v>
      </c>
      <c r="K3507" s="3" t="n">
        <f aca="false">IF(AND(H3507="United Kingdom",G3507&lt;&gt;"",COUNTIFS($G$2:G3507,G3507,$H$2:H3507,"United Kingdom")=1),1,0)</f>
        <v>0</v>
      </c>
    </row>
    <row r="3508" customFormat="false" ht="15" hidden="false" customHeight="false" outlineLevel="0" collapsed="false">
      <c r="A3508" s="0" t="s">
        <v>732</v>
      </c>
      <c r="B3508" s="0" t="s">
        <v>113</v>
      </c>
      <c r="C3508" s="0" t="s">
        <v>114</v>
      </c>
      <c r="D3508" s="0" t="n">
        <v>9</v>
      </c>
      <c r="E3508" s="2" t="n">
        <v>40841.39375</v>
      </c>
      <c r="F3508" s="0" t="n">
        <v>3.57</v>
      </c>
      <c r="G3508" s="0" t="n">
        <v>18118</v>
      </c>
      <c r="H3508" s="3" t="s">
        <v>124</v>
      </c>
      <c r="I3508" s="4" t="n">
        <f aca="false">D3508*F3508</f>
        <v>32.13</v>
      </c>
      <c r="J3508" s="3" t="n">
        <f aca="false">IF(AND(LEFT(A3508,1)&lt;&gt;"C",D3508&gt;0,F3508&gt;0),1,0)</f>
        <v>1</v>
      </c>
      <c r="K3508" s="3" t="n">
        <f aca="false">IF(AND(H3508="United Kingdom",G3508&lt;&gt;"",COUNTIFS($G$2:G3508,G3508,$H$2:H3508,"United Kingdom")=1),1,0)</f>
        <v>0</v>
      </c>
    </row>
    <row r="3509" customFormat="false" ht="15" hidden="false" customHeight="false" outlineLevel="0" collapsed="false">
      <c r="A3509" s="0" t="s">
        <v>732</v>
      </c>
      <c r="B3509" s="0" t="s">
        <v>45</v>
      </c>
      <c r="C3509" s="0" t="s">
        <v>46</v>
      </c>
      <c r="D3509" s="0" t="n">
        <v>3</v>
      </c>
      <c r="E3509" s="2" t="n">
        <v>40841.39375</v>
      </c>
      <c r="F3509" s="0" t="n">
        <v>4.55</v>
      </c>
      <c r="G3509" s="0" t="n">
        <v>18118</v>
      </c>
      <c r="H3509" s="3" t="s">
        <v>124</v>
      </c>
      <c r="I3509" s="4" t="n">
        <f aca="false">D3509*F3509</f>
        <v>13.65</v>
      </c>
      <c r="J3509" s="3" t="n">
        <f aca="false">IF(AND(LEFT(A3509,1)&lt;&gt;"C",D3509&gt;0,F3509&gt;0),1,0)</f>
        <v>1</v>
      </c>
      <c r="K3509" s="3" t="n">
        <f aca="false">IF(AND(H3509="United Kingdom",G3509&lt;&gt;"",COUNTIFS($G$2:G3509,G3509,$H$2:H3509,"United Kingdom")=1),1,0)</f>
        <v>0</v>
      </c>
    </row>
    <row r="3510" customFormat="false" ht="15" hidden="false" customHeight="false" outlineLevel="0" collapsed="false">
      <c r="A3510" s="0" t="s">
        <v>733</v>
      </c>
      <c r="B3510" s="0" t="s">
        <v>32</v>
      </c>
      <c r="C3510" s="0" t="s">
        <v>33</v>
      </c>
      <c r="D3510" s="0" t="n">
        <v>2</v>
      </c>
      <c r="E3510" s="2" t="n">
        <v>40841.4326388889</v>
      </c>
      <c r="F3510" s="0" t="n">
        <v>1.19</v>
      </c>
      <c r="G3510" s="0" t="n">
        <v>17178</v>
      </c>
      <c r="H3510" s="3" t="s">
        <v>14</v>
      </c>
      <c r="I3510" s="4" t="n">
        <f aca="false">D3510*F3510</f>
        <v>2.38</v>
      </c>
      <c r="J3510" s="3" t="n">
        <f aca="false">IF(AND(LEFT(A3510,1)&lt;&gt;"C",D3510&gt;0,F3510&gt;0),1,0)</f>
        <v>1</v>
      </c>
      <c r="K3510" s="3" t="n">
        <f aca="false">IF(AND(H3510="United Kingdom",G3510&lt;&gt;"",COUNTIFS($G$2:G3510,G3510,$H$2:H3510,"United Kingdom")=1),1,0)</f>
        <v>0</v>
      </c>
    </row>
    <row r="3511" customFormat="false" ht="15" hidden="false" customHeight="false" outlineLevel="0" collapsed="false">
      <c r="A3511" s="0" t="s">
        <v>733</v>
      </c>
      <c r="B3511" s="0" t="s">
        <v>58</v>
      </c>
      <c r="C3511" s="0" t="s">
        <v>59</v>
      </c>
      <c r="D3511" s="0" t="n">
        <v>1</v>
      </c>
      <c r="E3511" s="2" t="n">
        <v>40841.4326388889</v>
      </c>
      <c r="F3511" s="0" t="n">
        <v>2.16</v>
      </c>
      <c r="G3511" s="0" t="n">
        <v>17178</v>
      </c>
      <c r="H3511" s="3" t="s">
        <v>14</v>
      </c>
      <c r="I3511" s="4" t="n">
        <f aca="false">D3511*F3511</f>
        <v>2.16</v>
      </c>
      <c r="J3511" s="3" t="n">
        <f aca="false">IF(AND(LEFT(A3511,1)&lt;&gt;"C",D3511&gt;0,F3511&gt;0),1,0)</f>
        <v>1</v>
      </c>
      <c r="K3511" s="3" t="n">
        <f aca="false">IF(AND(H3511="United Kingdom",G3511&lt;&gt;"",COUNTIFS($G$2:G3511,G3511,$H$2:H3511,"United Kingdom")=1),1,0)</f>
        <v>0</v>
      </c>
    </row>
    <row r="3512" customFormat="false" ht="15" hidden="false" customHeight="false" outlineLevel="0" collapsed="false">
      <c r="A3512" s="0" t="s">
        <v>734</v>
      </c>
      <c r="B3512" s="0" t="s">
        <v>17</v>
      </c>
      <c r="C3512" s="0" t="s">
        <v>18</v>
      </c>
      <c r="D3512" s="0" t="n">
        <v>2</v>
      </c>
      <c r="E3512" s="2" t="n">
        <v>40841.5368055556</v>
      </c>
      <c r="F3512" s="0" t="n">
        <v>1.92</v>
      </c>
      <c r="G3512" s="0" t="n">
        <v>13280</v>
      </c>
      <c r="H3512" s="3" t="s">
        <v>14</v>
      </c>
      <c r="I3512" s="4" t="n">
        <f aca="false">D3512*F3512</f>
        <v>3.84</v>
      </c>
      <c r="J3512" s="3" t="n">
        <f aca="false">IF(AND(LEFT(A3512,1)&lt;&gt;"C",D3512&gt;0,F3512&gt;0),1,0)</f>
        <v>1</v>
      </c>
      <c r="K3512" s="3" t="n">
        <f aca="false">IF(AND(H3512="United Kingdom",G3512&lt;&gt;"",COUNTIFS($G$2:G3512,G3512,$H$2:H3512,"United Kingdom")=1),1,0)</f>
        <v>0</v>
      </c>
    </row>
    <row r="3513" customFormat="false" ht="15" hidden="false" customHeight="false" outlineLevel="0" collapsed="false">
      <c r="A3513" s="0" t="s">
        <v>734</v>
      </c>
      <c r="B3513" s="0" t="s">
        <v>63</v>
      </c>
      <c r="C3513" s="0" t="s">
        <v>64</v>
      </c>
      <c r="D3513" s="0" t="n">
        <v>4</v>
      </c>
      <c r="E3513" s="2" t="n">
        <v>40841.5368055556</v>
      </c>
      <c r="F3513" s="0" t="n">
        <v>2.43</v>
      </c>
      <c r="G3513" s="0" t="n">
        <v>13280</v>
      </c>
      <c r="H3513" s="3" t="s">
        <v>14</v>
      </c>
      <c r="I3513" s="4" t="n">
        <f aca="false">D3513*F3513</f>
        <v>9.72</v>
      </c>
      <c r="J3513" s="3" t="n">
        <f aca="false">IF(AND(LEFT(A3513,1)&lt;&gt;"C",D3513&gt;0,F3513&gt;0),1,0)</f>
        <v>1</v>
      </c>
      <c r="K3513" s="3" t="n">
        <f aca="false">IF(AND(H3513="United Kingdom",G3513&lt;&gt;"",COUNTIFS($G$2:G3513,G3513,$H$2:H3513,"United Kingdom")=1),1,0)</f>
        <v>0</v>
      </c>
    </row>
    <row r="3514" customFormat="false" ht="15" hidden="false" customHeight="false" outlineLevel="0" collapsed="false">
      <c r="A3514" s="0" t="s">
        <v>734</v>
      </c>
      <c r="B3514" s="0" t="s">
        <v>45</v>
      </c>
      <c r="C3514" s="0" t="s">
        <v>46</v>
      </c>
      <c r="D3514" s="0" t="n">
        <v>12</v>
      </c>
      <c r="E3514" s="2" t="n">
        <v>40841.5368055556</v>
      </c>
      <c r="F3514" s="0" t="n">
        <v>4.55</v>
      </c>
      <c r="G3514" s="0" t="n">
        <v>13280</v>
      </c>
      <c r="H3514" s="3" t="s">
        <v>14</v>
      </c>
      <c r="I3514" s="4" t="n">
        <f aca="false">D3514*F3514</f>
        <v>54.6</v>
      </c>
      <c r="J3514" s="3" t="n">
        <f aca="false">IF(AND(LEFT(A3514,1)&lt;&gt;"C",D3514&gt;0,F3514&gt;0),1,0)</f>
        <v>1</v>
      </c>
      <c r="K3514" s="3" t="n">
        <f aca="false">IF(AND(H3514="United Kingdom",G3514&lt;&gt;"",COUNTIFS($G$2:G3514,G3514,$H$2:H3514,"United Kingdom")=1),1,0)</f>
        <v>0</v>
      </c>
    </row>
    <row r="3515" customFormat="false" ht="15" hidden="false" customHeight="false" outlineLevel="0" collapsed="false">
      <c r="A3515" s="0" t="s">
        <v>734</v>
      </c>
      <c r="B3515" s="0" t="s">
        <v>80</v>
      </c>
      <c r="C3515" s="0" t="s">
        <v>81</v>
      </c>
      <c r="D3515" s="0" t="n">
        <v>4</v>
      </c>
      <c r="E3515" s="2" t="n">
        <v>40841.5368055556</v>
      </c>
      <c r="F3515" s="0" t="n">
        <v>1.53</v>
      </c>
      <c r="G3515" s="0" t="n">
        <v>13280</v>
      </c>
      <c r="H3515" s="3" t="s">
        <v>14</v>
      </c>
      <c r="I3515" s="4" t="n">
        <f aca="false">D3515*F3515</f>
        <v>6.12</v>
      </c>
      <c r="J3515" s="3" t="n">
        <f aca="false">IF(AND(LEFT(A3515,1)&lt;&gt;"C",D3515&gt;0,F3515&gt;0),1,0)</f>
        <v>1</v>
      </c>
      <c r="K3515" s="3" t="n">
        <f aca="false">IF(AND(H3515="United Kingdom",G3515&lt;&gt;"",COUNTIFS($G$2:G3515,G3515,$H$2:H3515,"United Kingdom")=1),1,0)</f>
        <v>0</v>
      </c>
    </row>
    <row r="3516" customFormat="false" ht="15" hidden="false" customHeight="false" outlineLevel="0" collapsed="false">
      <c r="A3516" s="0" t="s">
        <v>735</v>
      </c>
      <c r="B3516" s="0" t="s">
        <v>63</v>
      </c>
      <c r="C3516" s="0" t="s">
        <v>64</v>
      </c>
      <c r="D3516" s="0" t="n">
        <v>12</v>
      </c>
      <c r="E3516" s="2" t="n">
        <v>40841.6430555556</v>
      </c>
      <c r="F3516" s="0" t="n">
        <v>2.43</v>
      </c>
      <c r="G3516" s="0" t="n">
        <v>16499</v>
      </c>
      <c r="H3516" s="3" t="s">
        <v>14</v>
      </c>
      <c r="I3516" s="4" t="n">
        <f aca="false">D3516*F3516</f>
        <v>29.16</v>
      </c>
      <c r="J3516" s="3" t="n">
        <f aca="false">IF(AND(LEFT(A3516,1)&lt;&gt;"C",D3516&gt;0,F3516&gt;0),1,0)</f>
        <v>1</v>
      </c>
      <c r="K3516" s="3" t="n">
        <f aca="false">IF(AND(H3516="United Kingdom",G3516&lt;&gt;"",COUNTIFS($G$2:G3516,G3516,$H$2:H3516,"United Kingdom")=1),1,0)</f>
        <v>0</v>
      </c>
    </row>
    <row r="3517" customFormat="false" ht="15" hidden="false" customHeight="false" outlineLevel="0" collapsed="false">
      <c r="A3517" s="0" t="s">
        <v>735</v>
      </c>
      <c r="B3517" s="0" t="s">
        <v>27</v>
      </c>
      <c r="C3517" s="0" t="s">
        <v>28</v>
      </c>
      <c r="D3517" s="0" t="n">
        <v>6</v>
      </c>
      <c r="E3517" s="2" t="n">
        <v>40841.6430555556</v>
      </c>
      <c r="F3517" s="0" t="n">
        <v>4.55</v>
      </c>
      <c r="G3517" s="0" t="n">
        <v>16499</v>
      </c>
      <c r="H3517" s="3" t="s">
        <v>14</v>
      </c>
      <c r="I3517" s="4" t="n">
        <f aca="false">D3517*F3517</f>
        <v>27.3</v>
      </c>
      <c r="J3517" s="3" t="n">
        <f aca="false">IF(AND(LEFT(A3517,1)&lt;&gt;"C",D3517&gt;0,F3517&gt;0),1,0)</f>
        <v>1</v>
      </c>
      <c r="K3517" s="3" t="n">
        <f aca="false">IF(AND(H3517="United Kingdom",G3517&lt;&gt;"",COUNTIFS($G$2:G3517,G3517,$H$2:H3517,"United Kingdom")=1),1,0)</f>
        <v>0</v>
      </c>
    </row>
    <row r="3518" customFormat="false" ht="15" hidden="false" customHeight="false" outlineLevel="0" collapsed="false">
      <c r="A3518" s="0" t="s">
        <v>735</v>
      </c>
      <c r="B3518" s="0" t="s">
        <v>75</v>
      </c>
      <c r="C3518" s="0" t="s">
        <v>76</v>
      </c>
      <c r="D3518" s="0" t="n">
        <v>2</v>
      </c>
      <c r="E3518" s="2" t="n">
        <v>40841.6430555556</v>
      </c>
      <c r="F3518" s="0" t="n">
        <v>1.97</v>
      </c>
      <c r="G3518" s="0" t="n">
        <v>16499</v>
      </c>
      <c r="H3518" s="3" t="s">
        <v>14</v>
      </c>
      <c r="I3518" s="4" t="n">
        <f aca="false">D3518*F3518</f>
        <v>3.94</v>
      </c>
      <c r="J3518" s="3" t="n">
        <f aca="false">IF(AND(LEFT(A3518,1)&lt;&gt;"C",D3518&gt;0,F3518&gt;0),1,0)</f>
        <v>1</v>
      </c>
      <c r="K3518" s="3" t="n">
        <f aca="false">IF(AND(H3518="United Kingdom",G3518&lt;&gt;"",COUNTIFS($G$2:G3518,G3518,$H$2:H3518,"United Kingdom")=1),1,0)</f>
        <v>0</v>
      </c>
    </row>
    <row r="3519" customFormat="false" ht="15" hidden="false" customHeight="false" outlineLevel="0" collapsed="false">
      <c r="A3519" s="0" t="s">
        <v>735</v>
      </c>
      <c r="B3519" s="0" t="s">
        <v>25</v>
      </c>
      <c r="C3519" s="0" t="s">
        <v>26</v>
      </c>
      <c r="D3519" s="0" t="n">
        <v>6</v>
      </c>
      <c r="E3519" s="2" t="n">
        <v>40841.6430555556</v>
      </c>
      <c r="F3519" s="0" t="n">
        <v>2.21</v>
      </c>
      <c r="G3519" s="0" t="n">
        <v>16499</v>
      </c>
      <c r="H3519" s="3" t="s">
        <v>14</v>
      </c>
      <c r="I3519" s="4" t="n">
        <f aca="false">D3519*F3519</f>
        <v>13.26</v>
      </c>
      <c r="J3519" s="3" t="n">
        <f aca="false">IF(AND(LEFT(A3519,1)&lt;&gt;"C",D3519&gt;0,F3519&gt;0),1,0)</f>
        <v>1</v>
      </c>
      <c r="K3519" s="3" t="n">
        <f aca="false">IF(AND(H3519="United Kingdom",G3519&lt;&gt;"",COUNTIFS($G$2:G3519,G3519,$H$2:H3519,"United Kingdom")=1),1,0)</f>
        <v>0</v>
      </c>
    </row>
    <row r="3520" customFormat="false" ht="15" hidden="false" customHeight="false" outlineLevel="0" collapsed="false">
      <c r="A3520" s="0" t="s">
        <v>735</v>
      </c>
      <c r="B3520" s="0" t="s">
        <v>17</v>
      </c>
      <c r="C3520" s="0" t="s">
        <v>18</v>
      </c>
      <c r="D3520" s="0" t="n">
        <v>4</v>
      </c>
      <c r="E3520" s="2" t="n">
        <v>40841.6430555556</v>
      </c>
      <c r="F3520" s="0" t="n">
        <v>1.92</v>
      </c>
      <c r="G3520" s="0" t="n">
        <v>16499</v>
      </c>
      <c r="H3520" s="3" t="s">
        <v>14</v>
      </c>
      <c r="I3520" s="4" t="n">
        <f aca="false">D3520*F3520</f>
        <v>7.68</v>
      </c>
      <c r="J3520" s="3" t="n">
        <f aca="false">IF(AND(LEFT(A3520,1)&lt;&gt;"C",D3520&gt;0,F3520&gt;0),1,0)</f>
        <v>1</v>
      </c>
      <c r="K3520" s="3" t="n">
        <f aca="false">IF(AND(H3520="United Kingdom",G3520&lt;&gt;"",COUNTIFS($G$2:G3520,G3520,$H$2:H3520,"United Kingdom")=1),1,0)</f>
        <v>0</v>
      </c>
    </row>
    <row r="3521" customFormat="false" ht="15" hidden="false" customHeight="false" outlineLevel="0" collapsed="false">
      <c r="A3521" s="0" t="s">
        <v>735</v>
      </c>
      <c r="B3521" s="0" t="s">
        <v>48</v>
      </c>
      <c r="C3521" s="0" t="s">
        <v>49</v>
      </c>
      <c r="D3521" s="0" t="n">
        <v>6</v>
      </c>
      <c r="E3521" s="2" t="n">
        <v>40841.6430555556</v>
      </c>
      <c r="F3521" s="0" t="n">
        <v>1.35</v>
      </c>
      <c r="G3521" s="0" t="n">
        <v>16499</v>
      </c>
      <c r="H3521" s="3" t="s">
        <v>14</v>
      </c>
      <c r="I3521" s="4" t="n">
        <f aca="false">D3521*F3521</f>
        <v>8.1</v>
      </c>
      <c r="J3521" s="3" t="n">
        <f aca="false">IF(AND(LEFT(A3521,1)&lt;&gt;"C",D3521&gt;0,F3521&gt;0),1,0)</f>
        <v>1</v>
      </c>
      <c r="K3521" s="3" t="n">
        <f aca="false">IF(AND(H3521="United Kingdom",G3521&lt;&gt;"",COUNTIFS($G$2:G3521,G3521,$H$2:H3521,"United Kingdom")=1),1,0)</f>
        <v>0</v>
      </c>
    </row>
    <row r="3522" customFormat="false" ht="15" hidden="false" customHeight="false" outlineLevel="0" collapsed="false">
      <c r="A3522" s="0" t="s">
        <v>735</v>
      </c>
      <c r="B3522" s="0" t="s">
        <v>60</v>
      </c>
      <c r="C3522" s="0" t="s">
        <v>61</v>
      </c>
      <c r="D3522" s="0" t="n">
        <v>8</v>
      </c>
      <c r="E3522" s="2" t="n">
        <v>40841.6430555556</v>
      </c>
      <c r="F3522" s="0" t="n">
        <v>0.63</v>
      </c>
      <c r="G3522" s="0" t="n">
        <v>16499</v>
      </c>
      <c r="H3522" s="3" t="s">
        <v>14</v>
      </c>
      <c r="I3522" s="4" t="n">
        <f aca="false">D3522*F3522</f>
        <v>5.04</v>
      </c>
      <c r="J3522" s="3" t="n">
        <f aca="false">IF(AND(LEFT(A3522,1)&lt;&gt;"C",D3522&gt;0,F3522&gt;0),1,0)</f>
        <v>1</v>
      </c>
      <c r="K3522" s="3" t="n">
        <f aca="false">IF(AND(H3522="United Kingdom",G3522&lt;&gt;"",COUNTIFS($G$2:G3522,G3522,$H$2:H3522,"United Kingdom")=1),1,0)</f>
        <v>0</v>
      </c>
    </row>
    <row r="3523" customFormat="false" ht="15" hidden="false" customHeight="false" outlineLevel="0" collapsed="false">
      <c r="A3523" s="0" t="s">
        <v>735</v>
      </c>
      <c r="B3523" s="0" t="s">
        <v>41</v>
      </c>
      <c r="C3523" s="0" t="s">
        <v>42</v>
      </c>
      <c r="D3523" s="0" t="n">
        <v>24</v>
      </c>
      <c r="E3523" s="2" t="n">
        <v>40841.6430555556</v>
      </c>
      <c r="F3523" s="0" t="n">
        <v>3.28</v>
      </c>
      <c r="G3523" s="0" t="n">
        <v>16499</v>
      </c>
      <c r="H3523" s="3" t="s">
        <v>14</v>
      </c>
      <c r="I3523" s="4" t="n">
        <f aca="false">D3523*F3523</f>
        <v>78.72</v>
      </c>
      <c r="J3523" s="3" t="n">
        <f aca="false">IF(AND(LEFT(A3523,1)&lt;&gt;"C",D3523&gt;0,F3523&gt;0),1,0)</f>
        <v>1</v>
      </c>
      <c r="K3523" s="3" t="n">
        <f aca="false">IF(AND(H3523="United Kingdom",G3523&lt;&gt;"",COUNTIFS($G$2:G3523,G3523,$H$2:H3523,"United Kingdom")=1),1,0)</f>
        <v>0</v>
      </c>
    </row>
    <row r="3524" customFormat="false" ht="15" hidden="false" customHeight="false" outlineLevel="0" collapsed="false">
      <c r="A3524" s="0" t="s">
        <v>735</v>
      </c>
      <c r="B3524" s="0" t="s">
        <v>80</v>
      </c>
      <c r="C3524" s="0" t="s">
        <v>81</v>
      </c>
      <c r="D3524" s="0" t="n">
        <v>4</v>
      </c>
      <c r="E3524" s="2" t="n">
        <v>40841.6430555556</v>
      </c>
      <c r="F3524" s="0" t="n">
        <v>1.53</v>
      </c>
      <c r="G3524" s="0" t="n">
        <v>16499</v>
      </c>
      <c r="H3524" s="3" t="s">
        <v>14</v>
      </c>
      <c r="I3524" s="4" t="n">
        <f aca="false">D3524*F3524</f>
        <v>6.12</v>
      </c>
      <c r="J3524" s="3" t="n">
        <f aca="false">IF(AND(LEFT(A3524,1)&lt;&gt;"C",D3524&gt;0,F3524&gt;0),1,0)</f>
        <v>1</v>
      </c>
      <c r="K3524" s="3" t="n">
        <f aca="false">IF(AND(H3524="United Kingdom",G3524&lt;&gt;"",COUNTIFS($G$2:G3524,G3524,$H$2:H3524,"United Kingdom")=1),1,0)</f>
        <v>0</v>
      </c>
    </row>
    <row r="3525" customFormat="false" ht="15" hidden="false" customHeight="false" outlineLevel="0" collapsed="false">
      <c r="A3525" s="0" t="s">
        <v>735</v>
      </c>
      <c r="B3525" s="0" t="s">
        <v>37</v>
      </c>
      <c r="C3525" s="0" t="s">
        <v>38</v>
      </c>
      <c r="D3525" s="0" t="n">
        <v>4</v>
      </c>
      <c r="E3525" s="2" t="n">
        <v>40841.6430555556</v>
      </c>
      <c r="F3525" s="0" t="n">
        <v>1.82</v>
      </c>
      <c r="G3525" s="0" t="n">
        <v>16499</v>
      </c>
      <c r="H3525" s="3" t="s">
        <v>14</v>
      </c>
      <c r="I3525" s="4" t="n">
        <f aca="false">D3525*F3525</f>
        <v>7.28</v>
      </c>
      <c r="J3525" s="3" t="n">
        <f aca="false">IF(AND(LEFT(A3525,1)&lt;&gt;"C",D3525&gt;0,F3525&gt;0),1,0)</f>
        <v>1</v>
      </c>
      <c r="K3525" s="3" t="n">
        <f aca="false">IF(AND(H3525="United Kingdom",G3525&lt;&gt;"",COUNTIFS($G$2:G3525,G3525,$H$2:H3525,"United Kingdom")=1),1,0)</f>
        <v>0</v>
      </c>
    </row>
    <row r="3526" customFormat="false" ht="15" hidden="false" customHeight="false" outlineLevel="0" collapsed="false">
      <c r="A3526" s="0" t="s">
        <v>735</v>
      </c>
      <c r="B3526" s="0" t="s">
        <v>77</v>
      </c>
      <c r="C3526" s="0" t="s">
        <v>78</v>
      </c>
      <c r="D3526" s="0" t="n">
        <v>4</v>
      </c>
      <c r="E3526" s="2" t="n">
        <v>40841.6430555556</v>
      </c>
      <c r="F3526" s="0" t="n">
        <v>3.41</v>
      </c>
      <c r="G3526" s="0" t="n">
        <v>16499</v>
      </c>
      <c r="H3526" s="3" t="s">
        <v>14</v>
      </c>
      <c r="I3526" s="4" t="n">
        <f aca="false">D3526*F3526</f>
        <v>13.64</v>
      </c>
      <c r="J3526" s="3" t="n">
        <f aca="false">IF(AND(LEFT(A3526,1)&lt;&gt;"C",D3526&gt;0,F3526&gt;0),1,0)</f>
        <v>1</v>
      </c>
      <c r="K3526" s="3" t="n">
        <f aca="false">IF(AND(H3526="United Kingdom",G3526&lt;&gt;"",COUNTIFS($G$2:G3526,G3526,$H$2:H3526,"United Kingdom")=1),1,0)</f>
        <v>0</v>
      </c>
    </row>
    <row r="3527" customFormat="false" ht="15" hidden="false" customHeight="false" outlineLevel="0" collapsed="false">
      <c r="A3527" s="0" t="s">
        <v>735</v>
      </c>
      <c r="B3527" s="0" t="s">
        <v>29</v>
      </c>
      <c r="C3527" s="0" t="s">
        <v>30</v>
      </c>
      <c r="D3527" s="0" t="n">
        <v>1</v>
      </c>
      <c r="E3527" s="2" t="n">
        <v>40841.6430555556</v>
      </c>
      <c r="F3527" s="0" t="n">
        <v>5.79</v>
      </c>
      <c r="G3527" s="0" t="n">
        <v>16499</v>
      </c>
      <c r="H3527" s="3" t="s">
        <v>14</v>
      </c>
      <c r="I3527" s="4" t="n">
        <f aca="false">D3527*F3527</f>
        <v>5.79</v>
      </c>
      <c r="J3527" s="3" t="n">
        <f aca="false">IF(AND(LEFT(A3527,1)&lt;&gt;"C",D3527&gt;0,F3527&gt;0),1,0)</f>
        <v>1</v>
      </c>
      <c r="K3527" s="3" t="n">
        <f aca="false">IF(AND(H3527="United Kingdom",G3527&lt;&gt;"",COUNTIFS($G$2:G3527,G3527,$H$2:H3527,"United Kingdom")=1),1,0)</f>
        <v>0</v>
      </c>
    </row>
    <row r="3528" customFormat="false" ht="15" hidden="false" customHeight="false" outlineLevel="0" collapsed="false">
      <c r="A3528" s="0" t="s">
        <v>735</v>
      </c>
      <c r="B3528" s="0" t="s">
        <v>52</v>
      </c>
      <c r="C3528" s="0" t="s">
        <v>53</v>
      </c>
      <c r="D3528" s="0" t="n">
        <v>2</v>
      </c>
      <c r="E3528" s="2" t="n">
        <v>40841.6430555556</v>
      </c>
      <c r="F3528" s="0" t="n">
        <v>4.16</v>
      </c>
      <c r="G3528" s="0" t="n">
        <v>16499</v>
      </c>
      <c r="H3528" s="3" t="s">
        <v>14</v>
      </c>
      <c r="I3528" s="4" t="n">
        <f aca="false">D3528*F3528</f>
        <v>8.32</v>
      </c>
      <c r="J3528" s="3" t="n">
        <f aca="false">IF(AND(LEFT(A3528,1)&lt;&gt;"C",D3528&gt;0,F3528&gt;0),1,0)</f>
        <v>1</v>
      </c>
      <c r="K3528" s="3" t="n">
        <f aca="false">IF(AND(H3528="United Kingdom",G3528&lt;&gt;"",COUNTIFS($G$2:G3528,G3528,$H$2:H3528,"United Kingdom")=1),1,0)</f>
        <v>0</v>
      </c>
    </row>
    <row r="3529" customFormat="false" ht="15" hidden="false" customHeight="false" outlineLevel="0" collapsed="false">
      <c r="A3529" s="0" t="s">
        <v>736</v>
      </c>
      <c r="B3529" s="0" t="s">
        <v>34</v>
      </c>
      <c r="C3529" s="0" t="s">
        <v>35</v>
      </c>
      <c r="D3529" s="0" t="n">
        <v>12</v>
      </c>
      <c r="E3529" s="2" t="n">
        <v>40842.7590277778</v>
      </c>
      <c r="F3529" s="0" t="n">
        <v>2.38</v>
      </c>
      <c r="G3529" s="0" t="n">
        <v>15108</v>
      </c>
      <c r="H3529" s="3" t="s">
        <v>14</v>
      </c>
      <c r="I3529" s="4" t="n">
        <f aca="false">D3529*F3529</f>
        <v>28.56</v>
      </c>
      <c r="J3529" s="3" t="n">
        <f aca="false">IF(AND(LEFT(A3529,1)&lt;&gt;"C",D3529&gt;0,F3529&gt;0),1,0)</f>
        <v>1</v>
      </c>
      <c r="K3529" s="3" t="n">
        <f aca="false">IF(AND(H3529="United Kingdom",G3529&lt;&gt;"",COUNTIFS($G$2:G3529,G3529,$H$2:H3529,"United Kingdom")=1),1,0)</f>
        <v>0</v>
      </c>
    </row>
    <row r="3530" customFormat="false" ht="15" hidden="false" customHeight="false" outlineLevel="0" collapsed="false">
      <c r="A3530" s="0" t="s">
        <v>736</v>
      </c>
      <c r="B3530" s="0" t="s">
        <v>90</v>
      </c>
      <c r="C3530" s="0" t="s">
        <v>91</v>
      </c>
      <c r="D3530" s="0" t="n">
        <v>2</v>
      </c>
      <c r="E3530" s="2" t="n">
        <v>40842.7590277778</v>
      </c>
      <c r="F3530" s="0" t="n">
        <v>3.04</v>
      </c>
      <c r="G3530" s="0" t="n">
        <v>15108</v>
      </c>
      <c r="H3530" s="3" t="s">
        <v>14</v>
      </c>
      <c r="I3530" s="4" t="n">
        <f aca="false">D3530*F3530</f>
        <v>6.08</v>
      </c>
      <c r="J3530" s="3" t="n">
        <f aca="false">IF(AND(LEFT(A3530,1)&lt;&gt;"C",D3530&gt;0,F3530&gt;0),1,0)</f>
        <v>1</v>
      </c>
      <c r="K3530" s="3" t="n">
        <f aca="false">IF(AND(H3530="United Kingdom",G3530&lt;&gt;"",COUNTIFS($G$2:G3530,G3530,$H$2:H3530,"United Kingdom")=1),1,0)</f>
        <v>0</v>
      </c>
    </row>
    <row r="3531" customFormat="false" ht="15" hidden="false" customHeight="false" outlineLevel="0" collapsed="false">
      <c r="A3531" s="0" t="s">
        <v>736</v>
      </c>
      <c r="B3531" s="0" t="s">
        <v>77</v>
      </c>
      <c r="C3531" s="0" t="s">
        <v>78</v>
      </c>
      <c r="D3531" s="0" t="n">
        <v>3</v>
      </c>
      <c r="E3531" s="2" t="n">
        <v>40842.7590277778</v>
      </c>
      <c r="F3531" s="0" t="n">
        <v>3.41</v>
      </c>
      <c r="G3531" s="0" t="n">
        <v>15108</v>
      </c>
      <c r="H3531" s="3" t="s">
        <v>14</v>
      </c>
      <c r="I3531" s="4" t="n">
        <f aca="false">D3531*F3531</f>
        <v>10.23</v>
      </c>
      <c r="J3531" s="3" t="n">
        <f aca="false">IF(AND(LEFT(A3531,1)&lt;&gt;"C",D3531&gt;0,F3531&gt;0),1,0)</f>
        <v>1</v>
      </c>
      <c r="K3531" s="3" t="n">
        <f aca="false">IF(AND(H3531="United Kingdom",G3531&lt;&gt;"",COUNTIFS($G$2:G3531,G3531,$H$2:H3531,"United Kingdom")=1),1,0)</f>
        <v>0</v>
      </c>
    </row>
    <row r="3532" customFormat="false" ht="15" hidden="false" customHeight="false" outlineLevel="0" collapsed="false">
      <c r="A3532" s="0" t="s">
        <v>736</v>
      </c>
      <c r="B3532" s="0" t="s">
        <v>52</v>
      </c>
      <c r="C3532" s="0" t="s">
        <v>53</v>
      </c>
      <c r="D3532" s="0" t="n">
        <v>4</v>
      </c>
      <c r="E3532" s="2" t="n">
        <v>40842.7590277778</v>
      </c>
      <c r="F3532" s="0" t="n">
        <v>4.16</v>
      </c>
      <c r="G3532" s="0" t="n">
        <v>15108</v>
      </c>
      <c r="H3532" s="3" t="s">
        <v>14</v>
      </c>
      <c r="I3532" s="4" t="n">
        <f aca="false">D3532*F3532</f>
        <v>16.64</v>
      </c>
      <c r="J3532" s="3" t="n">
        <f aca="false">IF(AND(LEFT(A3532,1)&lt;&gt;"C",D3532&gt;0,F3532&gt;0),1,0)</f>
        <v>1</v>
      </c>
      <c r="K3532" s="3" t="n">
        <f aca="false">IF(AND(H3532="United Kingdom",G3532&lt;&gt;"",COUNTIFS($G$2:G3532,G3532,$H$2:H3532,"United Kingdom")=1),1,0)</f>
        <v>0</v>
      </c>
    </row>
    <row r="3533" customFormat="false" ht="15" hidden="false" customHeight="false" outlineLevel="0" collapsed="false">
      <c r="A3533" s="0" t="s">
        <v>736</v>
      </c>
      <c r="B3533" s="0" t="s">
        <v>72</v>
      </c>
      <c r="C3533" s="0" t="s">
        <v>73</v>
      </c>
      <c r="D3533" s="0" t="n">
        <v>1</v>
      </c>
      <c r="E3533" s="2" t="n">
        <v>40842.7590277778</v>
      </c>
      <c r="F3533" s="0" t="n">
        <v>2.69</v>
      </c>
      <c r="G3533" s="0" t="n">
        <v>15108</v>
      </c>
      <c r="H3533" s="3" t="s">
        <v>14</v>
      </c>
      <c r="I3533" s="4" t="n">
        <f aca="false">D3533*F3533</f>
        <v>2.69</v>
      </c>
      <c r="J3533" s="3" t="n">
        <f aca="false">IF(AND(LEFT(A3533,1)&lt;&gt;"C",D3533&gt;0,F3533&gt;0),1,0)</f>
        <v>1</v>
      </c>
      <c r="K3533" s="3" t="n">
        <f aca="false">IF(AND(H3533="United Kingdom",G3533&lt;&gt;"",COUNTIFS($G$2:G3533,G3533,$H$2:H3533,"United Kingdom")=1),1,0)</f>
        <v>0</v>
      </c>
    </row>
    <row r="3534" customFormat="false" ht="15" hidden="false" customHeight="false" outlineLevel="0" collapsed="false">
      <c r="A3534" s="0" t="s">
        <v>736</v>
      </c>
      <c r="B3534" s="0" t="s">
        <v>25</v>
      </c>
      <c r="C3534" s="0" t="s">
        <v>26</v>
      </c>
      <c r="D3534" s="0" t="n">
        <v>6</v>
      </c>
      <c r="E3534" s="2" t="n">
        <v>40842.7590277778</v>
      </c>
      <c r="F3534" s="0" t="n">
        <v>2.21</v>
      </c>
      <c r="G3534" s="0" t="n">
        <v>15108</v>
      </c>
      <c r="H3534" s="3" t="s">
        <v>14</v>
      </c>
      <c r="I3534" s="4" t="n">
        <f aca="false">D3534*F3534</f>
        <v>13.26</v>
      </c>
      <c r="J3534" s="3" t="n">
        <f aca="false">IF(AND(LEFT(A3534,1)&lt;&gt;"C",D3534&gt;0,F3534&gt;0),1,0)</f>
        <v>1</v>
      </c>
      <c r="K3534" s="3" t="n">
        <f aca="false">IF(AND(H3534="United Kingdom",G3534&lt;&gt;"",COUNTIFS($G$2:G3534,G3534,$H$2:H3534,"United Kingdom")=1),1,0)</f>
        <v>0</v>
      </c>
    </row>
    <row r="3535" customFormat="false" ht="15" hidden="false" customHeight="false" outlineLevel="0" collapsed="false">
      <c r="A3535" s="0" t="s">
        <v>737</v>
      </c>
      <c r="B3535" s="0" t="s">
        <v>63</v>
      </c>
      <c r="C3535" s="0" t="s">
        <v>64</v>
      </c>
      <c r="D3535" s="0" t="n">
        <v>12</v>
      </c>
      <c r="E3535" s="2" t="n">
        <v>40843.3847222222</v>
      </c>
      <c r="F3535" s="0" t="n">
        <v>2.43</v>
      </c>
      <c r="G3535" s="0" t="n">
        <v>16332</v>
      </c>
      <c r="H3535" s="3" t="s">
        <v>14</v>
      </c>
      <c r="I3535" s="4" t="n">
        <f aca="false">D3535*F3535</f>
        <v>29.16</v>
      </c>
      <c r="J3535" s="3" t="n">
        <f aca="false">IF(AND(LEFT(A3535,1)&lt;&gt;"C",D3535&gt;0,F3535&gt;0),1,0)</f>
        <v>1</v>
      </c>
      <c r="K3535" s="3" t="n">
        <f aca="false">IF(AND(H3535="United Kingdom",G3535&lt;&gt;"",COUNTIFS($G$2:G3535,G3535,$H$2:H3535,"United Kingdom")=1),1,0)</f>
        <v>0</v>
      </c>
    </row>
    <row r="3536" customFormat="false" ht="15" hidden="false" customHeight="false" outlineLevel="0" collapsed="false">
      <c r="A3536" s="0" t="s">
        <v>737</v>
      </c>
      <c r="B3536" s="0" t="s">
        <v>17</v>
      </c>
      <c r="C3536" s="0" t="s">
        <v>18</v>
      </c>
      <c r="D3536" s="0" t="n">
        <v>12</v>
      </c>
      <c r="E3536" s="2" t="n">
        <v>40843.3847222222</v>
      </c>
      <c r="F3536" s="0" t="n">
        <v>1.92</v>
      </c>
      <c r="G3536" s="0" t="n">
        <v>16332</v>
      </c>
      <c r="H3536" s="3" t="s">
        <v>14</v>
      </c>
      <c r="I3536" s="4" t="n">
        <f aca="false">D3536*F3536</f>
        <v>23.04</v>
      </c>
      <c r="J3536" s="3" t="n">
        <f aca="false">IF(AND(LEFT(A3536,1)&lt;&gt;"C",D3536&gt;0,F3536&gt;0),1,0)</f>
        <v>1</v>
      </c>
      <c r="K3536" s="3" t="n">
        <f aca="false">IF(AND(H3536="United Kingdom",G3536&lt;&gt;"",COUNTIFS($G$2:G3536,G3536,$H$2:H3536,"United Kingdom")=1),1,0)</f>
        <v>0</v>
      </c>
    </row>
    <row r="3537" customFormat="false" ht="15" hidden="false" customHeight="false" outlineLevel="0" collapsed="false">
      <c r="A3537" s="0" t="s">
        <v>737</v>
      </c>
      <c r="B3537" s="0" t="s">
        <v>80</v>
      </c>
      <c r="C3537" s="0" t="s">
        <v>81</v>
      </c>
      <c r="D3537" s="0" t="n">
        <v>48</v>
      </c>
      <c r="E3537" s="2" t="n">
        <v>40843.3847222222</v>
      </c>
      <c r="F3537" s="0" t="n">
        <v>1.53</v>
      </c>
      <c r="G3537" s="0" t="n">
        <v>16332</v>
      </c>
      <c r="H3537" s="3" t="s">
        <v>14</v>
      </c>
      <c r="I3537" s="4" t="n">
        <f aca="false">D3537*F3537</f>
        <v>73.44</v>
      </c>
      <c r="J3537" s="3" t="n">
        <f aca="false">IF(AND(LEFT(A3537,1)&lt;&gt;"C",D3537&gt;0,F3537&gt;0),1,0)</f>
        <v>1</v>
      </c>
      <c r="K3537" s="3" t="n">
        <f aca="false">IF(AND(H3537="United Kingdom",G3537&lt;&gt;"",COUNTIFS($G$2:G3537,G3537,$H$2:H3537,"United Kingdom")=1),1,0)</f>
        <v>0</v>
      </c>
    </row>
    <row r="3538" customFormat="false" ht="15" hidden="false" customHeight="false" outlineLevel="0" collapsed="false">
      <c r="A3538" s="0" t="s">
        <v>737</v>
      </c>
      <c r="B3538" s="0" t="s">
        <v>60</v>
      </c>
      <c r="C3538" s="0" t="s">
        <v>61</v>
      </c>
      <c r="D3538" s="0" t="n">
        <v>144</v>
      </c>
      <c r="E3538" s="2" t="n">
        <v>40843.3847222222</v>
      </c>
      <c r="F3538" s="0" t="n">
        <v>0.63</v>
      </c>
      <c r="G3538" s="0" t="n">
        <v>16332</v>
      </c>
      <c r="H3538" s="3" t="s">
        <v>14</v>
      </c>
      <c r="I3538" s="4" t="n">
        <f aca="false">D3538*F3538</f>
        <v>90.72</v>
      </c>
      <c r="J3538" s="3" t="n">
        <f aca="false">IF(AND(LEFT(A3538,1)&lt;&gt;"C",D3538&gt;0,F3538&gt;0),1,0)</f>
        <v>1</v>
      </c>
      <c r="K3538" s="3" t="n">
        <f aca="false">IF(AND(H3538="United Kingdom",G3538&lt;&gt;"",COUNTIFS($G$2:G3538,G3538,$H$2:H3538,"United Kingdom")=1),1,0)</f>
        <v>0</v>
      </c>
    </row>
    <row r="3539" customFormat="false" ht="15" hidden="false" customHeight="false" outlineLevel="0" collapsed="false">
      <c r="A3539" s="0" t="s">
        <v>737</v>
      </c>
      <c r="B3539" s="0" t="s">
        <v>12</v>
      </c>
      <c r="C3539" s="0" t="s">
        <v>13</v>
      </c>
      <c r="D3539" s="0" t="n">
        <v>24</v>
      </c>
      <c r="E3539" s="2" t="n">
        <v>40843.3847222222</v>
      </c>
      <c r="F3539" s="0" t="n">
        <v>3.33</v>
      </c>
      <c r="G3539" s="0" t="n">
        <v>16332</v>
      </c>
      <c r="H3539" s="3" t="s">
        <v>14</v>
      </c>
      <c r="I3539" s="4" t="n">
        <f aca="false">D3539*F3539</f>
        <v>79.92</v>
      </c>
      <c r="J3539" s="3" t="n">
        <f aca="false">IF(AND(LEFT(A3539,1)&lt;&gt;"C",D3539&gt;0,F3539&gt;0),1,0)</f>
        <v>1</v>
      </c>
      <c r="K3539" s="3" t="n">
        <f aca="false">IF(AND(H3539="United Kingdom",G3539&lt;&gt;"",COUNTIFS($G$2:G3539,G3539,$H$2:H3539,"United Kingdom")=1),1,0)</f>
        <v>0</v>
      </c>
    </row>
    <row r="3540" customFormat="false" ht="15" hidden="false" customHeight="false" outlineLevel="0" collapsed="false">
      <c r="A3540" s="0" t="s">
        <v>737</v>
      </c>
      <c r="B3540" s="0" t="s">
        <v>43</v>
      </c>
      <c r="C3540" s="0" t="s">
        <v>44</v>
      </c>
      <c r="D3540" s="0" t="n">
        <v>96</v>
      </c>
      <c r="E3540" s="2" t="n">
        <v>40843.3847222222</v>
      </c>
      <c r="F3540" s="0" t="n">
        <v>1.35</v>
      </c>
      <c r="G3540" s="0" t="n">
        <v>16332</v>
      </c>
      <c r="H3540" s="3" t="s">
        <v>14</v>
      </c>
      <c r="I3540" s="4" t="n">
        <f aca="false">D3540*F3540</f>
        <v>129.6</v>
      </c>
      <c r="J3540" s="3" t="n">
        <f aca="false">IF(AND(LEFT(A3540,1)&lt;&gt;"C",D3540&gt;0,F3540&gt;0),1,0)</f>
        <v>1</v>
      </c>
      <c r="K3540" s="3" t="n">
        <f aca="false">IF(AND(H3540="United Kingdom",G3540&lt;&gt;"",COUNTIFS($G$2:G3540,G3540,$H$2:H3540,"United Kingdom")=1),1,0)</f>
        <v>0</v>
      </c>
    </row>
    <row r="3541" customFormat="false" ht="15" hidden="false" customHeight="false" outlineLevel="0" collapsed="false">
      <c r="A3541" s="0" t="s">
        <v>737</v>
      </c>
      <c r="B3541" s="0" t="s">
        <v>27</v>
      </c>
      <c r="C3541" s="0" t="s">
        <v>28</v>
      </c>
      <c r="D3541" s="0" t="n">
        <v>12</v>
      </c>
      <c r="E3541" s="2" t="n">
        <v>40843.3847222222</v>
      </c>
      <c r="F3541" s="0" t="n">
        <v>4.55</v>
      </c>
      <c r="G3541" s="0" t="n">
        <v>16332</v>
      </c>
      <c r="H3541" s="3" t="s">
        <v>14</v>
      </c>
      <c r="I3541" s="4" t="n">
        <f aca="false">D3541*F3541</f>
        <v>54.6</v>
      </c>
      <c r="J3541" s="3" t="n">
        <f aca="false">IF(AND(LEFT(A3541,1)&lt;&gt;"C",D3541&gt;0,F3541&gt;0),1,0)</f>
        <v>1</v>
      </c>
      <c r="K3541" s="3" t="n">
        <f aca="false">IF(AND(H3541="United Kingdom",G3541&lt;&gt;"",COUNTIFS($G$2:G3541,G3541,$H$2:H3541,"United Kingdom")=1),1,0)</f>
        <v>0</v>
      </c>
    </row>
    <row r="3542" customFormat="false" ht="15" hidden="false" customHeight="false" outlineLevel="0" collapsed="false">
      <c r="A3542" s="0" t="s">
        <v>737</v>
      </c>
      <c r="B3542" s="0" t="s">
        <v>75</v>
      </c>
      <c r="C3542" s="0" t="s">
        <v>76</v>
      </c>
      <c r="D3542" s="0" t="n">
        <v>36</v>
      </c>
      <c r="E3542" s="2" t="n">
        <v>40843.3847222222</v>
      </c>
      <c r="F3542" s="0" t="n">
        <v>1.97</v>
      </c>
      <c r="G3542" s="0" t="n">
        <v>16332</v>
      </c>
      <c r="H3542" s="3" t="s">
        <v>14</v>
      </c>
      <c r="I3542" s="4" t="n">
        <f aca="false">D3542*F3542</f>
        <v>70.92</v>
      </c>
      <c r="J3542" s="3" t="n">
        <f aca="false">IF(AND(LEFT(A3542,1)&lt;&gt;"C",D3542&gt;0,F3542&gt;0),1,0)</f>
        <v>1</v>
      </c>
      <c r="K3542" s="3" t="n">
        <f aca="false">IF(AND(H3542="United Kingdom",G3542&lt;&gt;"",COUNTIFS($G$2:G3542,G3542,$H$2:H3542,"United Kingdom")=1),1,0)</f>
        <v>0</v>
      </c>
    </row>
    <row r="3543" customFormat="false" ht="15" hidden="false" customHeight="false" outlineLevel="0" collapsed="false">
      <c r="A3543" s="0" t="s">
        <v>737</v>
      </c>
      <c r="B3543" s="0" t="s">
        <v>32</v>
      </c>
      <c r="C3543" s="0" t="s">
        <v>33</v>
      </c>
      <c r="D3543" s="0" t="n">
        <v>144</v>
      </c>
      <c r="E3543" s="2" t="n">
        <v>40843.3847222222</v>
      </c>
      <c r="F3543" s="0" t="n">
        <v>1.19</v>
      </c>
      <c r="G3543" s="0" t="n">
        <v>16332</v>
      </c>
      <c r="H3543" s="3" t="s">
        <v>14</v>
      </c>
      <c r="I3543" s="4" t="n">
        <f aca="false">D3543*F3543</f>
        <v>171.36</v>
      </c>
      <c r="J3543" s="3" t="n">
        <f aca="false">IF(AND(LEFT(A3543,1)&lt;&gt;"C",D3543&gt;0,F3543&gt;0),1,0)</f>
        <v>1</v>
      </c>
      <c r="K3543" s="3" t="n">
        <f aca="false">IF(AND(H3543="United Kingdom",G3543&lt;&gt;"",COUNTIFS($G$2:G3543,G3543,$H$2:H3543,"United Kingdom")=1),1,0)</f>
        <v>0</v>
      </c>
    </row>
    <row r="3544" customFormat="false" ht="15" hidden="false" customHeight="false" outlineLevel="0" collapsed="false">
      <c r="A3544" s="0" t="s">
        <v>737</v>
      </c>
      <c r="B3544" s="0" t="s">
        <v>29</v>
      </c>
      <c r="C3544" s="0" t="s">
        <v>30</v>
      </c>
      <c r="D3544" s="0" t="n">
        <v>36</v>
      </c>
      <c r="E3544" s="2" t="n">
        <v>40843.3847222222</v>
      </c>
      <c r="F3544" s="0" t="n">
        <v>5.79</v>
      </c>
      <c r="G3544" s="0" t="n">
        <v>16332</v>
      </c>
      <c r="H3544" s="3" t="s">
        <v>14</v>
      </c>
      <c r="I3544" s="4" t="n">
        <f aca="false">D3544*F3544</f>
        <v>208.44</v>
      </c>
      <c r="J3544" s="3" t="n">
        <f aca="false">IF(AND(LEFT(A3544,1)&lt;&gt;"C",D3544&gt;0,F3544&gt;0),1,0)</f>
        <v>1</v>
      </c>
      <c r="K3544" s="3" t="n">
        <f aca="false">IF(AND(H3544="United Kingdom",G3544&lt;&gt;"",COUNTIFS($G$2:G3544,G3544,$H$2:H3544,"United Kingdom")=1),1,0)</f>
        <v>0</v>
      </c>
    </row>
    <row r="3545" customFormat="false" ht="15" hidden="false" customHeight="false" outlineLevel="0" collapsed="false">
      <c r="A3545" s="0" t="s">
        <v>738</v>
      </c>
      <c r="B3545" s="0" t="s">
        <v>113</v>
      </c>
      <c r="C3545" s="0" t="s">
        <v>114</v>
      </c>
      <c r="D3545" s="0" t="n">
        <v>3</v>
      </c>
      <c r="E3545" s="2" t="n">
        <v>40843.6791666667</v>
      </c>
      <c r="F3545" s="0" t="n">
        <v>3.57</v>
      </c>
      <c r="H3545" s="3" t="s">
        <v>14</v>
      </c>
      <c r="I3545" s="4" t="n">
        <f aca="false">D3545*F3545</f>
        <v>10.71</v>
      </c>
      <c r="J3545" s="3" t="n">
        <f aca="false">IF(AND(LEFT(A3545,1)&lt;&gt;"C",D3545&gt;0,F3545&gt;0),1,0)</f>
        <v>1</v>
      </c>
      <c r="K3545" s="3" t="n">
        <f aca="false">IF(AND(H3545="United Kingdom",G3545&lt;&gt;"",COUNTIFS($G$2:G3545,G3545,$H$2:H3545,"United Kingdom")=1),1,0)</f>
        <v>0</v>
      </c>
    </row>
    <row r="3546" customFormat="false" ht="15" hidden="false" customHeight="false" outlineLevel="0" collapsed="false">
      <c r="A3546" s="0" t="s">
        <v>738</v>
      </c>
      <c r="B3546" s="0" t="s">
        <v>29</v>
      </c>
      <c r="C3546" s="0" t="s">
        <v>30</v>
      </c>
      <c r="D3546" s="0" t="n">
        <v>12</v>
      </c>
      <c r="E3546" s="2" t="n">
        <v>40843.6791666667</v>
      </c>
      <c r="F3546" s="0" t="n">
        <v>5.79</v>
      </c>
      <c r="H3546" s="3" t="s">
        <v>14</v>
      </c>
      <c r="I3546" s="4" t="n">
        <f aca="false">D3546*F3546</f>
        <v>69.48</v>
      </c>
      <c r="J3546" s="3" t="n">
        <f aca="false">IF(AND(LEFT(A3546,1)&lt;&gt;"C",D3546&gt;0,F3546&gt;0),1,0)</f>
        <v>1</v>
      </c>
      <c r="K3546" s="3" t="n">
        <f aca="false">IF(AND(H3546="United Kingdom",G3546&lt;&gt;"",COUNTIFS($G$2:G3546,G3546,$H$2:H3546,"United Kingdom")=1),1,0)</f>
        <v>0</v>
      </c>
    </row>
    <row r="3547" customFormat="false" ht="15" hidden="false" customHeight="false" outlineLevel="0" collapsed="false">
      <c r="A3547" s="0" t="s">
        <v>738</v>
      </c>
      <c r="B3547" s="0" t="s">
        <v>72</v>
      </c>
      <c r="C3547" s="0" t="s">
        <v>73</v>
      </c>
      <c r="D3547" s="0" t="n">
        <v>6</v>
      </c>
      <c r="E3547" s="2" t="n">
        <v>40843.6791666667</v>
      </c>
      <c r="F3547" s="0" t="n">
        <v>2.69</v>
      </c>
      <c r="H3547" s="3" t="s">
        <v>14</v>
      </c>
      <c r="I3547" s="4" t="n">
        <f aca="false">D3547*F3547</f>
        <v>16.14</v>
      </c>
      <c r="J3547" s="3" t="n">
        <f aca="false">IF(AND(LEFT(A3547,1)&lt;&gt;"C",D3547&gt;0,F3547&gt;0),1,0)</f>
        <v>1</v>
      </c>
      <c r="K3547" s="3" t="n">
        <f aca="false">IF(AND(H3547="United Kingdom",G3547&lt;&gt;"",COUNTIFS($G$2:G3547,G3547,$H$2:H3547,"United Kingdom")=1),1,0)</f>
        <v>0</v>
      </c>
    </row>
    <row r="3548" customFormat="false" ht="15" hidden="false" customHeight="false" outlineLevel="0" collapsed="false">
      <c r="A3548" s="0" t="s">
        <v>738</v>
      </c>
      <c r="B3548" s="0" t="s">
        <v>58</v>
      </c>
      <c r="C3548" s="0" t="s">
        <v>59</v>
      </c>
      <c r="D3548" s="0" t="n">
        <v>2</v>
      </c>
      <c r="E3548" s="2" t="n">
        <v>40843.6791666667</v>
      </c>
      <c r="F3548" s="0" t="n">
        <v>2.16</v>
      </c>
      <c r="H3548" s="3" t="s">
        <v>14</v>
      </c>
      <c r="I3548" s="4" t="n">
        <f aca="false">D3548*F3548</f>
        <v>4.32</v>
      </c>
      <c r="J3548" s="3" t="n">
        <f aca="false">IF(AND(LEFT(A3548,1)&lt;&gt;"C",D3548&gt;0,F3548&gt;0),1,0)</f>
        <v>1</v>
      </c>
      <c r="K3548" s="3" t="n">
        <f aca="false">IF(AND(H3548="United Kingdom",G3548&lt;&gt;"",COUNTIFS($G$2:G3548,G3548,$H$2:H3548,"United Kingdom")=1),1,0)</f>
        <v>0</v>
      </c>
    </row>
    <row r="3549" customFormat="false" ht="15" hidden="false" customHeight="false" outlineLevel="0" collapsed="false">
      <c r="A3549" s="0" t="s">
        <v>738</v>
      </c>
      <c r="B3549" s="0" t="s">
        <v>45</v>
      </c>
      <c r="C3549" s="0" t="s">
        <v>46</v>
      </c>
      <c r="D3549" s="0" t="n">
        <v>4</v>
      </c>
      <c r="E3549" s="2" t="n">
        <v>40843.6791666667</v>
      </c>
      <c r="F3549" s="0" t="n">
        <v>4.55</v>
      </c>
      <c r="H3549" s="3" t="s">
        <v>14</v>
      </c>
      <c r="I3549" s="4" t="n">
        <f aca="false">D3549*F3549</f>
        <v>18.2</v>
      </c>
      <c r="J3549" s="3" t="n">
        <f aca="false">IF(AND(LEFT(A3549,1)&lt;&gt;"C",D3549&gt;0,F3549&gt;0),1,0)</f>
        <v>1</v>
      </c>
      <c r="K3549" s="3" t="n">
        <f aca="false">IF(AND(H3549="United Kingdom",G3549&lt;&gt;"",COUNTIFS($G$2:G3549,G3549,$H$2:H3549,"United Kingdom")=1),1,0)</f>
        <v>0</v>
      </c>
    </row>
    <row r="3550" customFormat="false" ht="15" hidden="false" customHeight="false" outlineLevel="0" collapsed="false">
      <c r="A3550" s="0" t="s">
        <v>738</v>
      </c>
      <c r="B3550" s="0" t="s">
        <v>22</v>
      </c>
      <c r="C3550" s="0" t="s">
        <v>23</v>
      </c>
      <c r="D3550" s="0" t="n">
        <v>6</v>
      </c>
      <c r="E3550" s="2" t="n">
        <v>40843.6791666667</v>
      </c>
      <c r="F3550" s="0" t="n">
        <v>3.18</v>
      </c>
      <c r="H3550" s="3" t="s">
        <v>14</v>
      </c>
      <c r="I3550" s="4" t="n">
        <f aca="false">D3550*F3550</f>
        <v>19.08</v>
      </c>
      <c r="J3550" s="3" t="n">
        <f aca="false">IF(AND(LEFT(A3550,1)&lt;&gt;"C",D3550&gt;0,F3550&gt;0),1,0)</f>
        <v>1</v>
      </c>
      <c r="K3550" s="3" t="n">
        <f aca="false">IF(AND(H3550="United Kingdom",G3550&lt;&gt;"",COUNTIFS($G$2:G3550,G3550,$H$2:H3550,"United Kingdom")=1),1,0)</f>
        <v>0</v>
      </c>
    </row>
    <row r="3551" customFormat="false" ht="15" hidden="false" customHeight="false" outlineLevel="0" collapsed="false">
      <c r="A3551" s="0" t="s">
        <v>739</v>
      </c>
      <c r="B3551" s="0" t="s">
        <v>34</v>
      </c>
      <c r="C3551" s="0" t="s">
        <v>35</v>
      </c>
      <c r="D3551" s="0" t="n">
        <v>3</v>
      </c>
      <c r="E3551" s="2" t="n">
        <v>40843.7104166667</v>
      </c>
      <c r="F3551" s="0" t="n">
        <v>2.38</v>
      </c>
      <c r="G3551" s="0" t="n">
        <v>13903</v>
      </c>
      <c r="H3551" s="3" t="s">
        <v>120</v>
      </c>
      <c r="I3551" s="4" t="n">
        <f aca="false">D3551*F3551</f>
        <v>7.14</v>
      </c>
      <c r="J3551" s="3" t="n">
        <f aca="false">IF(AND(LEFT(A3551,1)&lt;&gt;"C",D3551&gt;0,F3551&gt;0),1,0)</f>
        <v>1</v>
      </c>
      <c r="K3551" s="3" t="n">
        <f aca="false">IF(AND(H3551="United Kingdom",G3551&lt;&gt;"",COUNTIFS($G$2:G3551,G3551,$H$2:H3551,"United Kingdom")=1),1,0)</f>
        <v>0</v>
      </c>
    </row>
    <row r="3552" customFormat="false" ht="15" hidden="false" customHeight="false" outlineLevel="0" collapsed="false">
      <c r="A3552" s="0" t="s">
        <v>739</v>
      </c>
      <c r="B3552" s="0" t="s">
        <v>48</v>
      </c>
      <c r="C3552" s="0" t="s">
        <v>49</v>
      </c>
      <c r="D3552" s="0" t="n">
        <v>5</v>
      </c>
      <c r="E3552" s="2" t="n">
        <v>40843.7104166667</v>
      </c>
      <c r="F3552" s="0" t="n">
        <v>1.35</v>
      </c>
      <c r="G3552" s="0" t="n">
        <v>13903</v>
      </c>
      <c r="H3552" s="3" t="s">
        <v>120</v>
      </c>
      <c r="I3552" s="4" t="n">
        <f aca="false">D3552*F3552</f>
        <v>6.75</v>
      </c>
      <c r="J3552" s="3" t="n">
        <f aca="false">IF(AND(LEFT(A3552,1)&lt;&gt;"C",D3552&gt;0,F3552&gt;0),1,0)</f>
        <v>1</v>
      </c>
      <c r="K3552" s="3" t="n">
        <f aca="false">IF(AND(H3552="United Kingdom",G3552&lt;&gt;"",COUNTIFS($G$2:G3552,G3552,$H$2:H3552,"United Kingdom")=1),1,0)</f>
        <v>0</v>
      </c>
    </row>
    <row r="3553" customFormat="false" ht="15" hidden="false" customHeight="false" outlineLevel="0" collapsed="false">
      <c r="A3553" s="0" t="s">
        <v>739</v>
      </c>
      <c r="B3553" s="0" t="s">
        <v>22</v>
      </c>
      <c r="C3553" s="0" t="s">
        <v>23</v>
      </c>
      <c r="D3553" s="0" t="n">
        <v>31</v>
      </c>
      <c r="E3553" s="2" t="n">
        <v>40843.7104166667</v>
      </c>
      <c r="F3553" s="0" t="n">
        <v>3.18</v>
      </c>
      <c r="G3553" s="0" t="n">
        <v>13903</v>
      </c>
      <c r="H3553" s="3" t="s">
        <v>120</v>
      </c>
      <c r="I3553" s="4" t="n">
        <f aca="false">D3553*F3553</f>
        <v>98.58</v>
      </c>
      <c r="J3553" s="3" t="n">
        <f aca="false">IF(AND(LEFT(A3553,1)&lt;&gt;"C",D3553&gt;0,F3553&gt;0),1,0)</f>
        <v>1</v>
      </c>
      <c r="K3553" s="3" t="n">
        <f aca="false">IF(AND(H3553="United Kingdom",G3553&lt;&gt;"",COUNTIFS($G$2:G3553,G3553,$H$2:H3553,"United Kingdom")=1),1,0)</f>
        <v>0</v>
      </c>
    </row>
    <row r="3554" customFormat="false" ht="15" hidden="false" customHeight="false" outlineLevel="0" collapsed="false">
      <c r="A3554" s="0" t="s">
        <v>739</v>
      </c>
      <c r="B3554" s="0" t="s">
        <v>25</v>
      </c>
      <c r="C3554" s="0" t="s">
        <v>26</v>
      </c>
      <c r="D3554" s="0" t="n">
        <v>15</v>
      </c>
      <c r="E3554" s="2" t="n">
        <v>40843.7104166667</v>
      </c>
      <c r="F3554" s="0" t="n">
        <v>2.21</v>
      </c>
      <c r="G3554" s="0" t="n">
        <v>13903</v>
      </c>
      <c r="H3554" s="3" t="s">
        <v>120</v>
      </c>
      <c r="I3554" s="4" t="n">
        <f aca="false">D3554*F3554</f>
        <v>33.15</v>
      </c>
      <c r="J3554" s="3" t="n">
        <f aca="false">IF(AND(LEFT(A3554,1)&lt;&gt;"C",D3554&gt;0,F3554&gt;0),1,0)</f>
        <v>1</v>
      </c>
      <c r="K3554" s="3" t="n">
        <f aca="false">IF(AND(H3554="United Kingdom",G3554&lt;&gt;"",COUNTIFS($G$2:G3554,G3554,$H$2:H3554,"United Kingdom")=1),1,0)</f>
        <v>0</v>
      </c>
    </row>
    <row r="3555" customFormat="false" ht="15" hidden="false" customHeight="false" outlineLevel="0" collapsed="false">
      <c r="A3555" s="0" t="s">
        <v>739</v>
      </c>
      <c r="B3555" s="0" t="s">
        <v>63</v>
      </c>
      <c r="C3555" s="0" t="s">
        <v>64</v>
      </c>
      <c r="D3555" s="0" t="n">
        <v>7</v>
      </c>
      <c r="E3555" s="2" t="n">
        <v>40843.7104166667</v>
      </c>
      <c r="F3555" s="0" t="n">
        <v>2.43</v>
      </c>
      <c r="G3555" s="0" t="n">
        <v>13903</v>
      </c>
      <c r="H3555" s="3" t="s">
        <v>120</v>
      </c>
      <c r="I3555" s="4" t="n">
        <f aca="false">D3555*F3555</f>
        <v>17.01</v>
      </c>
      <c r="J3555" s="3" t="n">
        <f aca="false">IF(AND(LEFT(A3555,1)&lt;&gt;"C",D3555&gt;0,F3555&gt;0),1,0)</f>
        <v>1</v>
      </c>
      <c r="K3555" s="3" t="n">
        <f aca="false">IF(AND(H3555="United Kingdom",G3555&lt;&gt;"",COUNTIFS($G$2:G3555,G3555,$H$2:H3555,"United Kingdom")=1),1,0)</f>
        <v>0</v>
      </c>
    </row>
    <row r="3556" customFormat="false" ht="15" hidden="false" customHeight="false" outlineLevel="0" collapsed="false">
      <c r="A3556" s="0" t="s">
        <v>739</v>
      </c>
      <c r="B3556" s="0" t="s">
        <v>15</v>
      </c>
      <c r="C3556" s="0" t="s">
        <v>16</v>
      </c>
      <c r="D3556" s="0" t="n">
        <v>7</v>
      </c>
      <c r="E3556" s="2" t="n">
        <v>40843.7104166667</v>
      </c>
      <c r="F3556" s="0" t="n">
        <v>3.18</v>
      </c>
      <c r="G3556" s="0" t="n">
        <v>13903</v>
      </c>
      <c r="H3556" s="3" t="s">
        <v>120</v>
      </c>
      <c r="I3556" s="4" t="n">
        <f aca="false">D3556*F3556</f>
        <v>22.26</v>
      </c>
      <c r="J3556" s="3" t="n">
        <f aca="false">IF(AND(LEFT(A3556,1)&lt;&gt;"C",D3556&gt;0,F3556&gt;0),1,0)</f>
        <v>1</v>
      </c>
      <c r="K3556" s="3" t="n">
        <f aca="false">IF(AND(H3556="United Kingdom",G3556&lt;&gt;"",COUNTIFS($G$2:G3556,G3556,$H$2:H3556,"United Kingdom")=1),1,0)</f>
        <v>0</v>
      </c>
    </row>
    <row r="3557" customFormat="false" ht="15" hidden="false" customHeight="false" outlineLevel="0" collapsed="false">
      <c r="A3557" s="0" t="s">
        <v>739</v>
      </c>
      <c r="B3557" s="0" t="s">
        <v>45</v>
      </c>
      <c r="C3557" s="0" t="s">
        <v>46</v>
      </c>
      <c r="D3557" s="0" t="n">
        <v>2</v>
      </c>
      <c r="E3557" s="2" t="n">
        <v>40843.7104166667</v>
      </c>
      <c r="F3557" s="0" t="n">
        <v>4.55</v>
      </c>
      <c r="G3557" s="0" t="n">
        <v>13903</v>
      </c>
      <c r="H3557" s="3" t="s">
        <v>120</v>
      </c>
      <c r="I3557" s="4" t="n">
        <f aca="false">D3557*F3557</f>
        <v>9.1</v>
      </c>
      <c r="J3557" s="3" t="n">
        <f aca="false">IF(AND(LEFT(A3557,1)&lt;&gt;"C",D3557&gt;0,F3557&gt;0),1,0)</f>
        <v>1</v>
      </c>
      <c r="K3557" s="3" t="n">
        <f aca="false">IF(AND(H3557="United Kingdom",G3557&lt;&gt;"",COUNTIFS($G$2:G3557,G3557,$H$2:H3557,"United Kingdom")=1),1,0)</f>
        <v>0</v>
      </c>
    </row>
    <row r="3558" customFormat="false" ht="15" hidden="false" customHeight="false" outlineLevel="0" collapsed="false">
      <c r="A3558" s="0" t="s">
        <v>739</v>
      </c>
      <c r="B3558" s="0" t="s">
        <v>90</v>
      </c>
      <c r="C3558" s="0" t="s">
        <v>91</v>
      </c>
      <c r="D3558" s="0" t="n">
        <v>20</v>
      </c>
      <c r="E3558" s="2" t="n">
        <v>40843.7104166667</v>
      </c>
      <c r="F3558" s="0" t="n">
        <v>3.04</v>
      </c>
      <c r="G3558" s="0" t="n">
        <v>13903</v>
      </c>
      <c r="H3558" s="3" t="s">
        <v>120</v>
      </c>
      <c r="I3558" s="4" t="n">
        <f aca="false">D3558*F3558</f>
        <v>60.8</v>
      </c>
      <c r="J3558" s="3" t="n">
        <f aca="false">IF(AND(LEFT(A3558,1)&lt;&gt;"C",D3558&gt;0,F3558&gt;0),1,0)</f>
        <v>1</v>
      </c>
      <c r="K3558" s="3" t="n">
        <f aca="false">IF(AND(H3558="United Kingdom",G3558&lt;&gt;"",COUNTIFS($G$2:G3558,G3558,$H$2:H3558,"United Kingdom")=1),1,0)</f>
        <v>0</v>
      </c>
    </row>
    <row r="3559" customFormat="false" ht="15" hidden="false" customHeight="false" outlineLevel="0" collapsed="false">
      <c r="A3559" s="0" t="s">
        <v>739</v>
      </c>
      <c r="B3559" s="0" t="s">
        <v>29</v>
      </c>
      <c r="C3559" s="0" t="s">
        <v>30</v>
      </c>
      <c r="D3559" s="0" t="n">
        <v>1</v>
      </c>
      <c r="E3559" s="2" t="n">
        <v>40843.7104166667</v>
      </c>
      <c r="F3559" s="0" t="n">
        <v>5.79</v>
      </c>
      <c r="G3559" s="0" t="n">
        <v>13903</v>
      </c>
      <c r="H3559" s="3" t="s">
        <v>120</v>
      </c>
      <c r="I3559" s="4" t="n">
        <f aca="false">D3559*F3559</f>
        <v>5.79</v>
      </c>
      <c r="J3559" s="3" t="n">
        <f aca="false">IF(AND(LEFT(A3559,1)&lt;&gt;"C",D3559&gt;0,F3559&gt;0),1,0)</f>
        <v>1</v>
      </c>
      <c r="K3559" s="3" t="n">
        <f aca="false">IF(AND(H3559="United Kingdom",G3559&lt;&gt;"",COUNTIFS($G$2:G3559,G3559,$H$2:H3559,"United Kingdom")=1),1,0)</f>
        <v>0</v>
      </c>
    </row>
    <row r="3560" customFormat="false" ht="15" hidden="false" customHeight="false" outlineLevel="0" collapsed="false">
      <c r="A3560" s="0" t="s">
        <v>739</v>
      </c>
      <c r="B3560" s="0" t="s">
        <v>80</v>
      </c>
      <c r="C3560" s="0" t="s">
        <v>81</v>
      </c>
      <c r="D3560" s="0" t="n">
        <v>7</v>
      </c>
      <c r="E3560" s="2" t="n">
        <v>40843.7104166667</v>
      </c>
      <c r="F3560" s="0" t="n">
        <v>1.53</v>
      </c>
      <c r="G3560" s="0" t="n">
        <v>13903</v>
      </c>
      <c r="H3560" s="3" t="s">
        <v>120</v>
      </c>
      <c r="I3560" s="4" t="n">
        <f aca="false">D3560*F3560</f>
        <v>10.71</v>
      </c>
      <c r="J3560" s="3" t="n">
        <f aca="false">IF(AND(LEFT(A3560,1)&lt;&gt;"C",D3560&gt;0,F3560&gt;0),1,0)</f>
        <v>1</v>
      </c>
      <c r="K3560" s="3" t="n">
        <f aca="false">IF(AND(H3560="United Kingdom",G3560&lt;&gt;"",COUNTIFS($G$2:G3560,G3560,$H$2:H3560,"United Kingdom")=1),1,0)</f>
        <v>0</v>
      </c>
    </row>
    <row r="3561" customFormat="false" ht="15" hidden="false" customHeight="false" outlineLevel="0" collapsed="false">
      <c r="A3561" s="0" t="s">
        <v>739</v>
      </c>
      <c r="B3561" s="0" t="s">
        <v>27</v>
      </c>
      <c r="C3561" s="0" t="s">
        <v>28</v>
      </c>
      <c r="D3561" s="0" t="n">
        <v>5</v>
      </c>
      <c r="E3561" s="2" t="n">
        <v>40843.7104166667</v>
      </c>
      <c r="F3561" s="0" t="n">
        <v>4.55</v>
      </c>
      <c r="G3561" s="0" t="n">
        <v>13903</v>
      </c>
      <c r="H3561" s="3" t="s">
        <v>120</v>
      </c>
      <c r="I3561" s="4" t="n">
        <f aca="false">D3561*F3561</f>
        <v>22.75</v>
      </c>
      <c r="J3561" s="3" t="n">
        <f aca="false">IF(AND(LEFT(A3561,1)&lt;&gt;"C",D3561&gt;0,F3561&gt;0),1,0)</f>
        <v>1</v>
      </c>
      <c r="K3561" s="3" t="n">
        <f aca="false">IF(AND(H3561="United Kingdom",G3561&lt;&gt;"",COUNTIFS($G$2:G3561,G3561,$H$2:H3561,"United Kingdom")=1),1,0)</f>
        <v>0</v>
      </c>
    </row>
    <row r="3562" customFormat="false" ht="15" hidden="false" customHeight="false" outlineLevel="0" collapsed="false">
      <c r="A3562" s="0" t="s">
        <v>740</v>
      </c>
      <c r="B3562" s="0" t="s">
        <v>12</v>
      </c>
      <c r="C3562" s="0" t="s">
        <v>13</v>
      </c>
      <c r="D3562" s="0" t="n">
        <v>12</v>
      </c>
      <c r="E3562" s="2" t="n">
        <v>40843.7430555556</v>
      </c>
      <c r="F3562" s="0" t="n">
        <v>3.33</v>
      </c>
      <c r="G3562" s="0" t="n">
        <v>15284</v>
      </c>
      <c r="H3562" s="3" t="s">
        <v>14</v>
      </c>
      <c r="I3562" s="4" t="n">
        <f aca="false">D3562*F3562</f>
        <v>39.96</v>
      </c>
      <c r="J3562" s="3" t="n">
        <f aca="false">IF(AND(LEFT(A3562,1)&lt;&gt;"C",D3562&gt;0,F3562&gt;0),1,0)</f>
        <v>1</v>
      </c>
      <c r="K3562" s="3" t="n">
        <f aca="false">IF(AND(H3562="United Kingdom",G3562&lt;&gt;"",COUNTIFS($G$2:G3562,G3562,$H$2:H3562,"United Kingdom")=1),1,0)</f>
        <v>0</v>
      </c>
    </row>
    <row r="3563" customFormat="false" ht="15" hidden="false" customHeight="false" outlineLevel="0" collapsed="false">
      <c r="A3563" s="0" t="s">
        <v>740</v>
      </c>
      <c r="B3563" s="0" t="s">
        <v>65</v>
      </c>
      <c r="C3563" s="0" t="s">
        <v>66</v>
      </c>
      <c r="D3563" s="0" t="n">
        <v>2</v>
      </c>
      <c r="E3563" s="2" t="n">
        <v>40843.7430555556</v>
      </c>
      <c r="F3563" s="0" t="n">
        <v>4.75</v>
      </c>
      <c r="G3563" s="0" t="n">
        <v>15284</v>
      </c>
      <c r="H3563" s="3" t="s">
        <v>14</v>
      </c>
      <c r="I3563" s="4" t="n">
        <f aca="false">D3563*F3563</f>
        <v>9.5</v>
      </c>
      <c r="J3563" s="3" t="n">
        <f aca="false">IF(AND(LEFT(A3563,1)&lt;&gt;"C",D3563&gt;0,F3563&gt;0),1,0)</f>
        <v>1</v>
      </c>
      <c r="K3563" s="3" t="n">
        <f aca="false">IF(AND(H3563="United Kingdom",G3563&lt;&gt;"",COUNTIFS($G$2:G3563,G3563,$H$2:H3563,"United Kingdom")=1),1,0)</f>
        <v>0</v>
      </c>
    </row>
    <row r="3564" customFormat="false" ht="15" hidden="false" customHeight="false" outlineLevel="0" collapsed="false">
      <c r="A3564" s="0" t="s">
        <v>740</v>
      </c>
      <c r="B3564" s="0" t="s">
        <v>58</v>
      </c>
      <c r="C3564" s="0" t="s">
        <v>59</v>
      </c>
      <c r="D3564" s="0" t="n">
        <v>3</v>
      </c>
      <c r="E3564" s="2" t="n">
        <v>40843.7430555556</v>
      </c>
      <c r="F3564" s="0" t="n">
        <v>2.16</v>
      </c>
      <c r="G3564" s="0" t="n">
        <v>15284</v>
      </c>
      <c r="H3564" s="3" t="s">
        <v>14</v>
      </c>
      <c r="I3564" s="4" t="n">
        <f aca="false">D3564*F3564</f>
        <v>6.48</v>
      </c>
      <c r="J3564" s="3" t="n">
        <f aca="false">IF(AND(LEFT(A3564,1)&lt;&gt;"C",D3564&gt;0,F3564&gt;0),1,0)</f>
        <v>1</v>
      </c>
      <c r="K3564" s="3" t="n">
        <f aca="false">IF(AND(H3564="United Kingdom",G3564&lt;&gt;"",COUNTIFS($G$2:G3564,G3564,$H$2:H3564,"United Kingdom")=1),1,0)</f>
        <v>0</v>
      </c>
    </row>
    <row r="3565" customFormat="false" ht="15" hidden="false" customHeight="false" outlineLevel="0" collapsed="false">
      <c r="A3565" s="0" t="s">
        <v>740</v>
      </c>
      <c r="B3565" s="0" t="s">
        <v>63</v>
      </c>
      <c r="C3565" s="0" t="s">
        <v>64</v>
      </c>
      <c r="D3565" s="0" t="n">
        <v>12</v>
      </c>
      <c r="E3565" s="2" t="n">
        <v>40843.7430555556</v>
      </c>
      <c r="F3565" s="0" t="n">
        <v>2.43</v>
      </c>
      <c r="G3565" s="0" t="n">
        <v>15284</v>
      </c>
      <c r="H3565" s="3" t="s">
        <v>14</v>
      </c>
      <c r="I3565" s="4" t="n">
        <f aca="false">D3565*F3565</f>
        <v>29.16</v>
      </c>
      <c r="J3565" s="3" t="n">
        <f aca="false">IF(AND(LEFT(A3565,1)&lt;&gt;"C",D3565&gt;0,F3565&gt;0),1,0)</f>
        <v>1</v>
      </c>
      <c r="K3565" s="3" t="n">
        <f aca="false">IF(AND(H3565="United Kingdom",G3565&lt;&gt;"",COUNTIFS($G$2:G3565,G3565,$H$2:H3565,"United Kingdom")=1),1,0)</f>
        <v>0</v>
      </c>
    </row>
    <row r="3566" customFormat="false" ht="15" hidden="false" customHeight="false" outlineLevel="0" collapsed="false">
      <c r="A3566" s="0" t="s">
        <v>740</v>
      </c>
      <c r="B3566" s="0" t="s">
        <v>54</v>
      </c>
      <c r="C3566" s="0" t="s">
        <v>55</v>
      </c>
      <c r="D3566" s="0" t="n">
        <v>4</v>
      </c>
      <c r="E3566" s="2" t="n">
        <v>40843.7430555556</v>
      </c>
      <c r="F3566" s="0" t="n">
        <v>0.99</v>
      </c>
      <c r="G3566" s="0" t="n">
        <v>15284</v>
      </c>
      <c r="H3566" s="3" t="s">
        <v>14</v>
      </c>
      <c r="I3566" s="4" t="n">
        <f aca="false">D3566*F3566</f>
        <v>3.96</v>
      </c>
      <c r="J3566" s="3" t="n">
        <f aca="false">IF(AND(LEFT(A3566,1)&lt;&gt;"C",D3566&gt;0,F3566&gt;0),1,0)</f>
        <v>1</v>
      </c>
      <c r="K3566" s="3" t="n">
        <f aca="false">IF(AND(H3566="United Kingdom",G3566&lt;&gt;"",COUNTIFS($G$2:G3566,G3566,$H$2:H3566,"United Kingdom")=1),1,0)</f>
        <v>0</v>
      </c>
    </row>
    <row r="3567" customFormat="false" ht="15" hidden="false" customHeight="false" outlineLevel="0" collapsed="false">
      <c r="A3567" s="0" t="s">
        <v>740</v>
      </c>
      <c r="B3567" s="0" t="s">
        <v>68</v>
      </c>
      <c r="C3567" s="0" t="s">
        <v>69</v>
      </c>
      <c r="D3567" s="0" t="n">
        <v>1</v>
      </c>
      <c r="E3567" s="2" t="n">
        <v>40843.7430555556</v>
      </c>
      <c r="F3567" s="0" t="n">
        <v>1.26</v>
      </c>
      <c r="G3567" s="0" t="n">
        <v>15284</v>
      </c>
      <c r="H3567" s="3" t="s">
        <v>14</v>
      </c>
      <c r="I3567" s="4" t="n">
        <f aca="false">D3567*F3567</f>
        <v>1.26</v>
      </c>
      <c r="J3567" s="3" t="n">
        <f aca="false">IF(AND(LEFT(A3567,1)&lt;&gt;"C",D3567&gt;0,F3567&gt;0),1,0)</f>
        <v>1</v>
      </c>
      <c r="K3567" s="3" t="n">
        <f aca="false">IF(AND(H3567="United Kingdom",G3567&lt;&gt;"",COUNTIFS($G$2:G3567,G3567,$H$2:H3567,"United Kingdom")=1),1,0)</f>
        <v>0</v>
      </c>
    </row>
    <row r="3568" customFormat="false" ht="15" hidden="false" customHeight="false" outlineLevel="0" collapsed="false">
      <c r="A3568" s="0" t="s">
        <v>740</v>
      </c>
      <c r="B3568" s="0" t="s">
        <v>29</v>
      </c>
      <c r="C3568" s="0" t="s">
        <v>30</v>
      </c>
      <c r="D3568" s="0" t="n">
        <v>2</v>
      </c>
      <c r="E3568" s="2" t="n">
        <v>40843.7430555556</v>
      </c>
      <c r="F3568" s="0" t="n">
        <v>5.79</v>
      </c>
      <c r="G3568" s="0" t="n">
        <v>15284</v>
      </c>
      <c r="H3568" s="3" t="s">
        <v>14</v>
      </c>
      <c r="I3568" s="4" t="n">
        <f aca="false">D3568*F3568</f>
        <v>11.58</v>
      </c>
      <c r="J3568" s="3" t="n">
        <f aca="false">IF(AND(LEFT(A3568,1)&lt;&gt;"C",D3568&gt;0,F3568&gt;0),1,0)</f>
        <v>1</v>
      </c>
      <c r="K3568" s="3" t="n">
        <f aca="false">IF(AND(H3568="United Kingdom",G3568&lt;&gt;"",COUNTIFS($G$2:G3568,G3568,$H$2:H3568,"United Kingdom")=1),1,0)</f>
        <v>0</v>
      </c>
    </row>
    <row r="3569" customFormat="false" ht="15" hidden="false" customHeight="false" outlineLevel="0" collapsed="false">
      <c r="A3569" s="0" t="s">
        <v>740</v>
      </c>
      <c r="B3569" s="0" t="s">
        <v>113</v>
      </c>
      <c r="C3569" s="0" t="s">
        <v>114</v>
      </c>
      <c r="D3569" s="0" t="n">
        <v>3</v>
      </c>
      <c r="E3569" s="2" t="n">
        <v>40843.7430555556</v>
      </c>
      <c r="F3569" s="0" t="n">
        <v>3.57</v>
      </c>
      <c r="G3569" s="0" t="n">
        <v>15284</v>
      </c>
      <c r="H3569" s="3" t="s">
        <v>14</v>
      </c>
      <c r="I3569" s="4" t="n">
        <f aca="false">D3569*F3569</f>
        <v>10.71</v>
      </c>
      <c r="J3569" s="3" t="n">
        <f aca="false">IF(AND(LEFT(A3569,1)&lt;&gt;"C",D3569&gt;0,F3569&gt;0),1,0)</f>
        <v>1</v>
      </c>
      <c r="K3569" s="3" t="n">
        <f aca="false">IF(AND(H3569="United Kingdom",G3569&lt;&gt;"",COUNTIFS($G$2:G3569,G3569,$H$2:H3569,"United Kingdom")=1),1,0)</f>
        <v>0</v>
      </c>
    </row>
    <row r="3570" customFormat="false" ht="15" hidden="false" customHeight="false" outlineLevel="0" collapsed="false">
      <c r="A3570" s="0" t="s">
        <v>740</v>
      </c>
      <c r="B3570" s="0" t="s">
        <v>25</v>
      </c>
      <c r="C3570" s="0" t="s">
        <v>26</v>
      </c>
      <c r="D3570" s="0" t="n">
        <v>1</v>
      </c>
      <c r="E3570" s="2" t="n">
        <v>40843.7430555556</v>
      </c>
      <c r="F3570" s="0" t="n">
        <v>2.21</v>
      </c>
      <c r="G3570" s="0" t="n">
        <v>15284</v>
      </c>
      <c r="H3570" s="3" t="s">
        <v>14</v>
      </c>
      <c r="I3570" s="4" t="n">
        <f aca="false">D3570*F3570</f>
        <v>2.21</v>
      </c>
      <c r="J3570" s="3" t="n">
        <f aca="false">IF(AND(LEFT(A3570,1)&lt;&gt;"C",D3570&gt;0,F3570&gt;0),1,0)</f>
        <v>1</v>
      </c>
      <c r="K3570" s="3" t="n">
        <f aca="false">IF(AND(H3570="United Kingdom",G3570&lt;&gt;"",COUNTIFS($G$2:G3570,G3570,$H$2:H3570,"United Kingdom")=1),1,0)</f>
        <v>0</v>
      </c>
    </row>
    <row r="3571" customFormat="false" ht="15" hidden="false" customHeight="false" outlineLevel="0" collapsed="false">
      <c r="A3571" s="0" t="s">
        <v>740</v>
      </c>
      <c r="B3571" s="0" t="s">
        <v>15</v>
      </c>
      <c r="C3571" s="0" t="s">
        <v>16</v>
      </c>
      <c r="D3571" s="0" t="n">
        <v>12</v>
      </c>
      <c r="E3571" s="2" t="n">
        <v>40843.7430555556</v>
      </c>
      <c r="F3571" s="0" t="n">
        <v>3.18</v>
      </c>
      <c r="G3571" s="0" t="n">
        <v>15284</v>
      </c>
      <c r="H3571" s="3" t="s">
        <v>14</v>
      </c>
      <c r="I3571" s="4" t="n">
        <f aca="false">D3571*F3571</f>
        <v>38.16</v>
      </c>
      <c r="J3571" s="3" t="n">
        <f aca="false">IF(AND(LEFT(A3571,1)&lt;&gt;"C",D3571&gt;0,F3571&gt;0),1,0)</f>
        <v>1</v>
      </c>
      <c r="K3571" s="3" t="n">
        <f aca="false">IF(AND(H3571="United Kingdom",G3571&lt;&gt;"",COUNTIFS($G$2:G3571,G3571,$H$2:H3571,"United Kingdom")=1),1,0)</f>
        <v>0</v>
      </c>
    </row>
    <row r="3572" customFormat="false" ht="15" hidden="false" customHeight="false" outlineLevel="0" collapsed="false">
      <c r="A3572" s="0" t="s">
        <v>740</v>
      </c>
      <c r="B3572" s="0" t="s">
        <v>27</v>
      </c>
      <c r="C3572" s="0" t="s">
        <v>28</v>
      </c>
      <c r="D3572" s="0" t="n">
        <v>4</v>
      </c>
      <c r="E3572" s="2" t="n">
        <v>40843.7430555556</v>
      </c>
      <c r="F3572" s="0" t="n">
        <v>4.55</v>
      </c>
      <c r="G3572" s="0" t="n">
        <v>15284</v>
      </c>
      <c r="H3572" s="3" t="s">
        <v>14</v>
      </c>
      <c r="I3572" s="4" t="n">
        <f aca="false">D3572*F3572</f>
        <v>18.2</v>
      </c>
      <c r="J3572" s="3" t="n">
        <f aca="false">IF(AND(LEFT(A3572,1)&lt;&gt;"C",D3572&gt;0,F3572&gt;0),1,0)</f>
        <v>1</v>
      </c>
      <c r="K3572" s="3" t="n">
        <f aca="false">IF(AND(H3572="United Kingdom",G3572&lt;&gt;"",COUNTIFS($G$2:G3572,G3572,$H$2:H3572,"United Kingdom")=1),1,0)</f>
        <v>0</v>
      </c>
    </row>
    <row r="3573" customFormat="false" ht="15" hidden="false" customHeight="false" outlineLevel="0" collapsed="false">
      <c r="A3573" s="0" t="s">
        <v>741</v>
      </c>
      <c r="B3573" s="0" t="s">
        <v>15</v>
      </c>
      <c r="C3573" s="0" t="s">
        <v>16</v>
      </c>
      <c r="D3573" s="0" t="n">
        <v>12</v>
      </c>
      <c r="E3573" s="2" t="n">
        <v>40843.8145833333</v>
      </c>
      <c r="F3573" s="0" t="n">
        <v>3.18</v>
      </c>
      <c r="G3573" s="0" t="n">
        <v>16964</v>
      </c>
      <c r="H3573" s="3" t="s">
        <v>14</v>
      </c>
      <c r="I3573" s="4" t="n">
        <f aca="false">D3573*F3573</f>
        <v>38.16</v>
      </c>
      <c r="J3573" s="3" t="n">
        <f aca="false">IF(AND(LEFT(A3573,1)&lt;&gt;"C",D3573&gt;0,F3573&gt;0),1,0)</f>
        <v>1</v>
      </c>
      <c r="K3573" s="3" t="n">
        <f aca="false">IF(AND(H3573="United Kingdom",G3573&lt;&gt;"",COUNTIFS($G$2:G3573,G3573,$H$2:H3573,"United Kingdom")=1),1,0)</f>
        <v>0</v>
      </c>
    </row>
    <row r="3574" customFormat="false" ht="15" hidden="false" customHeight="false" outlineLevel="0" collapsed="false">
      <c r="A3574" s="0" t="s">
        <v>741</v>
      </c>
      <c r="B3574" s="0" t="s">
        <v>12</v>
      </c>
      <c r="C3574" s="0" t="s">
        <v>13</v>
      </c>
      <c r="D3574" s="0" t="n">
        <v>1</v>
      </c>
      <c r="E3574" s="2" t="n">
        <v>40843.8145833333</v>
      </c>
      <c r="F3574" s="0" t="n">
        <v>3.33</v>
      </c>
      <c r="G3574" s="0" t="n">
        <v>16964</v>
      </c>
      <c r="H3574" s="3" t="s">
        <v>14</v>
      </c>
      <c r="I3574" s="4" t="n">
        <f aca="false">D3574*F3574</f>
        <v>3.33</v>
      </c>
      <c r="J3574" s="3" t="n">
        <f aca="false">IF(AND(LEFT(A3574,1)&lt;&gt;"C",D3574&gt;0,F3574&gt;0),1,0)</f>
        <v>1</v>
      </c>
      <c r="K3574" s="3" t="n">
        <f aca="false">IF(AND(H3574="United Kingdom",G3574&lt;&gt;"",COUNTIFS($G$2:G3574,G3574,$H$2:H3574,"United Kingdom")=1),1,0)</f>
        <v>0</v>
      </c>
    </row>
    <row r="3575" customFormat="false" ht="15" hidden="false" customHeight="false" outlineLevel="0" collapsed="false">
      <c r="A3575" s="0" t="s">
        <v>741</v>
      </c>
      <c r="B3575" s="0" t="s">
        <v>65</v>
      </c>
      <c r="C3575" s="0" t="s">
        <v>66</v>
      </c>
      <c r="D3575" s="0" t="n">
        <v>1</v>
      </c>
      <c r="E3575" s="2" t="n">
        <v>40843.8145833333</v>
      </c>
      <c r="F3575" s="0" t="n">
        <v>4.75</v>
      </c>
      <c r="G3575" s="0" t="n">
        <v>16964</v>
      </c>
      <c r="H3575" s="3" t="s">
        <v>14</v>
      </c>
      <c r="I3575" s="4" t="n">
        <f aca="false">D3575*F3575</f>
        <v>4.75</v>
      </c>
      <c r="J3575" s="3" t="n">
        <f aca="false">IF(AND(LEFT(A3575,1)&lt;&gt;"C",D3575&gt;0,F3575&gt;0),1,0)</f>
        <v>1</v>
      </c>
      <c r="K3575" s="3" t="n">
        <f aca="false">IF(AND(H3575="United Kingdom",G3575&lt;&gt;"",COUNTIFS($G$2:G3575,G3575,$H$2:H3575,"United Kingdom")=1),1,0)</f>
        <v>0</v>
      </c>
    </row>
    <row r="3576" customFormat="false" ht="15" hidden="false" customHeight="false" outlineLevel="0" collapsed="false">
      <c r="A3576" s="0" t="s">
        <v>741</v>
      </c>
      <c r="B3576" s="0" t="s">
        <v>45</v>
      </c>
      <c r="C3576" s="0" t="s">
        <v>46</v>
      </c>
      <c r="D3576" s="0" t="n">
        <v>6</v>
      </c>
      <c r="E3576" s="2" t="n">
        <v>40843.8145833333</v>
      </c>
      <c r="F3576" s="0" t="n">
        <v>4.55</v>
      </c>
      <c r="G3576" s="0" t="n">
        <v>16964</v>
      </c>
      <c r="H3576" s="3" t="s">
        <v>14</v>
      </c>
      <c r="I3576" s="4" t="n">
        <f aca="false">D3576*F3576</f>
        <v>27.3</v>
      </c>
      <c r="J3576" s="3" t="n">
        <f aca="false">IF(AND(LEFT(A3576,1)&lt;&gt;"C",D3576&gt;0,F3576&gt;0),1,0)</f>
        <v>1</v>
      </c>
      <c r="K3576" s="3" t="n">
        <f aca="false">IF(AND(H3576="United Kingdom",G3576&lt;&gt;"",COUNTIFS($G$2:G3576,G3576,$H$2:H3576,"United Kingdom")=1),1,0)</f>
        <v>0</v>
      </c>
    </row>
    <row r="3577" customFormat="false" ht="15" hidden="false" customHeight="false" outlineLevel="0" collapsed="false">
      <c r="A3577" s="0" t="s">
        <v>741</v>
      </c>
      <c r="B3577" s="0" t="s">
        <v>63</v>
      </c>
      <c r="C3577" s="0" t="s">
        <v>64</v>
      </c>
      <c r="D3577" s="0" t="n">
        <v>12</v>
      </c>
      <c r="E3577" s="2" t="n">
        <v>40843.8145833333</v>
      </c>
      <c r="F3577" s="0" t="n">
        <v>2.43</v>
      </c>
      <c r="G3577" s="0" t="n">
        <v>16964</v>
      </c>
      <c r="H3577" s="3" t="s">
        <v>14</v>
      </c>
      <c r="I3577" s="4" t="n">
        <f aca="false">D3577*F3577</f>
        <v>29.16</v>
      </c>
      <c r="J3577" s="3" t="n">
        <f aca="false">IF(AND(LEFT(A3577,1)&lt;&gt;"C",D3577&gt;0,F3577&gt;0),1,0)</f>
        <v>1</v>
      </c>
      <c r="K3577" s="3" t="n">
        <f aca="false">IF(AND(H3577="United Kingdom",G3577&lt;&gt;"",COUNTIFS($G$2:G3577,G3577,$H$2:H3577,"United Kingdom")=1),1,0)</f>
        <v>0</v>
      </c>
    </row>
    <row r="3578" customFormat="false" ht="15" hidden="false" customHeight="false" outlineLevel="0" collapsed="false">
      <c r="A3578" s="0" t="s">
        <v>741</v>
      </c>
      <c r="B3578" s="0" t="s">
        <v>75</v>
      </c>
      <c r="C3578" s="0" t="s">
        <v>76</v>
      </c>
      <c r="D3578" s="0" t="n">
        <v>8</v>
      </c>
      <c r="E3578" s="2" t="n">
        <v>40843.8145833333</v>
      </c>
      <c r="F3578" s="0" t="n">
        <v>1.97</v>
      </c>
      <c r="G3578" s="0" t="n">
        <v>16964</v>
      </c>
      <c r="H3578" s="3" t="s">
        <v>14</v>
      </c>
      <c r="I3578" s="4" t="n">
        <f aca="false">D3578*F3578</f>
        <v>15.76</v>
      </c>
      <c r="J3578" s="3" t="n">
        <f aca="false">IF(AND(LEFT(A3578,1)&lt;&gt;"C",D3578&gt;0,F3578&gt;0),1,0)</f>
        <v>1</v>
      </c>
      <c r="K3578" s="3" t="n">
        <f aca="false">IF(AND(H3578="United Kingdom",G3578&lt;&gt;"",COUNTIFS($G$2:G3578,G3578,$H$2:H3578,"United Kingdom")=1),1,0)</f>
        <v>0</v>
      </c>
    </row>
    <row r="3579" customFormat="false" ht="15" hidden="false" customHeight="false" outlineLevel="0" collapsed="false">
      <c r="A3579" s="0" t="s">
        <v>742</v>
      </c>
      <c r="B3579" s="0" t="s">
        <v>22</v>
      </c>
      <c r="C3579" s="0" t="s">
        <v>23</v>
      </c>
      <c r="D3579" s="0" t="n">
        <v>2</v>
      </c>
      <c r="E3579" s="2" t="n">
        <v>40844.3548611111</v>
      </c>
      <c r="F3579" s="0" t="n">
        <v>3.18</v>
      </c>
      <c r="G3579" s="0" t="n">
        <v>17973</v>
      </c>
      <c r="H3579" s="3" t="s">
        <v>120</v>
      </c>
      <c r="I3579" s="4" t="n">
        <f aca="false">D3579*F3579</f>
        <v>6.36</v>
      </c>
      <c r="J3579" s="3" t="n">
        <f aca="false">IF(AND(LEFT(A3579,1)&lt;&gt;"C",D3579&gt;0,F3579&gt;0),1,0)</f>
        <v>1</v>
      </c>
      <c r="K3579" s="3" t="n">
        <f aca="false">IF(AND(H3579="United Kingdom",G3579&lt;&gt;"",COUNTIFS($G$2:G3579,G3579,$H$2:H3579,"United Kingdom")=1),1,0)</f>
        <v>0</v>
      </c>
    </row>
    <row r="3580" customFormat="false" ht="15" hidden="false" customHeight="false" outlineLevel="0" collapsed="false">
      <c r="A3580" s="0" t="s">
        <v>742</v>
      </c>
      <c r="B3580" s="0" t="s">
        <v>12</v>
      </c>
      <c r="C3580" s="0" t="s">
        <v>13</v>
      </c>
      <c r="D3580" s="0" t="n">
        <v>2</v>
      </c>
      <c r="E3580" s="2" t="n">
        <v>40844.3548611111</v>
      </c>
      <c r="F3580" s="0" t="n">
        <v>3.33</v>
      </c>
      <c r="G3580" s="0" t="n">
        <v>17973</v>
      </c>
      <c r="H3580" s="3" t="s">
        <v>120</v>
      </c>
      <c r="I3580" s="4" t="n">
        <f aca="false">D3580*F3580</f>
        <v>6.66</v>
      </c>
      <c r="J3580" s="3" t="n">
        <f aca="false">IF(AND(LEFT(A3580,1)&lt;&gt;"C",D3580&gt;0,F3580&gt;0),1,0)</f>
        <v>1</v>
      </c>
      <c r="K3580" s="3" t="n">
        <f aca="false">IF(AND(H3580="United Kingdom",G3580&lt;&gt;"",COUNTIFS($G$2:G3580,G3580,$H$2:H3580,"United Kingdom")=1),1,0)</f>
        <v>0</v>
      </c>
    </row>
    <row r="3581" customFormat="false" ht="15" hidden="false" customHeight="false" outlineLevel="0" collapsed="false">
      <c r="A3581" s="0" t="s">
        <v>742</v>
      </c>
      <c r="B3581" s="0" t="s">
        <v>32</v>
      </c>
      <c r="C3581" s="0" t="s">
        <v>33</v>
      </c>
      <c r="D3581" s="0" t="n">
        <v>10</v>
      </c>
      <c r="E3581" s="2" t="n">
        <v>40844.3548611111</v>
      </c>
      <c r="F3581" s="0" t="n">
        <v>1.19</v>
      </c>
      <c r="G3581" s="0" t="n">
        <v>17973</v>
      </c>
      <c r="H3581" s="3" t="s">
        <v>120</v>
      </c>
      <c r="I3581" s="4" t="n">
        <f aca="false">D3581*F3581</f>
        <v>11.9</v>
      </c>
      <c r="J3581" s="3" t="n">
        <f aca="false">IF(AND(LEFT(A3581,1)&lt;&gt;"C",D3581&gt;0,F3581&gt;0),1,0)</f>
        <v>1</v>
      </c>
      <c r="K3581" s="3" t="n">
        <f aca="false">IF(AND(H3581="United Kingdom",G3581&lt;&gt;"",COUNTIFS($G$2:G3581,G3581,$H$2:H3581,"United Kingdom")=1),1,0)</f>
        <v>0</v>
      </c>
    </row>
    <row r="3582" customFormat="false" ht="15" hidden="false" customHeight="false" outlineLevel="0" collapsed="false">
      <c r="A3582" s="0" t="s">
        <v>742</v>
      </c>
      <c r="B3582" s="0" t="s">
        <v>63</v>
      </c>
      <c r="C3582" s="0" t="s">
        <v>64</v>
      </c>
      <c r="D3582" s="0" t="n">
        <v>5</v>
      </c>
      <c r="E3582" s="2" t="n">
        <v>40844.3548611111</v>
      </c>
      <c r="F3582" s="0" t="n">
        <v>2.43</v>
      </c>
      <c r="G3582" s="0" t="n">
        <v>17973</v>
      </c>
      <c r="H3582" s="3" t="s">
        <v>120</v>
      </c>
      <c r="I3582" s="4" t="n">
        <f aca="false">D3582*F3582</f>
        <v>12.15</v>
      </c>
      <c r="J3582" s="3" t="n">
        <f aca="false">IF(AND(LEFT(A3582,1)&lt;&gt;"C",D3582&gt;0,F3582&gt;0),1,0)</f>
        <v>1</v>
      </c>
      <c r="K3582" s="3" t="n">
        <f aca="false">IF(AND(H3582="United Kingdom",G3582&lt;&gt;"",COUNTIFS($G$2:G3582,G3582,$H$2:H3582,"United Kingdom")=1),1,0)</f>
        <v>0</v>
      </c>
    </row>
    <row r="3583" customFormat="false" ht="15" hidden="false" customHeight="false" outlineLevel="0" collapsed="false">
      <c r="A3583" s="0" t="s">
        <v>742</v>
      </c>
      <c r="B3583" s="0" t="s">
        <v>27</v>
      </c>
      <c r="C3583" s="0" t="s">
        <v>28</v>
      </c>
      <c r="D3583" s="0" t="n">
        <v>10</v>
      </c>
      <c r="E3583" s="2" t="n">
        <v>40844.3548611111</v>
      </c>
      <c r="F3583" s="0" t="n">
        <v>4.55</v>
      </c>
      <c r="G3583" s="0" t="n">
        <v>17973</v>
      </c>
      <c r="H3583" s="3" t="s">
        <v>120</v>
      </c>
      <c r="I3583" s="4" t="n">
        <f aca="false">D3583*F3583</f>
        <v>45.5</v>
      </c>
      <c r="J3583" s="3" t="n">
        <f aca="false">IF(AND(LEFT(A3583,1)&lt;&gt;"C",D3583&gt;0,F3583&gt;0),1,0)</f>
        <v>1</v>
      </c>
      <c r="K3583" s="3" t="n">
        <f aca="false">IF(AND(H3583="United Kingdom",G3583&lt;&gt;"",COUNTIFS($G$2:G3583,G3583,$H$2:H3583,"United Kingdom")=1),1,0)</f>
        <v>0</v>
      </c>
    </row>
    <row r="3584" customFormat="false" ht="15" hidden="false" customHeight="false" outlineLevel="0" collapsed="false">
      <c r="A3584" s="0" t="s">
        <v>742</v>
      </c>
      <c r="B3584" s="0" t="s">
        <v>65</v>
      </c>
      <c r="C3584" s="0" t="s">
        <v>66</v>
      </c>
      <c r="D3584" s="0" t="n">
        <v>5</v>
      </c>
      <c r="E3584" s="2" t="n">
        <v>40844.3548611111</v>
      </c>
      <c r="F3584" s="0" t="n">
        <v>4.75</v>
      </c>
      <c r="G3584" s="0" t="n">
        <v>17973</v>
      </c>
      <c r="H3584" s="3" t="s">
        <v>120</v>
      </c>
      <c r="I3584" s="4" t="n">
        <f aca="false">D3584*F3584</f>
        <v>23.75</v>
      </c>
      <c r="J3584" s="3" t="n">
        <f aca="false">IF(AND(LEFT(A3584,1)&lt;&gt;"C",D3584&gt;0,F3584&gt;0),1,0)</f>
        <v>1</v>
      </c>
      <c r="K3584" s="3" t="n">
        <f aca="false">IF(AND(H3584="United Kingdom",G3584&lt;&gt;"",COUNTIFS($G$2:G3584,G3584,$H$2:H3584,"United Kingdom")=1),1,0)</f>
        <v>0</v>
      </c>
    </row>
    <row r="3585" customFormat="false" ht="15" hidden="false" customHeight="false" outlineLevel="0" collapsed="false">
      <c r="A3585" s="0" t="s">
        <v>742</v>
      </c>
      <c r="B3585" s="0" t="s">
        <v>29</v>
      </c>
      <c r="C3585" s="0" t="s">
        <v>30</v>
      </c>
      <c r="D3585" s="0" t="n">
        <v>2</v>
      </c>
      <c r="E3585" s="2" t="n">
        <v>40844.3548611111</v>
      </c>
      <c r="F3585" s="0" t="n">
        <v>5.79</v>
      </c>
      <c r="G3585" s="0" t="n">
        <v>17973</v>
      </c>
      <c r="H3585" s="3" t="s">
        <v>120</v>
      </c>
      <c r="I3585" s="4" t="n">
        <f aca="false">D3585*F3585</f>
        <v>11.58</v>
      </c>
      <c r="J3585" s="3" t="n">
        <f aca="false">IF(AND(LEFT(A3585,1)&lt;&gt;"C",D3585&gt;0,F3585&gt;0),1,0)</f>
        <v>1</v>
      </c>
      <c r="K3585" s="3" t="n">
        <f aca="false">IF(AND(H3585="United Kingdom",G3585&lt;&gt;"",COUNTIFS($G$2:G3585,G3585,$H$2:H3585,"United Kingdom")=1),1,0)</f>
        <v>0</v>
      </c>
    </row>
    <row r="3586" customFormat="false" ht="15" hidden="false" customHeight="false" outlineLevel="0" collapsed="false">
      <c r="A3586" s="0" t="s">
        <v>742</v>
      </c>
      <c r="B3586" s="0" t="s">
        <v>39</v>
      </c>
      <c r="C3586" s="0" t="s">
        <v>40</v>
      </c>
      <c r="D3586" s="0" t="n">
        <v>2</v>
      </c>
      <c r="E3586" s="2" t="n">
        <v>40844.3548611111</v>
      </c>
      <c r="F3586" s="0" t="n">
        <v>2.58</v>
      </c>
      <c r="G3586" s="0" t="n">
        <v>17973</v>
      </c>
      <c r="H3586" s="3" t="s">
        <v>120</v>
      </c>
      <c r="I3586" s="4" t="n">
        <f aca="false">D3586*F3586</f>
        <v>5.16</v>
      </c>
      <c r="J3586" s="3" t="n">
        <f aca="false">IF(AND(LEFT(A3586,1)&lt;&gt;"C",D3586&gt;0,F3586&gt;0),1,0)</f>
        <v>1</v>
      </c>
      <c r="K3586" s="3" t="n">
        <f aca="false">IF(AND(H3586="United Kingdom",G3586&lt;&gt;"",COUNTIFS($G$2:G3586,G3586,$H$2:H3586,"United Kingdom")=1),1,0)</f>
        <v>0</v>
      </c>
    </row>
    <row r="3587" customFormat="false" ht="15" hidden="false" customHeight="false" outlineLevel="0" collapsed="false">
      <c r="A3587" s="0" t="s">
        <v>742</v>
      </c>
      <c r="B3587" s="0" t="s">
        <v>41</v>
      </c>
      <c r="C3587" s="0" t="s">
        <v>42</v>
      </c>
      <c r="D3587" s="0" t="n">
        <v>2</v>
      </c>
      <c r="E3587" s="2" t="n">
        <v>40844.3548611111</v>
      </c>
      <c r="F3587" s="0" t="n">
        <v>3.28</v>
      </c>
      <c r="G3587" s="0" t="n">
        <v>17973</v>
      </c>
      <c r="H3587" s="3" t="s">
        <v>120</v>
      </c>
      <c r="I3587" s="4" t="n">
        <f aca="false">D3587*F3587</f>
        <v>6.56</v>
      </c>
      <c r="J3587" s="3" t="n">
        <f aca="false">IF(AND(LEFT(A3587,1)&lt;&gt;"C",D3587&gt;0,F3587&gt;0),1,0)</f>
        <v>1</v>
      </c>
      <c r="K3587" s="3" t="n">
        <f aca="false">IF(AND(H3587="United Kingdom",G3587&lt;&gt;"",COUNTIFS($G$2:G3587,G3587,$H$2:H3587,"United Kingdom")=1),1,0)</f>
        <v>0</v>
      </c>
    </row>
    <row r="3588" customFormat="false" ht="15" hidden="false" customHeight="false" outlineLevel="0" collapsed="false">
      <c r="A3588" s="0" t="s">
        <v>743</v>
      </c>
      <c r="B3588" s="0" t="s">
        <v>15</v>
      </c>
      <c r="C3588" s="0" t="s">
        <v>16</v>
      </c>
      <c r="D3588" s="0" t="n">
        <v>4</v>
      </c>
      <c r="E3588" s="2" t="n">
        <v>40844.4048611111</v>
      </c>
      <c r="F3588" s="0" t="n">
        <v>3.18</v>
      </c>
      <c r="G3588" s="0" t="n">
        <v>13513</v>
      </c>
      <c r="H3588" s="3" t="s">
        <v>97</v>
      </c>
      <c r="I3588" s="4" t="n">
        <f aca="false">D3588*F3588</f>
        <v>12.72</v>
      </c>
      <c r="J3588" s="3" t="n">
        <f aca="false">IF(AND(LEFT(A3588,1)&lt;&gt;"C",D3588&gt;0,F3588&gt;0),1,0)</f>
        <v>1</v>
      </c>
      <c r="K3588" s="3" t="n">
        <f aca="false">IF(AND(H3588="United Kingdom",G3588&lt;&gt;"",COUNTIFS($G$2:G3588,G3588,$H$2:H3588,"United Kingdom")=1),1,0)</f>
        <v>0</v>
      </c>
    </row>
    <row r="3589" customFormat="false" ht="15" hidden="false" customHeight="false" outlineLevel="0" collapsed="false">
      <c r="A3589" s="0" t="s">
        <v>743</v>
      </c>
      <c r="B3589" s="0" t="s">
        <v>90</v>
      </c>
      <c r="C3589" s="0" t="s">
        <v>91</v>
      </c>
      <c r="D3589" s="0" t="n">
        <v>8</v>
      </c>
      <c r="E3589" s="2" t="n">
        <v>40844.4048611111</v>
      </c>
      <c r="F3589" s="0" t="n">
        <v>3.04</v>
      </c>
      <c r="G3589" s="0" t="n">
        <v>13513</v>
      </c>
      <c r="H3589" s="3" t="s">
        <v>97</v>
      </c>
      <c r="I3589" s="4" t="n">
        <f aca="false">D3589*F3589</f>
        <v>24.32</v>
      </c>
      <c r="J3589" s="3" t="n">
        <f aca="false">IF(AND(LEFT(A3589,1)&lt;&gt;"C",D3589&gt;0,F3589&gt;0),1,0)</f>
        <v>1</v>
      </c>
      <c r="K3589" s="3" t="n">
        <f aca="false">IF(AND(H3589="United Kingdom",G3589&lt;&gt;"",COUNTIFS($G$2:G3589,G3589,$H$2:H3589,"United Kingdom")=1),1,0)</f>
        <v>0</v>
      </c>
    </row>
    <row r="3590" customFormat="false" ht="15" hidden="false" customHeight="false" outlineLevel="0" collapsed="false">
      <c r="A3590" s="0" t="s">
        <v>743</v>
      </c>
      <c r="B3590" s="0" t="s">
        <v>29</v>
      </c>
      <c r="C3590" s="0" t="s">
        <v>30</v>
      </c>
      <c r="D3590" s="0" t="n">
        <v>8</v>
      </c>
      <c r="E3590" s="2" t="n">
        <v>40844.4048611111</v>
      </c>
      <c r="F3590" s="0" t="n">
        <v>5.79</v>
      </c>
      <c r="G3590" s="0" t="n">
        <v>13513</v>
      </c>
      <c r="H3590" s="3" t="s">
        <v>97</v>
      </c>
      <c r="I3590" s="4" t="n">
        <f aca="false">D3590*F3590</f>
        <v>46.32</v>
      </c>
      <c r="J3590" s="3" t="n">
        <f aca="false">IF(AND(LEFT(A3590,1)&lt;&gt;"C",D3590&gt;0,F3590&gt;0),1,0)</f>
        <v>1</v>
      </c>
      <c r="K3590" s="3" t="n">
        <f aca="false">IF(AND(H3590="United Kingdom",G3590&lt;&gt;"",COUNTIFS($G$2:G3590,G3590,$H$2:H3590,"United Kingdom")=1),1,0)</f>
        <v>0</v>
      </c>
    </row>
    <row r="3591" customFormat="false" ht="15" hidden="false" customHeight="false" outlineLevel="0" collapsed="false">
      <c r="A3591" s="0" t="s">
        <v>744</v>
      </c>
      <c r="B3591" s="0" t="s">
        <v>43</v>
      </c>
      <c r="C3591" s="0" t="s">
        <v>44</v>
      </c>
      <c r="D3591" s="0" t="n">
        <v>8</v>
      </c>
      <c r="E3591" s="2" t="n">
        <v>40844.5541666667</v>
      </c>
      <c r="F3591" s="0" t="n">
        <v>1.35</v>
      </c>
      <c r="G3591" s="0" t="n">
        <v>16940</v>
      </c>
      <c r="H3591" s="3" t="s">
        <v>14</v>
      </c>
      <c r="I3591" s="4" t="n">
        <f aca="false">D3591*F3591</f>
        <v>10.8</v>
      </c>
      <c r="J3591" s="3" t="n">
        <f aca="false">IF(AND(LEFT(A3591,1)&lt;&gt;"C",D3591&gt;0,F3591&gt;0),1,0)</f>
        <v>1</v>
      </c>
      <c r="K3591" s="3" t="n">
        <f aca="false">IF(AND(H3591="United Kingdom",G3591&lt;&gt;"",COUNTIFS($G$2:G3591,G3591,$H$2:H3591,"United Kingdom")=1),1,0)</f>
        <v>0</v>
      </c>
    </row>
    <row r="3592" customFormat="false" ht="15" hidden="false" customHeight="false" outlineLevel="0" collapsed="false">
      <c r="A3592" s="0" t="s">
        <v>744</v>
      </c>
      <c r="B3592" s="0" t="s">
        <v>68</v>
      </c>
      <c r="C3592" s="0" t="s">
        <v>69</v>
      </c>
      <c r="D3592" s="0" t="n">
        <v>1</v>
      </c>
      <c r="E3592" s="2" t="n">
        <v>40844.5541666667</v>
      </c>
      <c r="F3592" s="0" t="n">
        <v>1.26</v>
      </c>
      <c r="G3592" s="0" t="n">
        <v>16940</v>
      </c>
      <c r="H3592" s="3" t="s">
        <v>14</v>
      </c>
      <c r="I3592" s="4" t="n">
        <f aca="false">D3592*F3592</f>
        <v>1.26</v>
      </c>
      <c r="J3592" s="3" t="n">
        <f aca="false">IF(AND(LEFT(A3592,1)&lt;&gt;"C",D3592&gt;0,F3592&gt;0),1,0)</f>
        <v>1</v>
      </c>
      <c r="K3592" s="3" t="n">
        <f aca="false">IF(AND(H3592="United Kingdom",G3592&lt;&gt;"",COUNTIFS($G$2:G3592,G3592,$H$2:H3592,"United Kingdom")=1),1,0)</f>
        <v>0</v>
      </c>
    </row>
    <row r="3593" customFormat="false" ht="15" hidden="false" customHeight="false" outlineLevel="0" collapsed="false">
      <c r="A3593" s="0" t="s">
        <v>744</v>
      </c>
      <c r="B3593" s="0" t="s">
        <v>50</v>
      </c>
      <c r="C3593" s="0" t="s">
        <v>51</v>
      </c>
      <c r="D3593" s="0" t="n">
        <v>12</v>
      </c>
      <c r="E3593" s="2" t="n">
        <v>40844.5541666667</v>
      </c>
      <c r="F3593" s="0" t="n">
        <v>5.41</v>
      </c>
      <c r="G3593" s="0" t="n">
        <v>16940</v>
      </c>
      <c r="H3593" s="3" t="s">
        <v>14</v>
      </c>
      <c r="I3593" s="4" t="n">
        <f aca="false">D3593*F3593</f>
        <v>64.92</v>
      </c>
      <c r="J3593" s="3" t="n">
        <f aca="false">IF(AND(LEFT(A3593,1)&lt;&gt;"C",D3593&gt;0,F3593&gt;0),1,0)</f>
        <v>1</v>
      </c>
      <c r="K3593" s="3" t="n">
        <f aca="false">IF(AND(H3593="United Kingdom",G3593&lt;&gt;"",COUNTIFS($G$2:G3593,G3593,$H$2:H3593,"United Kingdom")=1),1,0)</f>
        <v>0</v>
      </c>
    </row>
    <row r="3594" customFormat="false" ht="15" hidden="false" customHeight="false" outlineLevel="0" collapsed="false">
      <c r="A3594" s="0" t="s">
        <v>744</v>
      </c>
      <c r="B3594" s="0" t="s">
        <v>60</v>
      </c>
      <c r="C3594" s="0" t="s">
        <v>61</v>
      </c>
      <c r="D3594" s="0" t="n">
        <v>3</v>
      </c>
      <c r="E3594" s="2" t="n">
        <v>40844.5541666667</v>
      </c>
      <c r="F3594" s="0" t="n">
        <v>0.63</v>
      </c>
      <c r="G3594" s="0" t="n">
        <v>16940</v>
      </c>
      <c r="H3594" s="3" t="s">
        <v>14</v>
      </c>
      <c r="I3594" s="4" t="n">
        <f aca="false">D3594*F3594</f>
        <v>1.89</v>
      </c>
      <c r="J3594" s="3" t="n">
        <f aca="false">IF(AND(LEFT(A3594,1)&lt;&gt;"C",D3594&gt;0,F3594&gt;0),1,0)</f>
        <v>1</v>
      </c>
      <c r="K3594" s="3" t="n">
        <f aca="false">IF(AND(H3594="United Kingdom",G3594&lt;&gt;"",COUNTIFS($G$2:G3594,G3594,$H$2:H3594,"United Kingdom")=1),1,0)</f>
        <v>0</v>
      </c>
    </row>
    <row r="3595" customFormat="false" ht="15" hidden="false" customHeight="false" outlineLevel="0" collapsed="false">
      <c r="A3595" s="0" t="s">
        <v>744</v>
      </c>
      <c r="B3595" s="0" t="s">
        <v>58</v>
      </c>
      <c r="C3595" s="0" t="s">
        <v>59</v>
      </c>
      <c r="D3595" s="0" t="n">
        <v>1</v>
      </c>
      <c r="E3595" s="2" t="n">
        <v>40844.5541666667</v>
      </c>
      <c r="F3595" s="0" t="n">
        <v>2.16</v>
      </c>
      <c r="G3595" s="0" t="n">
        <v>16940</v>
      </c>
      <c r="H3595" s="3" t="s">
        <v>14</v>
      </c>
      <c r="I3595" s="4" t="n">
        <f aca="false">D3595*F3595</f>
        <v>2.16</v>
      </c>
      <c r="J3595" s="3" t="n">
        <f aca="false">IF(AND(LEFT(A3595,1)&lt;&gt;"C",D3595&gt;0,F3595&gt;0),1,0)</f>
        <v>1</v>
      </c>
      <c r="K3595" s="3" t="n">
        <f aca="false">IF(AND(H3595="United Kingdom",G3595&lt;&gt;"",COUNTIFS($G$2:G3595,G3595,$H$2:H3595,"United Kingdom")=1),1,0)</f>
        <v>0</v>
      </c>
    </row>
    <row r="3596" customFormat="false" ht="15" hidden="false" customHeight="false" outlineLevel="0" collapsed="false">
      <c r="A3596" s="0" t="s">
        <v>744</v>
      </c>
      <c r="B3596" s="0" t="s">
        <v>37</v>
      </c>
      <c r="C3596" s="0" t="s">
        <v>38</v>
      </c>
      <c r="D3596" s="0" t="n">
        <v>4</v>
      </c>
      <c r="E3596" s="2" t="n">
        <v>40844.5541666667</v>
      </c>
      <c r="F3596" s="0" t="n">
        <v>1.82</v>
      </c>
      <c r="G3596" s="0" t="n">
        <v>16940</v>
      </c>
      <c r="H3596" s="3" t="s">
        <v>14</v>
      </c>
      <c r="I3596" s="4" t="n">
        <f aca="false">D3596*F3596</f>
        <v>7.28</v>
      </c>
      <c r="J3596" s="3" t="n">
        <f aca="false">IF(AND(LEFT(A3596,1)&lt;&gt;"C",D3596&gt;0,F3596&gt;0),1,0)</f>
        <v>1</v>
      </c>
      <c r="K3596" s="3" t="n">
        <f aca="false">IF(AND(H3596="United Kingdom",G3596&lt;&gt;"",COUNTIFS($G$2:G3596,G3596,$H$2:H3596,"United Kingdom")=1),1,0)</f>
        <v>0</v>
      </c>
    </row>
    <row r="3597" customFormat="false" ht="15" hidden="false" customHeight="false" outlineLevel="0" collapsed="false">
      <c r="A3597" s="0" t="s">
        <v>744</v>
      </c>
      <c r="B3597" s="0" t="s">
        <v>12</v>
      </c>
      <c r="C3597" s="0" t="s">
        <v>13</v>
      </c>
      <c r="D3597" s="0" t="n">
        <v>6</v>
      </c>
      <c r="E3597" s="2" t="n">
        <v>40844.5541666667</v>
      </c>
      <c r="F3597" s="0" t="n">
        <v>3.33</v>
      </c>
      <c r="G3597" s="0" t="n">
        <v>16940</v>
      </c>
      <c r="H3597" s="3" t="s">
        <v>14</v>
      </c>
      <c r="I3597" s="4" t="n">
        <f aca="false">D3597*F3597</f>
        <v>19.98</v>
      </c>
      <c r="J3597" s="3" t="n">
        <f aca="false">IF(AND(LEFT(A3597,1)&lt;&gt;"C",D3597&gt;0,F3597&gt;0),1,0)</f>
        <v>1</v>
      </c>
      <c r="K3597" s="3" t="n">
        <f aca="false">IF(AND(H3597="United Kingdom",G3597&lt;&gt;"",COUNTIFS($G$2:G3597,G3597,$H$2:H3597,"United Kingdom")=1),1,0)</f>
        <v>0</v>
      </c>
    </row>
    <row r="3598" customFormat="false" ht="15" hidden="false" customHeight="false" outlineLevel="0" collapsed="false">
      <c r="A3598" s="0" t="s">
        <v>744</v>
      </c>
      <c r="B3598" s="0" t="s">
        <v>32</v>
      </c>
      <c r="C3598" s="0" t="s">
        <v>33</v>
      </c>
      <c r="D3598" s="0" t="n">
        <v>8</v>
      </c>
      <c r="E3598" s="2" t="n">
        <v>40844.5541666667</v>
      </c>
      <c r="F3598" s="0" t="n">
        <v>1.19</v>
      </c>
      <c r="G3598" s="0" t="n">
        <v>16940</v>
      </c>
      <c r="H3598" s="3" t="s">
        <v>14</v>
      </c>
      <c r="I3598" s="4" t="n">
        <f aca="false">D3598*F3598</f>
        <v>9.52</v>
      </c>
      <c r="J3598" s="3" t="n">
        <f aca="false">IF(AND(LEFT(A3598,1)&lt;&gt;"C",D3598&gt;0,F3598&gt;0),1,0)</f>
        <v>1</v>
      </c>
      <c r="K3598" s="3" t="n">
        <f aca="false">IF(AND(H3598="United Kingdom",G3598&lt;&gt;"",COUNTIFS($G$2:G3598,G3598,$H$2:H3598,"United Kingdom")=1),1,0)</f>
        <v>0</v>
      </c>
    </row>
    <row r="3599" customFormat="false" ht="15" hidden="false" customHeight="false" outlineLevel="0" collapsed="false">
      <c r="A3599" s="0" t="s">
        <v>744</v>
      </c>
      <c r="B3599" s="0" t="s">
        <v>63</v>
      </c>
      <c r="C3599" s="0" t="s">
        <v>64</v>
      </c>
      <c r="D3599" s="0" t="n">
        <v>6</v>
      </c>
      <c r="E3599" s="2" t="n">
        <v>40844.5541666667</v>
      </c>
      <c r="F3599" s="0" t="n">
        <v>2.43</v>
      </c>
      <c r="G3599" s="0" t="n">
        <v>16940</v>
      </c>
      <c r="H3599" s="3" t="s">
        <v>14</v>
      </c>
      <c r="I3599" s="4" t="n">
        <f aca="false">D3599*F3599</f>
        <v>14.58</v>
      </c>
      <c r="J3599" s="3" t="n">
        <f aca="false">IF(AND(LEFT(A3599,1)&lt;&gt;"C",D3599&gt;0,F3599&gt;0),1,0)</f>
        <v>1</v>
      </c>
      <c r="K3599" s="3" t="n">
        <f aca="false">IF(AND(H3599="United Kingdom",G3599&lt;&gt;"",COUNTIFS($G$2:G3599,G3599,$H$2:H3599,"United Kingdom")=1),1,0)</f>
        <v>0</v>
      </c>
    </row>
    <row r="3600" customFormat="false" ht="15" hidden="false" customHeight="false" outlineLevel="0" collapsed="false">
      <c r="A3600" s="0" t="s">
        <v>744</v>
      </c>
      <c r="B3600" s="0" t="s">
        <v>15</v>
      </c>
      <c r="C3600" s="0" t="s">
        <v>16</v>
      </c>
      <c r="D3600" s="0" t="n">
        <v>3</v>
      </c>
      <c r="E3600" s="2" t="n">
        <v>40844.5541666667</v>
      </c>
      <c r="F3600" s="0" t="n">
        <v>3.18</v>
      </c>
      <c r="G3600" s="0" t="n">
        <v>16940</v>
      </c>
      <c r="H3600" s="3" t="s">
        <v>14</v>
      </c>
      <c r="I3600" s="4" t="n">
        <f aca="false">D3600*F3600</f>
        <v>9.54</v>
      </c>
      <c r="J3600" s="3" t="n">
        <f aca="false">IF(AND(LEFT(A3600,1)&lt;&gt;"C",D3600&gt;0,F3600&gt;0),1,0)</f>
        <v>1</v>
      </c>
      <c r="K3600" s="3" t="n">
        <f aca="false">IF(AND(H3600="United Kingdom",G3600&lt;&gt;"",COUNTIFS($G$2:G3600,G3600,$H$2:H3600,"United Kingdom")=1),1,0)</f>
        <v>0</v>
      </c>
    </row>
    <row r="3601" customFormat="false" ht="15" hidden="false" customHeight="false" outlineLevel="0" collapsed="false">
      <c r="A3601" s="0" t="s">
        <v>744</v>
      </c>
      <c r="B3601" s="0" t="s">
        <v>72</v>
      </c>
      <c r="C3601" s="0" t="s">
        <v>73</v>
      </c>
      <c r="D3601" s="0" t="n">
        <v>8</v>
      </c>
      <c r="E3601" s="2" t="n">
        <v>40844.5541666667</v>
      </c>
      <c r="F3601" s="0" t="n">
        <v>2.69</v>
      </c>
      <c r="G3601" s="0" t="n">
        <v>16940</v>
      </c>
      <c r="H3601" s="3" t="s">
        <v>14</v>
      </c>
      <c r="I3601" s="4" t="n">
        <f aca="false">D3601*F3601</f>
        <v>21.52</v>
      </c>
      <c r="J3601" s="3" t="n">
        <f aca="false">IF(AND(LEFT(A3601,1)&lt;&gt;"C",D3601&gt;0,F3601&gt;0),1,0)</f>
        <v>1</v>
      </c>
      <c r="K3601" s="3" t="n">
        <f aca="false">IF(AND(H3601="United Kingdom",G3601&lt;&gt;"",COUNTIFS($G$2:G3601,G3601,$H$2:H3601,"United Kingdom")=1),1,0)</f>
        <v>0</v>
      </c>
    </row>
    <row r="3602" customFormat="false" ht="15" hidden="false" customHeight="false" outlineLevel="0" collapsed="false">
      <c r="A3602" s="0" t="s">
        <v>745</v>
      </c>
      <c r="B3602" s="0" t="s">
        <v>80</v>
      </c>
      <c r="C3602" s="0" t="s">
        <v>81</v>
      </c>
      <c r="D3602" s="0" t="n">
        <v>2</v>
      </c>
      <c r="E3602" s="2" t="n">
        <v>40844.5958333333</v>
      </c>
      <c r="F3602" s="0" t="n">
        <v>1.53</v>
      </c>
      <c r="G3602" s="0" t="n">
        <v>17203</v>
      </c>
      <c r="H3602" s="3" t="s">
        <v>14</v>
      </c>
      <c r="I3602" s="4" t="n">
        <f aca="false">D3602*F3602</f>
        <v>3.06</v>
      </c>
      <c r="J3602" s="3" t="n">
        <f aca="false">IF(AND(LEFT(A3602,1)&lt;&gt;"C",D3602&gt;0,F3602&gt;0),1,0)</f>
        <v>1</v>
      </c>
      <c r="K3602" s="3" t="n">
        <f aca="false">IF(AND(H3602="United Kingdom",G3602&lt;&gt;"",COUNTIFS($G$2:G3602,G3602,$H$2:H3602,"United Kingdom")=1),1,0)</f>
        <v>0</v>
      </c>
    </row>
    <row r="3603" customFormat="false" ht="15" hidden="false" customHeight="false" outlineLevel="0" collapsed="false">
      <c r="A3603" s="0" t="s">
        <v>745</v>
      </c>
      <c r="B3603" s="0" t="s">
        <v>63</v>
      </c>
      <c r="C3603" s="0" t="s">
        <v>64</v>
      </c>
      <c r="D3603" s="0" t="n">
        <v>24</v>
      </c>
      <c r="E3603" s="2" t="n">
        <v>40844.5958333333</v>
      </c>
      <c r="F3603" s="0" t="n">
        <v>2.43</v>
      </c>
      <c r="G3603" s="0" t="n">
        <v>17203</v>
      </c>
      <c r="H3603" s="3" t="s">
        <v>14</v>
      </c>
      <c r="I3603" s="4" t="n">
        <f aca="false">D3603*F3603</f>
        <v>58.32</v>
      </c>
      <c r="J3603" s="3" t="n">
        <f aca="false">IF(AND(LEFT(A3603,1)&lt;&gt;"C",D3603&gt;0,F3603&gt;0),1,0)</f>
        <v>1</v>
      </c>
      <c r="K3603" s="3" t="n">
        <f aca="false">IF(AND(H3603="United Kingdom",G3603&lt;&gt;"",COUNTIFS($G$2:G3603,G3603,$H$2:H3603,"United Kingdom")=1),1,0)</f>
        <v>0</v>
      </c>
    </row>
    <row r="3604" customFormat="false" ht="15" hidden="false" customHeight="false" outlineLevel="0" collapsed="false">
      <c r="A3604" s="0" t="s">
        <v>745</v>
      </c>
      <c r="B3604" s="0" t="s">
        <v>43</v>
      </c>
      <c r="C3604" s="0" t="s">
        <v>44</v>
      </c>
      <c r="D3604" s="0" t="n">
        <v>1</v>
      </c>
      <c r="E3604" s="2" t="n">
        <v>40844.5958333333</v>
      </c>
      <c r="F3604" s="0" t="n">
        <v>1.35</v>
      </c>
      <c r="G3604" s="0" t="n">
        <v>17203</v>
      </c>
      <c r="H3604" s="3" t="s">
        <v>14</v>
      </c>
      <c r="I3604" s="4" t="n">
        <f aca="false">D3604*F3604</f>
        <v>1.35</v>
      </c>
      <c r="J3604" s="3" t="n">
        <f aca="false">IF(AND(LEFT(A3604,1)&lt;&gt;"C",D3604&gt;0,F3604&gt;0),1,0)</f>
        <v>1</v>
      </c>
      <c r="K3604" s="3" t="n">
        <f aca="false">IF(AND(H3604="United Kingdom",G3604&lt;&gt;"",COUNTIFS($G$2:G3604,G3604,$H$2:H3604,"United Kingdom")=1),1,0)</f>
        <v>0</v>
      </c>
    </row>
    <row r="3605" customFormat="false" ht="15" hidden="false" customHeight="false" outlineLevel="0" collapsed="false">
      <c r="A3605" s="0" t="s">
        <v>745</v>
      </c>
      <c r="B3605" s="0" t="s">
        <v>45</v>
      </c>
      <c r="C3605" s="0" t="s">
        <v>46</v>
      </c>
      <c r="D3605" s="0" t="n">
        <v>4</v>
      </c>
      <c r="E3605" s="2" t="n">
        <v>40844.5958333333</v>
      </c>
      <c r="F3605" s="0" t="n">
        <v>4.55</v>
      </c>
      <c r="G3605" s="0" t="n">
        <v>17203</v>
      </c>
      <c r="H3605" s="3" t="s">
        <v>14</v>
      </c>
      <c r="I3605" s="4" t="n">
        <f aca="false">D3605*F3605</f>
        <v>18.2</v>
      </c>
      <c r="J3605" s="3" t="n">
        <f aca="false">IF(AND(LEFT(A3605,1)&lt;&gt;"C",D3605&gt;0,F3605&gt;0),1,0)</f>
        <v>1</v>
      </c>
      <c r="K3605" s="3" t="n">
        <f aca="false">IF(AND(H3605="United Kingdom",G3605&lt;&gt;"",COUNTIFS($G$2:G3605,G3605,$H$2:H3605,"United Kingdom")=1),1,0)</f>
        <v>0</v>
      </c>
    </row>
    <row r="3606" customFormat="false" ht="15" hidden="false" customHeight="false" outlineLevel="0" collapsed="false">
      <c r="A3606" s="0" t="s">
        <v>746</v>
      </c>
      <c r="B3606" s="0" t="s">
        <v>68</v>
      </c>
      <c r="C3606" s="0" t="s">
        <v>69</v>
      </c>
      <c r="D3606" s="0" t="n">
        <v>1</v>
      </c>
      <c r="E3606" s="2" t="n">
        <v>40844.83125</v>
      </c>
      <c r="F3606" s="0" t="n">
        <v>1.26</v>
      </c>
      <c r="G3606" s="0" t="n">
        <v>16973</v>
      </c>
      <c r="H3606" s="3" t="s">
        <v>14</v>
      </c>
      <c r="I3606" s="4" t="n">
        <f aca="false">D3606*F3606</f>
        <v>1.26</v>
      </c>
      <c r="J3606" s="3" t="n">
        <f aca="false">IF(AND(LEFT(A3606,1)&lt;&gt;"C",D3606&gt;0,F3606&gt;0),1,0)</f>
        <v>1</v>
      </c>
      <c r="K3606" s="3" t="n">
        <f aca="false">IF(AND(H3606="United Kingdom",G3606&lt;&gt;"",COUNTIFS($G$2:G3606,G3606,$H$2:H3606,"United Kingdom")=1),1,0)</f>
        <v>0</v>
      </c>
    </row>
    <row r="3607" customFormat="false" ht="15" hidden="false" customHeight="false" outlineLevel="0" collapsed="false">
      <c r="A3607" s="0" t="s">
        <v>746</v>
      </c>
      <c r="B3607" s="0" t="s">
        <v>90</v>
      </c>
      <c r="C3607" s="0" t="s">
        <v>91</v>
      </c>
      <c r="D3607" s="0" t="n">
        <v>4</v>
      </c>
      <c r="E3607" s="2" t="n">
        <v>40844.83125</v>
      </c>
      <c r="F3607" s="0" t="n">
        <v>3.04</v>
      </c>
      <c r="G3607" s="0" t="n">
        <v>16973</v>
      </c>
      <c r="H3607" s="3" t="s">
        <v>14</v>
      </c>
      <c r="I3607" s="4" t="n">
        <f aca="false">D3607*F3607</f>
        <v>12.16</v>
      </c>
      <c r="J3607" s="3" t="n">
        <f aca="false">IF(AND(LEFT(A3607,1)&lt;&gt;"C",D3607&gt;0,F3607&gt;0),1,0)</f>
        <v>1</v>
      </c>
      <c r="K3607" s="3" t="n">
        <f aca="false">IF(AND(H3607="United Kingdom",G3607&lt;&gt;"",COUNTIFS($G$2:G3607,G3607,$H$2:H3607,"United Kingdom")=1),1,0)</f>
        <v>0</v>
      </c>
    </row>
    <row r="3608" customFormat="false" ht="15" hidden="false" customHeight="false" outlineLevel="0" collapsed="false">
      <c r="A3608" s="0" t="s">
        <v>746</v>
      </c>
      <c r="B3608" s="0" t="s">
        <v>20</v>
      </c>
      <c r="C3608" s="0" t="s">
        <v>21</v>
      </c>
      <c r="D3608" s="0" t="n">
        <v>8</v>
      </c>
      <c r="E3608" s="2" t="n">
        <v>40844.83125</v>
      </c>
      <c r="F3608" s="0" t="n">
        <v>4.24</v>
      </c>
      <c r="G3608" s="0" t="n">
        <v>16973</v>
      </c>
      <c r="H3608" s="3" t="s">
        <v>14</v>
      </c>
      <c r="I3608" s="4" t="n">
        <f aca="false">D3608*F3608</f>
        <v>33.92</v>
      </c>
      <c r="J3608" s="3" t="n">
        <f aca="false">IF(AND(LEFT(A3608,1)&lt;&gt;"C",D3608&gt;0,F3608&gt;0),1,0)</f>
        <v>1</v>
      </c>
      <c r="K3608" s="3" t="n">
        <f aca="false">IF(AND(H3608="United Kingdom",G3608&lt;&gt;"",COUNTIFS($G$2:G3608,G3608,$H$2:H3608,"United Kingdom")=1),1,0)</f>
        <v>0</v>
      </c>
    </row>
    <row r="3609" customFormat="false" ht="15" hidden="false" customHeight="false" outlineLevel="0" collapsed="false">
      <c r="A3609" s="0" t="s">
        <v>746</v>
      </c>
      <c r="B3609" s="0" t="s">
        <v>29</v>
      </c>
      <c r="C3609" s="0" t="s">
        <v>30</v>
      </c>
      <c r="D3609" s="0" t="n">
        <v>6</v>
      </c>
      <c r="E3609" s="2" t="n">
        <v>40844.83125</v>
      </c>
      <c r="F3609" s="0" t="n">
        <v>5.79</v>
      </c>
      <c r="G3609" s="0" t="n">
        <v>16973</v>
      </c>
      <c r="H3609" s="3" t="s">
        <v>14</v>
      </c>
      <c r="I3609" s="4" t="n">
        <f aca="false">D3609*F3609</f>
        <v>34.74</v>
      </c>
      <c r="J3609" s="3" t="n">
        <f aca="false">IF(AND(LEFT(A3609,1)&lt;&gt;"C",D3609&gt;0,F3609&gt;0),1,0)</f>
        <v>1</v>
      </c>
      <c r="K3609" s="3" t="n">
        <f aca="false">IF(AND(H3609="United Kingdom",G3609&lt;&gt;"",COUNTIFS($G$2:G3609,G3609,$H$2:H3609,"United Kingdom")=1),1,0)</f>
        <v>0</v>
      </c>
    </row>
    <row r="3610" customFormat="false" ht="15" hidden="false" customHeight="false" outlineLevel="0" collapsed="false">
      <c r="A3610" s="0" t="s">
        <v>746</v>
      </c>
      <c r="B3610" s="0" t="s">
        <v>63</v>
      </c>
      <c r="C3610" s="0" t="s">
        <v>64</v>
      </c>
      <c r="D3610" s="0" t="n">
        <v>8</v>
      </c>
      <c r="E3610" s="2" t="n">
        <v>40844.83125</v>
      </c>
      <c r="F3610" s="0" t="n">
        <v>2.43</v>
      </c>
      <c r="G3610" s="0" t="n">
        <v>16973</v>
      </c>
      <c r="H3610" s="3" t="s">
        <v>14</v>
      </c>
      <c r="I3610" s="4" t="n">
        <f aca="false">D3610*F3610</f>
        <v>19.44</v>
      </c>
      <c r="J3610" s="3" t="n">
        <f aca="false">IF(AND(LEFT(A3610,1)&lt;&gt;"C",D3610&gt;0,F3610&gt;0),1,0)</f>
        <v>1</v>
      </c>
      <c r="K3610" s="3" t="n">
        <f aca="false">IF(AND(H3610="United Kingdom",G3610&lt;&gt;"",COUNTIFS($G$2:G3610,G3610,$H$2:H3610,"United Kingdom")=1),1,0)</f>
        <v>0</v>
      </c>
    </row>
    <row r="3611" customFormat="false" ht="15" hidden="false" customHeight="false" outlineLevel="0" collapsed="false">
      <c r="A3611" s="0" t="s">
        <v>746</v>
      </c>
      <c r="B3611" s="0" t="s">
        <v>17</v>
      </c>
      <c r="C3611" s="0" t="s">
        <v>18</v>
      </c>
      <c r="D3611" s="0" t="n">
        <v>8</v>
      </c>
      <c r="E3611" s="2" t="n">
        <v>40844.83125</v>
      </c>
      <c r="F3611" s="0" t="n">
        <v>1.92</v>
      </c>
      <c r="G3611" s="0" t="n">
        <v>16973</v>
      </c>
      <c r="H3611" s="3" t="s">
        <v>14</v>
      </c>
      <c r="I3611" s="4" t="n">
        <f aca="false">D3611*F3611</f>
        <v>15.36</v>
      </c>
      <c r="J3611" s="3" t="n">
        <f aca="false">IF(AND(LEFT(A3611,1)&lt;&gt;"C",D3611&gt;0,F3611&gt;0),1,0)</f>
        <v>1</v>
      </c>
      <c r="K3611" s="3" t="n">
        <f aca="false">IF(AND(H3611="United Kingdom",G3611&lt;&gt;"",COUNTIFS($G$2:G3611,G3611,$H$2:H3611,"United Kingdom")=1),1,0)</f>
        <v>0</v>
      </c>
    </row>
    <row r="3612" customFormat="false" ht="15" hidden="false" customHeight="false" outlineLevel="0" collapsed="false">
      <c r="A3612" s="0" t="s">
        <v>746</v>
      </c>
      <c r="B3612" s="0" t="s">
        <v>80</v>
      </c>
      <c r="C3612" s="0" t="s">
        <v>81</v>
      </c>
      <c r="D3612" s="0" t="n">
        <v>12</v>
      </c>
      <c r="E3612" s="2" t="n">
        <v>40844.83125</v>
      </c>
      <c r="F3612" s="0" t="n">
        <v>1.53</v>
      </c>
      <c r="G3612" s="0" t="n">
        <v>16973</v>
      </c>
      <c r="H3612" s="3" t="s">
        <v>14</v>
      </c>
      <c r="I3612" s="4" t="n">
        <f aca="false">D3612*F3612</f>
        <v>18.36</v>
      </c>
      <c r="J3612" s="3" t="n">
        <f aca="false">IF(AND(LEFT(A3612,1)&lt;&gt;"C",D3612&gt;0,F3612&gt;0),1,0)</f>
        <v>1</v>
      </c>
      <c r="K3612" s="3" t="n">
        <f aca="false">IF(AND(H3612="United Kingdom",G3612&lt;&gt;"",COUNTIFS($G$2:G3612,G3612,$H$2:H3612,"United Kingdom")=1),1,0)</f>
        <v>0</v>
      </c>
    </row>
    <row r="3613" customFormat="false" ht="15" hidden="false" customHeight="false" outlineLevel="0" collapsed="false">
      <c r="A3613" s="0" t="s">
        <v>746</v>
      </c>
      <c r="B3613" s="0" t="s">
        <v>27</v>
      </c>
      <c r="C3613" s="0" t="s">
        <v>28</v>
      </c>
      <c r="D3613" s="0" t="n">
        <v>8</v>
      </c>
      <c r="E3613" s="2" t="n">
        <v>40844.83125</v>
      </c>
      <c r="F3613" s="0" t="n">
        <v>4.55</v>
      </c>
      <c r="G3613" s="0" t="n">
        <v>16973</v>
      </c>
      <c r="H3613" s="3" t="s">
        <v>14</v>
      </c>
      <c r="I3613" s="4" t="n">
        <f aca="false">D3613*F3613</f>
        <v>36.4</v>
      </c>
      <c r="J3613" s="3" t="n">
        <f aca="false">IF(AND(LEFT(A3613,1)&lt;&gt;"C",D3613&gt;0,F3613&gt;0),1,0)</f>
        <v>1</v>
      </c>
      <c r="K3613" s="3" t="n">
        <f aca="false">IF(AND(H3613="United Kingdom",G3613&lt;&gt;"",COUNTIFS($G$2:G3613,G3613,$H$2:H3613,"United Kingdom")=1),1,0)</f>
        <v>0</v>
      </c>
    </row>
    <row r="3614" customFormat="false" ht="15" hidden="false" customHeight="false" outlineLevel="0" collapsed="false">
      <c r="A3614" s="0" t="s">
        <v>746</v>
      </c>
      <c r="B3614" s="0" t="s">
        <v>37</v>
      </c>
      <c r="C3614" s="0" t="s">
        <v>38</v>
      </c>
      <c r="D3614" s="0" t="n">
        <v>4</v>
      </c>
      <c r="E3614" s="2" t="n">
        <v>40844.83125</v>
      </c>
      <c r="F3614" s="0" t="n">
        <v>1.82</v>
      </c>
      <c r="G3614" s="0" t="n">
        <v>16973</v>
      </c>
      <c r="H3614" s="3" t="s">
        <v>14</v>
      </c>
      <c r="I3614" s="4" t="n">
        <f aca="false">D3614*F3614</f>
        <v>7.28</v>
      </c>
      <c r="J3614" s="3" t="n">
        <f aca="false">IF(AND(LEFT(A3614,1)&lt;&gt;"C",D3614&gt;0,F3614&gt;0),1,0)</f>
        <v>1</v>
      </c>
      <c r="K3614" s="3" t="n">
        <f aca="false">IF(AND(H3614="United Kingdom",G3614&lt;&gt;"",COUNTIFS($G$2:G3614,G3614,$H$2:H3614,"United Kingdom")=1),1,0)</f>
        <v>0</v>
      </c>
    </row>
    <row r="3615" customFormat="false" ht="15" hidden="false" customHeight="false" outlineLevel="0" collapsed="false">
      <c r="A3615" s="0" t="s">
        <v>747</v>
      </c>
      <c r="B3615" s="0" t="s">
        <v>65</v>
      </c>
      <c r="C3615" s="0" t="s">
        <v>66</v>
      </c>
      <c r="D3615" s="0" t="n">
        <v>8</v>
      </c>
      <c r="E3615" s="2" t="n">
        <v>40845.4381944445</v>
      </c>
      <c r="F3615" s="0" t="n">
        <v>4.75</v>
      </c>
      <c r="G3615" s="0" t="n">
        <v>14026</v>
      </c>
      <c r="H3615" s="3" t="s">
        <v>14</v>
      </c>
      <c r="I3615" s="4" t="n">
        <f aca="false">D3615*F3615</f>
        <v>38</v>
      </c>
      <c r="J3615" s="3" t="n">
        <f aca="false">IF(AND(LEFT(A3615,1)&lt;&gt;"C",D3615&gt;0,F3615&gt;0),1,0)</f>
        <v>1</v>
      </c>
      <c r="K3615" s="3" t="n">
        <f aca="false">IF(AND(H3615="United Kingdom",G3615&lt;&gt;"",COUNTIFS($G$2:G3615,G3615,$H$2:H3615,"United Kingdom")=1),1,0)</f>
        <v>0</v>
      </c>
    </row>
    <row r="3616" customFormat="false" ht="15" hidden="false" customHeight="false" outlineLevel="0" collapsed="false">
      <c r="A3616" s="0" t="s">
        <v>747</v>
      </c>
      <c r="B3616" s="0" t="s">
        <v>80</v>
      </c>
      <c r="C3616" s="0" t="s">
        <v>81</v>
      </c>
      <c r="D3616" s="0" t="n">
        <v>3</v>
      </c>
      <c r="E3616" s="2" t="n">
        <v>40845.4381944445</v>
      </c>
      <c r="F3616" s="0" t="n">
        <v>1.53</v>
      </c>
      <c r="G3616" s="0" t="n">
        <v>14026</v>
      </c>
      <c r="H3616" s="3" t="s">
        <v>14</v>
      </c>
      <c r="I3616" s="4" t="n">
        <f aca="false">D3616*F3616</f>
        <v>4.59</v>
      </c>
      <c r="J3616" s="3" t="n">
        <f aca="false">IF(AND(LEFT(A3616,1)&lt;&gt;"C",D3616&gt;0,F3616&gt;0),1,0)</f>
        <v>1</v>
      </c>
      <c r="K3616" s="3" t="n">
        <f aca="false">IF(AND(H3616="United Kingdom",G3616&lt;&gt;"",COUNTIFS($G$2:G3616,G3616,$H$2:H3616,"United Kingdom")=1),1,0)</f>
        <v>0</v>
      </c>
    </row>
    <row r="3617" customFormat="false" ht="15" hidden="false" customHeight="false" outlineLevel="0" collapsed="false">
      <c r="A3617" s="0" t="s">
        <v>747</v>
      </c>
      <c r="B3617" s="0" t="s">
        <v>72</v>
      </c>
      <c r="C3617" s="0" t="s">
        <v>73</v>
      </c>
      <c r="D3617" s="0" t="n">
        <v>12</v>
      </c>
      <c r="E3617" s="2" t="n">
        <v>40845.4381944445</v>
      </c>
      <c r="F3617" s="0" t="n">
        <v>2.69</v>
      </c>
      <c r="G3617" s="0" t="n">
        <v>14026</v>
      </c>
      <c r="H3617" s="3" t="s">
        <v>14</v>
      </c>
      <c r="I3617" s="4" t="n">
        <f aca="false">D3617*F3617</f>
        <v>32.28</v>
      </c>
      <c r="J3617" s="3" t="n">
        <f aca="false">IF(AND(LEFT(A3617,1)&lt;&gt;"C",D3617&gt;0,F3617&gt;0),1,0)</f>
        <v>1</v>
      </c>
      <c r="K3617" s="3" t="n">
        <f aca="false">IF(AND(H3617="United Kingdom",G3617&lt;&gt;"",COUNTIFS($G$2:G3617,G3617,$H$2:H3617,"United Kingdom")=1),1,0)</f>
        <v>0</v>
      </c>
    </row>
    <row r="3618" customFormat="false" ht="15" hidden="false" customHeight="false" outlineLevel="0" collapsed="false">
      <c r="A3618" s="0" t="s">
        <v>747</v>
      </c>
      <c r="B3618" s="0" t="s">
        <v>63</v>
      </c>
      <c r="C3618" s="0" t="s">
        <v>64</v>
      </c>
      <c r="D3618" s="0" t="n">
        <v>2</v>
      </c>
      <c r="E3618" s="2" t="n">
        <v>40845.4381944445</v>
      </c>
      <c r="F3618" s="0" t="n">
        <v>2.43</v>
      </c>
      <c r="G3618" s="0" t="n">
        <v>14026</v>
      </c>
      <c r="H3618" s="3" t="s">
        <v>14</v>
      </c>
      <c r="I3618" s="4" t="n">
        <f aca="false">D3618*F3618</f>
        <v>4.86</v>
      </c>
      <c r="J3618" s="3" t="n">
        <f aca="false">IF(AND(LEFT(A3618,1)&lt;&gt;"C",D3618&gt;0,F3618&gt;0),1,0)</f>
        <v>1</v>
      </c>
      <c r="K3618" s="3" t="n">
        <f aca="false">IF(AND(H3618="United Kingdom",G3618&lt;&gt;"",COUNTIFS($G$2:G3618,G3618,$H$2:H3618,"United Kingdom")=1),1,0)</f>
        <v>0</v>
      </c>
    </row>
    <row r="3619" customFormat="false" ht="15" hidden="false" customHeight="false" outlineLevel="0" collapsed="false">
      <c r="A3619" s="0" t="s">
        <v>748</v>
      </c>
      <c r="B3619" s="0" t="s">
        <v>12</v>
      </c>
      <c r="C3619" s="0" t="s">
        <v>13</v>
      </c>
      <c r="D3619" s="0" t="n">
        <v>6</v>
      </c>
      <c r="E3619" s="2" t="n">
        <v>40845.5333333333</v>
      </c>
      <c r="F3619" s="0" t="n">
        <v>3.33</v>
      </c>
      <c r="H3619" s="3" t="s">
        <v>14</v>
      </c>
      <c r="I3619" s="4" t="n">
        <f aca="false">D3619*F3619</f>
        <v>19.98</v>
      </c>
      <c r="J3619" s="3" t="n">
        <f aca="false">IF(AND(LEFT(A3619,1)&lt;&gt;"C",D3619&gt;0,F3619&gt;0),1,0)</f>
        <v>1</v>
      </c>
      <c r="K3619" s="3" t="n">
        <f aca="false">IF(AND(H3619="United Kingdom",G3619&lt;&gt;"",COUNTIFS($G$2:G3619,G3619,$H$2:H3619,"United Kingdom")=1),1,0)</f>
        <v>0</v>
      </c>
    </row>
    <row r="3620" customFormat="false" ht="15" hidden="false" customHeight="false" outlineLevel="0" collapsed="false">
      <c r="A3620" s="0" t="s">
        <v>748</v>
      </c>
      <c r="B3620" s="0" t="s">
        <v>75</v>
      </c>
      <c r="C3620" s="0" t="s">
        <v>76</v>
      </c>
      <c r="D3620" s="0" t="n">
        <v>1</v>
      </c>
      <c r="E3620" s="2" t="n">
        <v>40845.5333333333</v>
      </c>
      <c r="F3620" s="0" t="n">
        <v>1.97</v>
      </c>
      <c r="H3620" s="3" t="s">
        <v>14</v>
      </c>
      <c r="I3620" s="4" t="n">
        <f aca="false">D3620*F3620</f>
        <v>1.97</v>
      </c>
      <c r="J3620" s="3" t="n">
        <f aca="false">IF(AND(LEFT(A3620,1)&lt;&gt;"C",D3620&gt;0,F3620&gt;0),1,0)</f>
        <v>1</v>
      </c>
      <c r="K3620" s="3" t="n">
        <f aca="false">IF(AND(H3620="United Kingdom",G3620&lt;&gt;"",COUNTIFS($G$2:G3620,G3620,$H$2:H3620,"United Kingdom")=1),1,0)</f>
        <v>0</v>
      </c>
    </row>
    <row r="3621" customFormat="false" ht="15" hidden="false" customHeight="false" outlineLevel="0" collapsed="false">
      <c r="A3621" s="0" t="s">
        <v>748</v>
      </c>
      <c r="B3621" s="0" t="s">
        <v>63</v>
      </c>
      <c r="C3621" s="0" t="s">
        <v>64</v>
      </c>
      <c r="D3621" s="0" t="n">
        <v>1</v>
      </c>
      <c r="E3621" s="2" t="n">
        <v>40845.5333333333</v>
      </c>
      <c r="F3621" s="0" t="n">
        <v>2.43</v>
      </c>
      <c r="H3621" s="3" t="s">
        <v>14</v>
      </c>
      <c r="I3621" s="4" t="n">
        <f aca="false">D3621*F3621</f>
        <v>2.43</v>
      </c>
      <c r="J3621" s="3" t="n">
        <f aca="false">IF(AND(LEFT(A3621,1)&lt;&gt;"C",D3621&gt;0,F3621&gt;0),1,0)</f>
        <v>1</v>
      </c>
      <c r="K3621" s="3" t="n">
        <f aca="false">IF(AND(H3621="United Kingdom",G3621&lt;&gt;"",COUNTIFS($G$2:G3621,G3621,$H$2:H3621,"United Kingdom")=1),1,0)</f>
        <v>0</v>
      </c>
    </row>
    <row r="3622" customFormat="false" ht="15" hidden="false" customHeight="false" outlineLevel="0" collapsed="false">
      <c r="A3622" s="0" t="s">
        <v>748</v>
      </c>
      <c r="B3622" s="0" t="s">
        <v>15</v>
      </c>
      <c r="C3622" s="0" t="s">
        <v>16</v>
      </c>
      <c r="D3622" s="0" t="n">
        <v>8</v>
      </c>
      <c r="E3622" s="2" t="n">
        <v>40845.5333333333</v>
      </c>
      <c r="F3622" s="0" t="n">
        <v>3.18</v>
      </c>
      <c r="H3622" s="3" t="s">
        <v>14</v>
      </c>
      <c r="I3622" s="4" t="n">
        <f aca="false">D3622*F3622</f>
        <v>25.44</v>
      </c>
      <c r="J3622" s="3" t="n">
        <f aca="false">IF(AND(LEFT(A3622,1)&lt;&gt;"C",D3622&gt;0,F3622&gt;0),1,0)</f>
        <v>1</v>
      </c>
      <c r="K3622" s="3" t="n">
        <f aca="false">IF(AND(H3622="United Kingdom",G3622&lt;&gt;"",COUNTIFS($G$2:G3622,G3622,$H$2:H3622,"United Kingdom")=1),1,0)</f>
        <v>0</v>
      </c>
    </row>
    <row r="3623" customFormat="false" ht="15" hidden="false" customHeight="false" outlineLevel="0" collapsed="false">
      <c r="A3623" s="0" t="s">
        <v>748</v>
      </c>
      <c r="B3623" s="0" t="s">
        <v>29</v>
      </c>
      <c r="C3623" s="0" t="s">
        <v>30</v>
      </c>
      <c r="D3623" s="0" t="n">
        <v>1</v>
      </c>
      <c r="E3623" s="2" t="n">
        <v>40845.5333333333</v>
      </c>
      <c r="F3623" s="0" t="n">
        <v>5.79</v>
      </c>
      <c r="H3623" s="3" t="s">
        <v>14</v>
      </c>
      <c r="I3623" s="4" t="n">
        <f aca="false">D3623*F3623</f>
        <v>5.79</v>
      </c>
      <c r="J3623" s="3" t="n">
        <f aca="false">IF(AND(LEFT(A3623,1)&lt;&gt;"C",D3623&gt;0,F3623&gt;0),1,0)</f>
        <v>1</v>
      </c>
      <c r="K3623" s="3" t="n">
        <f aca="false">IF(AND(H3623="United Kingdom",G3623&lt;&gt;"",COUNTIFS($G$2:G3623,G3623,$H$2:H3623,"United Kingdom")=1),1,0)</f>
        <v>0</v>
      </c>
    </row>
    <row r="3624" customFormat="false" ht="15" hidden="false" customHeight="false" outlineLevel="0" collapsed="false">
      <c r="A3624" s="0" t="s">
        <v>748</v>
      </c>
      <c r="B3624" s="0" t="s">
        <v>43</v>
      </c>
      <c r="C3624" s="0" t="s">
        <v>44</v>
      </c>
      <c r="D3624" s="0" t="n">
        <v>2</v>
      </c>
      <c r="E3624" s="2" t="n">
        <v>40845.5333333333</v>
      </c>
      <c r="F3624" s="0" t="n">
        <v>1.35</v>
      </c>
      <c r="H3624" s="3" t="s">
        <v>14</v>
      </c>
      <c r="I3624" s="4" t="n">
        <f aca="false">D3624*F3624</f>
        <v>2.7</v>
      </c>
      <c r="J3624" s="3" t="n">
        <f aca="false">IF(AND(LEFT(A3624,1)&lt;&gt;"C",D3624&gt;0,F3624&gt;0),1,0)</f>
        <v>1</v>
      </c>
      <c r="K3624" s="3" t="n">
        <f aca="false">IF(AND(H3624="United Kingdom",G3624&lt;&gt;"",COUNTIFS($G$2:G3624,G3624,$H$2:H3624,"United Kingdom")=1),1,0)</f>
        <v>0</v>
      </c>
    </row>
    <row r="3625" customFormat="false" ht="15" hidden="false" customHeight="false" outlineLevel="0" collapsed="false">
      <c r="A3625" s="0" t="s">
        <v>748</v>
      </c>
      <c r="B3625" s="0" t="s">
        <v>90</v>
      </c>
      <c r="C3625" s="0" t="s">
        <v>91</v>
      </c>
      <c r="D3625" s="0" t="n">
        <v>4</v>
      </c>
      <c r="E3625" s="2" t="n">
        <v>40845.5333333333</v>
      </c>
      <c r="F3625" s="0" t="n">
        <v>3.04</v>
      </c>
      <c r="H3625" s="3" t="s">
        <v>14</v>
      </c>
      <c r="I3625" s="4" t="n">
        <f aca="false">D3625*F3625</f>
        <v>12.16</v>
      </c>
      <c r="J3625" s="3" t="n">
        <f aca="false">IF(AND(LEFT(A3625,1)&lt;&gt;"C",D3625&gt;0,F3625&gt;0),1,0)</f>
        <v>1</v>
      </c>
      <c r="K3625" s="3" t="n">
        <f aca="false">IF(AND(H3625="United Kingdom",G3625&lt;&gt;"",COUNTIFS($G$2:G3625,G3625,$H$2:H3625,"United Kingdom")=1),1,0)</f>
        <v>0</v>
      </c>
    </row>
    <row r="3626" customFormat="false" ht="15" hidden="false" customHeight="false" outlineLevel="0" collapsed="false">
      <c r="A3626" s="0" t="s">
        <v>748</v>
      </c>
      <c r="B3626" s="0" t="s">
        <v>50</v>
      </c>
      <c r="C3626" s="0" t="s">
        <v>51</v>
      </c>
      <c r="D3626" s="0" t="n">
        <v>3</v>
      </c>
      <c r="E3626" s="2" t="n">
        <v>40845.5333333333</v>
      </c>
      <c r="F3626" s="0" t="n">
        <v>5.41</v>
      </c>
      <c r="H3626" s="3" t="s">
        <v>14</v>
      </c>
      <c r="I3626" s="4" t="n">
        <f aca="false">D3626*F3626</f>
        <v>16.23</v>
      </c>
      <c r="J3626" s="3" t="n">
        <f aca="false">IF(AND(LEFT(A3626,1)&lt;&gt;"C",D3626&gt;0,F3626&gt;0),1,0)</f>
        <v>1</v>
      </c>
      <c r="K3626" s="3" t="n">
        <f aca="false">IF(AND(H3626="United Kingdom",G3626&lt;&gt;"",COUNTIFS($G$2:G3626,G3626,$H$2:H3626,"United Kingdom")=1),1,0)</f>
        <v>0</v>
      </c>
    </row>
    <row r="3627" customFormat="false" ht="15" hidden="false" customHeight="false" outlineLevel="0" collapsed="false">
      <c r="A3627" s="0" t="s">
        <v>748</v>
      </c>
      <c r="B3627" s="0" t="s">
        <v>37</v>
      </c>
      <c r="C3627" s="0" t="s">
        <v>38</v>
      </c>
      <c r="D3627" s="0" t="n">
        <v>2</v>
      </c>
      <c r="E3627" s="2" t="n">
        <v>40845.5333333333</v>
      </c>
      <c r="F3627" s="0" t="n">
        <v>1.82</v>
      </c>
      <c r="H3627" s="3" t="s">
        <v>14</v>
      </c>
      <c r="I3627" s="4" t="n">
        <f aca="false">D3627*F3627</f>
        <v>3.64</v>
      </c>
      <c r="J3627" s="3" t="n">
        <f aca="false">IF(AND(LEFT(A3627,1)&lt;&gt;"C",D3627&gt;0,F3627&gt;0),1,0)</f>
        <v>1</v>
      </c>
      <c r="K3627" s="3" t="n">
        <f aca="false">IF(AND(H3627="United Kingdom",G3627&lt;&gt;"",COUNTIFS($G$2:G3627,G3627,$H$2:H3627,"United Kingdom")=1),1,0)</f>
        <v>0</v>
      </c>
    </row>
    <row r="3628" customFormat="false" ht="15" hidden="false" customHeight="false" outlineLevel="0" collapsed="false">
      <c r="A3628" s="0" t="s">
        <v>748</v>
      </c>
      <c r="B3628" s="0" t="s">
        <v>77</v>
      </c>
      <c r="C3628" s="0" t="s">
        <v>78</v>
      </c>
      <c r="D3628" s="0" t="n">
        <v>4</v>
      </c>
      <c r="E3628" s="2" t="n">
        <v>40845.5333333333</v>
      </c>
      <c r="F3628" s="0" t="n">
        <v>3.41</v>
      </c>
      <c r="H3628" s="3" t="s">
        <v>14</v>
      </c>
      <c r="I3628" s="4" t="n">
        <f aca="false">D3628*F3628</f>
        <v>13.64</v>
      </c>
      <c r="J3628" s="3" t="n">
        <f aca="false">IF(AND(LEFT(A3628,1)&lt;&gt;"C",D3628&gt;0,F3628&gt;0),1,0)</f>
        <v>1</v>
      </c>
      <c r="K3628" s="3" t="n">
        <f aca="false">IF(AND(H3628="United Kingdom",G3628&lt;&gt;"",COUNTIFS($G$2:G3628,G3628,$H$2:H3628,"United Kingdom")=1),1,0)</f>
        <v>0</v>
      </c>
    </row>
    <row r="3629" customFormat="false" ht="15" hidden="false" customHeight="false" outlineLevel="0" collapsed="false">
      <c r="A3629" s="0" t="s">
        <v>749</v>
      </c>
      <c r="B3629" s="0" t="s">
        <v>72</v>
      </c>
      <c r="C3629" s="0" t="s">
        <v>73</v>
      </c>
      <c r="D3629" s="0" t="n">
        <v>3</v>
      </c>
      <c r="E3629" s="2" t="n">
        <v>40846.3638888889</v>
      </c>
      <c r="F3629" s="0" t="n">
        <v>2.69</v>
      </c>
      <c r="G3629" s="0" t="n">
        <v>14601</v>
      </c>
      <c r="H3629" s="3" t="s">
        <v>14</v>
      </c>
      <c r="I3629" s="4" t="n">
        <f aca="false">D3629*F3629</f>
        <v>8.07</v>
      </c>
      <c r="J3629" s="3" t="n">
        <f aca="false">IF(AND(LEFT(A3629,1)&lt;&gt;"C",D3629&gt;0,F3629&gt;0),1,0)</f>
        <v>1</v>
      </c>
      <c r="K3629" s="3" t="n">
        <f aca="false">IF(AND(H3629="United Kingdom",G3629&lt;&gt;"",COUNTIFS($G$2:G3629,G3629,$H$2:H3629,"United Kingdom")=1),1,0)</f>
        <v>0</v>
      </c>
    </row>
    <row r="3630" customFormat="false" ht="15" hidden="false" customHeight="false" outlineLevel="0" collapsed="false">
      <c r="A3630" s="0" t="s">
        <v>750</v>
      </c>
      <c r="B3630" s="0" t="s">
        <v>43</v>
      </c>
      <c r="C3630" s="0" t="s">
        <v>44</v>
      </c>
      <c r="D3630" s="0" t="n">
        <v>2</v>
      </c>
      <c r="E3630" s="2" t="n">
        <v>40846.4951388889</v>
      </c>
      <c r="F3630" s="0" t="n">
        <v>1.35</v>
      </c>
      <c r="G3630" s="0" t="n">
        <v>16940</v>
      </c>
      <c r="H3630" s="3" t="s">
        <v>14</v>
      </c>
      <c r="I3630" s="4" t="n">
        <f aca="false">D3630*F3630</f>
        <v>2.7</v>
      </c>
      <c r="J3630" s="3" t="n">
        <f aca="false">IF(AND(LEFT(A3630,1)&lt;&gt;"C",D3630&gt;0,F3630&gt;0),1,0)</f>
        <v>1</v>
      </c>
      <c r="K3630" s="3" t="n">
        <f aca="false">IF(AND(H3630="United Kingdom",G3630&lt;&gt;"",COUNTIFS($G$2:G3630,G3630,$H$2:H3630,"United Kingdom")=1),1,0)</f>
        <v>0</v>
      </c>
    </row>
    <row r="3631" customFormat="false" ht="15" hidden="false" customHeight="false" outlineLevel="0" collapsed="false">
      <c r="A3631" s="0" t="s">
        <v>750</v>
      </c>
      <c r="B3631" s="0" t="s">
        <v>48</v>
      </c>
      <c r="C3631" s="0" t="s">
        <v>49</v>
      </c>
      <c r="D3631" s="0" t="n">
        <v>2</v>
      </c>
      <c r="E3631" s="2" t="n">
        <v>40846.4951388889</v>
      </c>
      <c r="F3631" s="0" t="n">
        <v>1.35</v>
      </c>
      <c r="G3631" s="0" t="n">
        <v>16940</v>
      </c>
      <c r="H3631" s="3" t="s">
        <v>14</v>
      </c>
      <c r="I3631" s="4" t="n">
        <f aca="false">D3631*F3631</f>
        <v>2.7</v>
      </c>
      <c r="J3631" s="3" t="n">
        <f aca="false">IF(AND(LEFT(A3631,1)&lt;&gt;"C",D3631&gt;0,F3631&gt;0),1,0)</f>
        <v>1</v>
      </c>
      <c r="K3631" s="3" t="n">
        <f aca="false">IF(AND(H3631="United Kingdom",G3631&lt;&gt;"",COUNTIFS($G$2:G3631,G3631,$H$2:H3631,"United Kingdom")=1),1,0)</f>
        <v>0</v>
      </c>
    </row>
    <row r="3632" customFormat="false" ht="15" hidden="false" customHeight="false" outlineLevel="0" collapsed="false">
      <c r="A3632" s="0" t="s">
        <v>750</v>
      </c>
      <c r="B3632" s="0" t="s">
        <v>25</v>
      </c>
      <c r="C3632" s="0" t="s">
        <v>26</v>
      </c>
      <c r="D3632" s="0" t="n">
        <v>1</v>
      </c>
      <c r="E3632" s="2" t="n">
        <v>40846.4951388889</v>
      </c>
      <c r="F3632" s="0" t="n">
        <v>2.21</v>
      </c>
      <c r="G3632" s="0" t="n">
        <v>16940</v>
      </c>
      <c r="H3632" s="3" t="s">
        <v>14</v>
      </c>
      <c r="I3632" s="4" t="n">
        <f aca="false">D3632*F3632</f>
        <v>2.21</v>
      </c>
      <c r="J3632" s="3" t="n">
        <f aca="false">IF(AND(LEFT(A3632,1)&lt;&gt;"C",D3632&gt;0,F3632&gt;0),1,0)</f>
        <v>1</v>
      </c>
      <c r="K3632" s="3" t="n">
        <f aca="false">IF(AND(H3632="United Kingdom",G3632&lt;&gt;"",COUNTIFS($G$2:G3632,G3632,$H$2:H3632,"United Kingdom")=1),1,0)</f>
        <v>0</v>
      </c>
    </row>
    <row r="3633" customFormat="false" ht="15" hidden="false" customHeight="false" outlineLevel="0" collapsed="false">
      <c r="A3633" s="0" t="s">
        <v>750</v>
      </c>
      <c r="B3633" s="0" t="s">
        <v>27</v>
      </c>
      <c r="C3633" s="0" t="s">
        <v>28</v>
      </c>
      <c r="D3633" s="0" t="n">
        <v>2</v>
      </c>
      <c r="E3633" s="2" t="n">
        <v>40846.4951388889</v>
      </c>
      <c r="F3633" s="0" t="n">
        <v>4.55</v>
      </c>
      <c r="G3633" s="0" t="n">
        <v>16940</v>
      </c>
      <c r="H3633" s="3" t="s">
        <v>14</v>
      </c>
      <c r="I3633" s="4" t="n">
        <f aca="false">D3633*F3633</f>
        <v>9.1</v>
      </c>
      <c r="J3633" s="3" t="n">
        <f aca="false">IF(AND(LEFT(A3633,1)&lt;&gt;"C",D3633&gt;0,F3633&gt;0),1,0)</f>
        <v>1</v>
      </c>
      <c r="K3633" s="3" t="n">
        <f aca="false">IF(AND(H3633="United Kingdom",G3633&lt;&gt;"",COUNTIFS($G$2:G3633,G3633,$H$2:H3633,"United Kingdom")=1),1,0)</f>
        <v>0</v>
      </c>
    </row>
    <row r="3634" customFormat="false" ht="15" hidden="false" customHeight="false" outlineLevel="0" collapsed="false">
      <c r="A3634" s="0" t="s">
        <v>750</v>
      </c>
      <c r="B3634" s="0" t="s">
        <v>80</v>
      </c>
      <c r="C3634" s="0" t="s">
        <v>81</v>
      </c>
      <c r="D3634" s="0" t="n">
        <v>2</v>
      </c>
      <c r="E3634" s="2" t="n">
        <v>40846.4951388889</v>
      </c>
      <c r="F3634" s="0" t="n">
        <v>1.53</v>
      </c>
      <c r="G3634" s="0" t="n">
        <v>16940</v>
      </c>
      <c r="H3634" s="3" t="s">
        <v>14</v>
      </c>
      <c r="I3634" s="4" t="n">
        <f aca="false">D3634*F3634</f>
        <v>3.06</v>
      </c>
      <c r="J3634" s="3" t="n">
        <f aca="false">IF(AND(LEFT(A3634,1)&lt;&gt;"C",D3634&gt;0,F3634&gt;0),1,0)</f>
        <v>1</v>
      </c>
      <c r="K3634" s="3" t="n">
        <f aca="false">IF(AND(H3634="United Kingdom",G3634&lt;&gt;"",COUNTIFS($G$2:G3634,G3634,$H$2:H3634,"United Kingdom")=1),1,0)</f>
        <v>0</v>
      </c>
    </row>
    <row r="3635" customFormat="false" ht="15" hidden="false" customHeight="false" outlineLevel="0" collapsed="false">
      <c r="A3635" s="0" t="s">
        <v>750</v>
      </c>
      <c r="B3635" s="0" t="s">
        <v>39</v>
      </c>
      <c r="C3635" s="0" t="s">
        <v>40</v>
      </c>
      <c r="D3635" s="0" t="n">
        <v>12</v>
      </c>
      <c r="E3635" s="2" t="n">
        <v>40846.4951388889</v>
      </c>
      <c r="F3635" s="0" t="n">
        <v>2.58</v>
      </c>
      <c r="G3635" s="0" t="n">
        <v>16940</v>
      </c>
      <c r="H3635" s="3" t="s">
        <v>14</v>
      </c>
      <c r="I3635" s="4" t="n">
        <f aca="false">D3635*F3635</f>
        <v>30.96</v>
      </c>
      <c r="J3635" s="3" t="n">
        <f aca="false">IF(AND(LEFT(A3635,1)&lt;&gt;"C",D3635&gt;0,F3635&gt;0),1,0)</f>
        <v>1</v>
      </c>
      <c r="K3635" s="3" t="n">
        <f aca="false">IF(AND(H3635="United Kingdom",G3635&lt;&gt;"",COUNTIFS($G$2:G3635,G3635,$H$2:H3635,"United Kingdom")=1),1,0)</f>
        <v>0</v>
      </c>
    </row>
    <row r="3636" customFormat="false" ht="15" hidden="false" customHeight="false" outlineLevel="0" collapsed="false">
      <c r="A3636" s="0" t="s">
        <v>751</v>
      </c>
      <c r="B3636" s="0" t="s">
        <v>27</v>
      </c>
      <c r="C3636" s="0" t="s">
        <v>28</v>
      </c>
      <c r="D3636" s="0" t="n">
        <v>12</v>
      </c>
      <c r="E3636" s="2" t="n">
        <v>40846.5673611111</v>
      </c>
      <c r="F3636" s="0" t="n">
        <v>4.55</v>
      </c>
      <c r="G3636" s="0" t="n">
        <v>16395</v>
      </c>
      <c r="H3636" s="3" t="s">
        <v>14</v>
      </c>
      <c r="I3636" s="4" t="n">
        <f aca="false">D3636*F3636</f>
        <v>54.6</v>
      </c>
      <c r="J3636" s="3" t="n">
        <f aca="false">IF(AND(LEFT(A3636,1)&lt;&gt;"C",D3636&gt;0,F3636&gt;0),1,0)</f>
        <v>1</v>
      </c>
      <c r="K3636" s="3" t="n">
        <f aca="false">IF(AND(H3636="United Kingdom",G3636&lt;&gt;"",COUNTIFS($G$2:G3636,G3636,$H$2:H3636,"United Kingdom")=1),1,0)</f>
        <v>0</v>
      </c>
    </row>
    <row r="3637" customFormat="false" ht="15" hidden="false" customHeight="false" outlineLevel="0" collapsed="false">
      <c r="A3637" s="0" t="s">
        <v>751</v>
      </c>
      <c r="B3637" s="0" t="s">
        <v>37</v>
      </c>
      <c r="C3637" s="0" t="s">
        <v>38</v>
      </c>
      <c r="D3637" s="0" t="n">
        <v>3</v>
      </c>
      <c r="E3637" s="2" t="n">
        <v>40846.5673611111</v>
      </c>
      <c r="F3637" s="0" t="n">
        <v>1.82</v>
      </c>
      <c r="G3637" s="0" t="n">
        <v>16395</v>
      </c>
      <c r="H3637" s="3" t="s">
        <v>14</v>
      </c>
      <c r="I3637" s="4" t="n">
        <f aca="false">D3637*F3637</f>
        <v>5.46</v>
      </c>
      <c r="J3637" s="3" t="n">
        <f aca="false">IF(AND(LEFT(A3637,1)&lt;&gt;"C",D3637&gt;0,F3637&gt;0),1,0)</f>
        <v>1</v>
      </c>
      <c r="K3637" s="3" t="n">
        <f aca="false">IF(AND(H3637="United Kingdom",G3637&lt;&gt;"",COUNTIFS($G$2:G3637,G3637,$H$2:H3637,"United Kingdom")=1),1,0)</f>
        <v>0</v>
      </c>
    </row>
    <row r="3638" customFormat="false" ht="15" hidden="false" customHeight="false" outlineLevel="0" collapsed="false">
      <c r="A3638" s="0" t="s">
        <v>751</v>
      </c>
      <c r="B3638" s="0" t="s">
        <v>29</v>
      </c>
      <c r="C3638" s="0" t="s">
        <v>30</v>
      </c>
      <c r="D3638" s="0" t="n">
        <v>6</v>
      </c>
      <c r="E3638" s="2" t="n">
        <v>40846.5673611111</v>
      </c>
      <c r="F3638" s="0" t="n">
        <v>5.79</v>
      </c>
      <c r="G3638" s="0" t="n">
        <v>16395</v>
      </c>
      <c r="H3638" s="3" t="s">
        <v>14</v>
      </c>
      <c r="I3638" s="4" t="n">
        <f aca="false">D3638*F3638</f>
        <v>34.74</v>
      </c>
      <c r="J3638" s="3" t="n">
        <f aca="false">IF(AND(LEFT(A3638,1)&lt;&gt;"C",D3638&gt;0,F3638&gt;0),1,0)</f>
        <v>1</v>
      </c>
      <c r="K3638" s="3" t="n">
        <f aca="false">IF(AND(H3638="United Kingdom",G3638&lt;&gt;"",COUNTIFS($G$2:G3638,G3638,$H$2:H3638,"United Kingdom")=1),1,0)</f>
        <v>0</v>
      </c>
    </row>
    <row r="3639" customFormat="false" ht="15" hidden="false" customHeight="false" outlineLevel="0" collapsed="false">
      <c r="A3639" s="0" t="s">
        <v>752</v>
      </c>
      <c r="B3639" s="0" t="s">
        <v>37</v>
      </c>
      <c r="C3639" s="0" t="s">
        <v>38</v>
      </c>
      <c r="D3639" s="0" t="n">
        <v>4</v>
      </c>
      <c r="E3639" s="2" t="n">
        <v>40847.3763888889</v>
      </c>
      <c r="F3639" s="0" t="n">
        <v>1.82</v>
      </c>
      <c r="G3639" s="0" t="n">
        <v>16828</v>
      </c>
      <c r="H3639" s="3" t="s">
        <v>14</v>
      </c>
      <c r="I3639" s="4" t="n">
        <f aca="false">D3639*F3639</f>
        <v>7.28</v>
      </c>
      <c r="J3639" s="3" t="n">
        <f aca="false">IF(AND(LEFT(A3639,1)&lt;&gt;"C",D3639&gt;0,F3639&gt;0),1,0)</f>
        <v>1</v>
      </c>
      <c r="K3639" s="3" t="n">
        <f aca="false">IF(AND(H3639="United Kingdom",G3639&lt;&gt;"",COUNTIFS($G$2:G3639,G3639,$H$2:H3639,"United Kingdom")=1),1,0)</f>
        <v>0</v>
      </c>
    </row>
    <row r="3640" customFormat="false" ht="15" hidden="false" customHeight="false" outlineLevel="0" collapsed="false">
      <c r="A3640" s="0" t="s">
        <v>752</v>
      </c>
      <c r="B3640" s="0" t="s">
        <v>52</v>
      </c>
      <c r="C3640" s="0" t="s">
        <v>53</v>
      </c>
      <c r="D3640" s="0" t="n">
        <v>8</v>
      </c>
      <c r="E3640" s="2" t="n">
        <v>40847.3763888889</v>
      </c>
      <c r="F3640" s="0" t="n">
        <v>4.16</v>
      </c>
      <c r="G3640" s="0" t="n">
        <v>16828</v>
      </c>
      <c r="H3640" s="3" t="s">
        <v>14</v>
      </c>
      <c r="I3640" s="4" t="n">
        <f aca="false">D3640*F3640</f>
        <v>33.28</v>
      </c>
      <c r="J3640" s="3" t="n">
        <f aca="false">IF(AND(LEFT(A3640,1)&lt;&gt;"C",D3640&gt;0,F3640&gt;0),1,0)</f>
        <v>1</v>
      </c>
      <c r="K3640" s="3" t="n">
        <f aca="false">IF(AND(H3640="United Kingdom",G3640&lt;&gt;"",COUNTIFS($G$2:G3640,G3640,$H$2:H3640,"United Kingdom")=1),1,0)</f>
        <v>0</v>
      </c>
    </row>
    <row r="3641" customFormat="false" ht="15" hidden="false" customHeight="false" outlineLevel="0" collapsed="false">
      <c r="A3641" s="0" t="s">
        <v>752</v>
      </c>
      <c r="B3641" s="0" t="s">
        <v>68</v>
      </c>
      <c r="C3641" s="0" t="s">
        <v>69</v>
      </c>
      <c r="D3641" s="0" t="n">
        <v>1</v>
      </c>
      <c r="E3641" s="2" t="n">
        <v>40847.3763888889</v>
      </c>
      <c r="F3641" s="0" t="n">
        <v>1.26</v>
      </c>
      <c r="G3641" s="0" t="n">
        <v>16828</v>
      </c>
      <c r="H3641" s="3" t="s">
        <v>14</v>
      </c>
      <c r="I3641" s="4" t="n">
        <f aca="false">D3641*F3641</f>
        <v>1.26</v>
      </c>
      <c r="J3641" s="3" t="n">
        <f aca="false">IF(AND(LEFT(A3641,1)&lt;&gt;"C",D3641&gt;0,F3641&gt;0),1,0)</f>
        <v>1</v>
      </c>
      <c r="K3641" s="3" t="n">
        <f aca="false">IF(AND(H3641="United Kingdom",G3641&lt;&gt;"",COUNTIFS($G$2:G3641,G3641,$H$2:H3641,"United Kingdom")=1),1,0)</f>
        <v>0</v>
      </c>
    </row>
    <row r="3642" customFormat="false" ht="15" hidden="false" customHeight="false" outlineLevel="0" collapsed="false">
      <c r="A3642" s="0" t="s">
        <v>752</v>
      </c>
      <c r="B3642" s="0" t="s">
        <v>90</v>
      </c>
      <c r="C3642" s="0" t="s">
        <v>91</v>
      </c>
      <c r="D3642" s="0" t="n">
        <v>8</v>
      </c>
      <c r="E3642" s="2" t="n">
        <v>40847.3763888889</v>
      </c>
      <c r="F3642" s="0" t="n">
        <v>3.04</v>
      </c>
      <c r="G3642" s="0" t="n">
        <v>16828</v>
      </c>
      <c r="H3642" s="3" t="s">
        <v>14</v>
      </c>
      <c r="I3642" s="4" t="n">
        <f aca="false">D3642*F3642</f>
        <v>24.32</v>
      </c>
      <c r="J3642" s="3" t="n">
        <f aca="false">IF(AND(LEFT(A3642,1)&lt;&gt;"C",D3642&gt;0,F3642&gt;0),1,0)</f>
        <v>1</v>
      </c>
      <c r="K3642" s="3" t="n">
        <f aca="false">IF(AND(H3642="United Kingdom",G3642&lt;&gt;"",COUNTIFS($G$2:G3642,G3642,$H$2:H3642,"United Kingdom")=1),1,0)</f>
        <v>0</v>
      </c>
    </row>
    <row r="3643" customFormat="false" ht="15" hidden="false" customHeight="false" outlineLevel="0" collapsed="false">
      <c r="A3643" s="0" t="s">
        <v>752</v>
      </c>
      <c r="B3643" s="0" t="s">
        <v>80</v>
      </c>
      <c r="C3643" s="0" t="s">
        <v>81</v>
      </c>
      <c r="D3643" s="0" t="n">
        <v>1</v>
      </c>
      <c r="E3643" s="2" t="n">
        <v>40847.3763888889</v>
      </c>
      <c r="F3643" s="0" t="n">
        <v>1.53</v>
      </c>
      <c r="G3643" s="0" t="n">
        <v>16828</v>
      </c>
      <c r="H3643" s="3" t="s">
        <v>14</v>
      </c>
      <c r="I3643" s="4" t="n">
        <f aca="false">D3643*F3643</f>
        <v>1.53</v>
      </c>
      <c r="J3643" s="3" t="n">
        <f aca="false">IF(AND(LEFT(A3643,1)&lt;&gt;"C",D3643&gt;0,F3643&gt;0),1,0)</f>
        <v>1</v>
      </c>
      <c r="K3643" s="3" t="n">
        <f aca="false">IF(AND(H3643="United Kingdom",G3643&lt;&gt;"",COUNTIFS($G$2:G3643,G3643,$H$2:H3643,"United Kingdom")=1),1,0)</f>
        <v>0</v>
      </c>
    </row>
    <row r="3644" customFormat="false" ht="15" hidden="false" customHeight="false" outlineLevel="0" collapsed="false">
      <c r="A3644" s="0" t="s">
        <v>752</v>
      </c>
      <c r="B3644" s="0" t="s">
        <v>22</v>
      </c>
      <c r="C3644" s="0" t="s">
        <v>23</v>
      </c>
      <c r="D3644" s="0" t="n">
        <v>8</v>
      </c>
      <c r="E3644" s="2" t="n">
        <v>40847.3763888889</v>
      </c>
      <c r="F3644" s="0" t="n">
        <v>3.18</v>
      </c>
      <c r="G3644" s="0" t="n">
        <v>16828</v>
      </c>
      <c r="H3644" s="3" t="s">
        <v>14</v>
      </c>
      <c r="I3644" s="4" t="n">
        <f aca="false">D3644*F3644</f>
        <v>25.44</v>
      </c>
      <c r="J3644" s="3" t="n">
        <f aca="false">IF(AND(LEFT(A3644,1)&lt;&gt;"C",D3644&gt;0,F3644&gt;0),1,0)</f>
        <v>1</v>
      </c>
      <c r="K3644" s="3" t="n">
        <f aca="false">IF(AND(H3644="United Kingdom",G3644&lt;&gt;"",COUNTIFS($G$2:G3644,G3644,$H$2:H3644,"United Kingdom")=1),1,0)</f>
        <v>0</v>
      </c>
    </row>
    <row r="3645" customFormat="false" ht="15" hidden="false" customHeight="false" outlineLevel="0" collapsed="false">
      <c r="A3645" s="0" t="s">
        <v>752</v>
      </c>
      <c r="B3645" s="0" t="s">
        <v>48</v>
      </c>
      <c r="C3645" s="0" t="s">
        <v>49</v>
      </c>
      <c r="D3645" s="0" t="n">
        <v>1</v>
      </c>
      <c r="E3645" s="2" t="n">
        <v>40847.3763888889</v>
      </c>
      <c r="F3645" s="0" t="n">
        <v>1.35</v>
      </c>
      <c r="G3645" s="0" t="n">
        <v>16828</v>
      </c>
      <c r="H3645" s="3" t="s">
        <v>14</v>
      </c>
      <c r="I3645" s="4" t="n">
        <f aca="false">D3645*F3645</f>
        <v>1.35</v>
      </c>
      <c r="J3645" s="3" t="n">
        <f aca="false">IF(AND(LEFT(A3645,1)&lt;&gt;"C",D3645&gt;0,F3645&gt;0),1,0)</f>
        <v>1</v>
      </c>
      <c r="K3645" s="3" t="n">
        <f aca="false">IF(AND(H3645="United Kingdom",G3645&lt;&gt;"",COUNTIFS($G$2:G3645,G3645,$H$2:H3645,"United Kingdom")=1),1,0)</f>
        <v>0</v>
      </c>
    </row>
    <row r="3646" customFormat="false" ht="15" hidden="false" customHeight="false" outlineLevel="0" collapsed="false">
      <c r="A3646" s="0" t="s">
        <v>752</v>
      </c>
      <c r="B3646" s="0" t="s">
        <v>50</v>
      </c>
      <c r="C3646" s="0" t="s">
        <v>51</v>
      </c>
      <c r="D3646" s="0" t="n">
        <v>12</v>
      </c>
      <c r="E3646" s="2" t="n">
        <v>40847.3763888889</v>
      </c>
      <c r="F3646" s="0" t="n">
        <v>5.41</v>
      </c>
      <c r="G3646" s="0" t="n">
        <v>16828</v>
      </c>
      <c r="H3646" s="3" t="s">
        <v>14</v>
      </c>
      <c r="I3646" s="4" t="n">
        <f aca="false">D3646*F3646</f>
        <v>64.92</v>
      </c>
      <c r="J3646" s="3" t="n">
        <f aca="false">IF(AND(LEFT(A3646,1)&lt;&gt;"C",D3646&gt;0,F3646&gt;0),1,0)</f>
        <v>1</v>
      </c>
      <c r="K3646" s="3" t="n">
        <f aca="false">IF(AND(H3646="United Kingdom",G3646&lt;&gt;"",COUNTIFS($G$2:G3646,G3646,$H$2:H3646,"United Kingdom")=1),1,0)</f>
        <v>0</v>
      </c>
    </row>
    <row r="3647" customFormat="false" ht="15" hidden="false" customHeight="false" outlineLevel="0" collapsed="false">
      <c r="A3647" s="0" t="s">
        <v>753</v>
      </c>
      <c r="B3647" s="0" t="s">
        <v>22</v>
      </c>
      <c r="C3647" s="0" t="s">
        <v>23</v>
      </c>
      <c r="D3647" s="0" t="n">
        <v>8</v>
      </c>
      <c r="E3647" s="2" t="n">
        <v>40847.6215277778</v>
      </c>
      <c r="F3647" s="0" t="n">
        <v>3.18</v>
      </c>
      <c r="G3647" s="0" t="n">
        <v>16066</v>
      </c>
      <c r="H3647" s="3" t="s">
        <v>14</v>
      </c>
      <c r="I3647" s="4" t="n">
        <f aca="false">D3647*F3647</f>
        <v>25.44</v>
      </c>
      <c r="J3647" s="3" t="n">
        <f aca="false">IF(AND(LEFT(A3647,1)&lt;&gt;"C",D3647&gt;0,F3647&gt;0),1,0)</f>
        <v>1</v>
      </c>
      <c r="K3647" s="3" t="n">
        <f aca="false">IF(AND(H3647="United Kingdom",G3647&lt;&gt;"",COUNTIFS($G$2:G3647,G3647,$H$2:H3647,"United Kingdom")=1),1,0)</f>
        <v>0</v>
      </c>
    </row>
    <row r="3648" customFormat="false" ht="15" hidden="false" customHeight="false" outlineLevel="0" collapsed="false">
      <c r="A3648" s="0" t="s">
        <v>753</v>
      </c>
      <c r="B3648" s="0" t="s">
        <v>60</v>
      </c>
      <c r="C3648" s="0" t="s">
        <v>61</v>
      </c>
      <c r="D3648" s="0" t="n">
        <v>8</v>
      </c>
      <c r="E3648" s="2" t="n">
        <v>40847.6215277778</v>
      </c>
      <c r="F3648" s="0" t="n">
        <v>0.63</v>
      </c>
      <c r="G3648" s="0" t="n">
        <v>16066</v>
      </c>
      <c r="H3648" s="3" t="s">
        <v>14</v>
      </c>
      <c r="I3648" s="4" t="n">
        <f aca="false">D3648*F3648</f>
        <v>5.04</v>
      </c>
      <c r="J3648" s="3" t="n">
        <f aca="false">IF(AND(LEFT(A3648,1)&lt;&gt;"C",D3648&gt;0,F3648&gt;0),1,0)</f>
        <v>1</v>
      </c>
      <c r="K3648" s="3" t="n">
        <f aca="false">IF(AND(H3648="United Kingdom",G3648&lt;&gt;"",COUNTIFS($G$2:G3648,G3648,$H$2:H3648,"United Kingdom")=1),1,0)</f>
        <v>0</v>
      </c>
    </row>
    <row r="3649" customFormat="false" ht="15" hidden="false" customHeight="false" outlineLevel="0" collapsed="false">
      <c r="A3649" s="0" t="s">
        <v>754</v>
      </c>
      <c r="B3649" s="0" t="s">
        <v>43</v>
      </c>
      <c r="C3649" s="0" t="s">
        <v>44</v>
      </c>
      <c r="D3649" s="0" t="n">
        <v>-1</v>
      </c>
      <c r="E3649" s="2" t="n">
        <v>40847.6256944445</v>
      </c>
      <c r="F3649" s="0" t="n">
        <v>1.35</v>
      </c>
      <c r="G3649" s="0" t="n">
        <v>13911</v>
      </c>
      <c r="H3649" s="3" t="s">
        <v>14</v>
      </c>
      <c r="I3649" s="4" t="n">
        <f aca="false">D3649*F3649</f>
        <v>-1.35</v>
      </c>
      <c r="J3649" s="3" t="n">
        <f aca="false">IF(AND(LEFT(A3649,1)&lt;&gt;"C",D3649&gt;0,F3649&gt;0),1,0)</f>
        <v>0</v>
      </c>
      <c r="K3649" s="3" t="n">
        <f aca="false">IF(AND(H3649="United Kingdom",G3649&lt;&gt;"",COUNTIFS($G$2:G3649,G3649,$H$2:H3649,"United Kingdom")=1),1,0)</f>
        <v>0</v>
      </c>
    </row>
    <row r="3650" customFormat="false" ht="15" hidden="false" customHeight="false" outlineLevel="0" collapsed="false">
      <c r="A3650" s="0" t="s">
        <v>755</v>
      </c>
      <c r="B3650" s="0" t="s">
        <v>29</v>
      </c>
      <c r="C3650" s="0" t="s">
        <v>30</v>
      </c>
      <c r="D3650" s="0" t="n">
        <v>3</v>
      </c>
      <c r="E3650" s="2" t="n">
        <v>40847.7361111111</v>
      </c>
      <c r="F3650" s="0" t="n">
        <v>5.79</v>
      </c>
      <c r="H3650" s="3" t="s">
        <v>14</v>
      </c>
      <c r="I3650" s="4" t="n">
        <f aca="false">D3650*F3650</f>
        <v>17.37</v>
      </c>
      <c r="J3650" s="3" t="n">
        <f aca="false">IF(AND(LEFT(A3650,1)&lt;&gt;"C",D3650&gt;0,F3650&gt;0),1,0)</f>
        <v>1</v>
      </c>
      <c r="K3650" s="3" t="n">
        <f aca="false">IF(AND(H3650="United Kingdom",G3650&lt;&gt;"",COUNTIFS($G$2:G3650,G3650,$H$2:H3650,"United Kingdom")=1),1,0)</f>
        <v>0</v>
      </c>
    </row>
    <row r="3651" customFormat="false" ht="15" hidden="false" customHeight="false" outlineLevel="0" collapsed="false">
      <c r="A3651" s="0" t="s">
        <v>755</v>
      </c>
      <c r="B3651" s="0" t="s">
        <v>20</v>
      </c>
      <c r="C3651" s="0" t="s">
        <v>21</v>
      </c>
      <c r="D3651" s="0" t="n">
        <v>8</v>
      </c>
      <c r="E3651" s="2" t="n">
        <v>40847.7361111111</v>
      </c>
      <c r="F3651" s="0" t="n">
        <v>4.24</v>
      </c>
      <c r="H3651" s="3" t="s">
        <v>14</v>
      </c>
      <c r="I3651" s="4" t="n">
        <f aca="false">D3651*F3651</f>
        <v>33.92</v>
      </c>
      <c r="J3651" s="3" t="n">
        <f aca="false">IF(AND(LEFT(A3651,1)&lt;&gt;"C",D3651&gt;0,F3651&gt;0),1,0)</f>
        <v>1</v>
      </c>
      <c r="K3651" s="3" t="n">
        <f aca="false">IF(AND(H3651="United Kingdom",G3651&lt;&gt;"",COUNTIFS($G$2:G3651,G3651,$H$2:H3651,"United Kingdom")=1),1,0)</f>
        <v>0</v>
      </c>
    </row>
    <row r="3652" customFormat="false" ht="15" hidden="false" customHeight="false" outlineLevel="0" collapsed="false">
      <c r="A3652" s="0" t="s">
        <v>755</v>
      </c>
      <c r="B3652" s="0" t="s">
        <v>25</v>
      </c>
      <c r="C3652" s="0" t="s">
        <v>26</v>
      </c>
      <c r="D3652" s="0" t="n">
        <v>2</v>
      </c>
      <c r="E3652" s="2" t="n">
        <v>40847.7361111111</v>
      </c>
      <c r="F3652" s="0" t="n">
        <v>2.21</v>
      </c>
      <c r="H3652" s="3" t="s">
        <v>14</v>
      </c>
      <c r="I3652" s="4" t="n">
        <f aca="false">D3652*F3652</f>
        <v>4.42</v>
      </c>
      <c r="J3652" s="3" t="n">
        <f aca="false">IF(AND(LEFT(A3652,1)&lt;&gt;"C",D3652&gt;0,F3652&gt;0),1,0)</f>
        <v>1</v>
      </c>
      <c r="K3652" s="3" t="n">
        <f aca="false">IF(AND(H3652="United Kingdom",G3652&lt;&gt;"",COUNTIFS($G$2:G3652,G3652,$H$2:H3652,"United Kingdom")=1),1,0)</f>
        <v>0</v>
      </c>
    </row>
    <row r="3653" customFormat="false" ht="15" hidden="false" customHeight="false" outlineLevel="0" collapsed="false">
      <c r="A3653" s="0" t="s">
        <v>755</v>
      </c>
      <c r="B3653" s="0" t="s">
        <v>48</v>
      </c>
      <c r="C3653" s="0" t="s">
        <v>49</v>
      </c>
      <c r="D3653" s="0" t="n">
        <v>24</v>
      </c>
      <c r="E3653" s="2" t="n">
        <v>40847.7361111111</v>
      </c>
      <c r="F3653" s="0" t="n">
        <v>1.35</v>
      </c>
      <c r="H3653" s="3" t="s">
        <v>14</v>
      </c>
      <c r="I3653" s="4" t="n">
        <f aca="false">D3653*F3653</f>
        <v>32.4</v>
      </c>
      <c r="J3653" s="3" t="n">
        <f aca="false">IF(AND(LEFT(A3653,1)&lt;&gt;"C",D3653&gt;0,F3653&gt;0),1,0)</f>
        <v>1</v>
      </c>
      <c r="K3653" s="3" t="n">
        <f aca="false">IF(AND(H3653="United Kingdom",G3653&lt;&gt;"",COUNTIFS($G$2:G3653,G3653,$H$2:H3653,"United Kingdom")=1),1,0)</f>
        <v>0</v>
      </c>
    </row>
    <row r="3654" customFormat="false" ht="15" hidden="false" customHeight="false" outlineLevel="0" collapsed="false">
      <c r="A3654" s="0" t="s">
        <v>756</v>
      </c>
      <c r="B3654" s="0" t="s">
        <v>39</v>
      </c>
      <c r="C3654" s="0" t="s">
        <v>40</v>
      </c>
      <c r="D3654" s="0" t="n">
        <v>3</v>
      </c>
      <c r="E3654" s="2" t="n">
        <v>40847.7909722222</v>
      </c>
      <c r="F3654" s="0" t="n">
        <v>2.58</v>
      </c>
      <c r="G3654" s="0" t="n">
        <v>14601</v>
      </c>
      <c r="H3654" s="3" t="s">
        <v>14</v>
      </c>
      <c r="I3654" s="4" t="n">
        <f aca="false">D3654*F3654</f>
        <v>7.74</v>
      </c>
      <c r="J3654" s="3" t="n">
        <f aca="false">IF(AND(LEFT(A3654,1)&lt;&gt;"C",D3654&gt;0,F3654&gt;0),1,0)</f>
        <v>1</v>
      </c>
      <c r="K3654" s="3" t="n">
        <f aca="false">IF(AND(H3654="United Kingdom",G3654&lt;&gt;"",COUNTIFS($G$2:G3654,G3654,$H$2:H3654,"United Kingdom")=1),1,0)</f>
        <v>0</v>
      </c>
    </row>
    <row r="3655" customFormat="false" ht="15" hidden="false" customHeight="false" outlineLevel="0" collapsed="false">
      <c r="A3655" s="0" t="s">
        <v>756</v>
      </c>
      <c r="B3655" s="0" t="s">
        <v>25</v>
      </c>
      <c r="C3655" s="0" t="s">
        <v>26</v>
      </c>
      <c r="D3655" s="0" t="n">
        <v>8</v>
      </c>
      <c r="E3655" s="2" t="n">
        <v>40847.7909722222</v>
      </c>
      <c r="F3655" s="0" t="n">
        <v>2.21</v>
      </c>
      <c r="G3655" s="0" t="n">
        <v>14601</v>
      </c>
      <c r="H3655" s="3" t="s">
        <v>14</v>
      </c>
      <c r="I3655" s="4" t="n">
        <f aca="false">D3655*F3655</f>
        <v>17.68</v>
      </c>
      <c r="J3655" s="3" t="n">
        <f aca="false">IF(AND(LEFT(A3655,1)&lt;&gt;"C",D3655&gt;0,F3655&gt;0),1,0)</f>
        <v>1</v>
      </c>
      <c r="K3655" s="3" t="n">
        <f aca="false">IF(AND(H3655="United Kingdom",G3655&lt;&gt;"",COUNTIFS($G$2:G3655,G3655,$H$2:H3655,"United Kingdom")=1),1,0)</f>
        <v>0</v>
      </c>
    </row>
    <row r="3656" customFormat="false" ht="15" hidden="false" customHeight="false" outlineLevel="0" collapsed="false">
      <c r="A3656" s="0" t="s">
        <v>756</v>
      </c>
      <c r="B3656" s="0" t="s">
        <v>37</v>
      </c>
      <c r="C3656" s="0" t="s">
        <v>38</v>
      </c>
      <c r="D3656" s="0" t="n">
        <v>3</v>
      </c>
      <c r="E3656" s="2" t="n">
        <v>40847.7909722222</v>
      </c>
      <c r="F3656" s="0" t="n">
        <v>1.82</v>
      </c>
      <c r="G3656" s="0" t="n">
        <v>14601</v>
      </c>
      <c r="H3656" s="3" t="s">
        <v>14</v>
      </c>
      <c r="I3656" s="4" t="n">
        <f aca="false">D3656*F3656</f>
        <v>5.46</v>
      </c>
      <c r="J3656" s="3" t="n">
        <f aca="false">IF(AND(LEFT(A3656,1)&lt;&gt;"C",D3656&gt;0,F3656&gt;0),1,0)</f>
        <v>1</v>
      </c>
      <c r="K3656" s="3" t="n">
        <f aca="false">IF(AND(H3656="United Kingdom",G3656&lt;&gt;"",COUNTIFS($G$2:G3656,G3656,$H$2:H3656,"United Kingdom")=1),1,0)</f>
        <v>0</v>
      </c>
    </row>
    <row r="3657" customFormat="false" ht="15" hidden="false" customHeight="false" outlineLevel="0" collapsed="false">
      <c r="A3657" s="0" t="s">
        <v>756</v>
      </c>
      <c r="B3657" s="0" t="s">
        <v>41</v>
      </c>
      <c r="C3657" s="0" t="s">
        <v>42</v>
      </c>
      <c r="D3657" s="0" t="n">
        <v>4</v>
      </c>
      <c r="E3657" s="2" t="n">
        <v>40847.7909722222</v>
      </c>
      <c r="F3657" s="0" t="n">
        <v>3.28</v>
      </c>
      <c r="G3657" s="0" t="n">
        <v>14601</v>
      </c>
      <c r="H3657" s="3" t="s">
        <v>14</v>
      </c>
      <c r="I3657" s="4" t="n">
        <f aca="false">D3657*F3657</f>
        <v>13.12</v>
      </c>
      <c r="J3657" s="3" t="n">
        <f aca="false">IF(AND(LEFT(A3657,1)&lt;&gt;"C",D3657&gt;0,F3657&gt;0),1,0)</f>
        <v>1</v>
      </c>
      <c r="K3657" s="3" t="n">
        <f aca="false">IF(AND(H3657="United Kingdom",G3657&lt;&gt;"",COUNTIFS($G$2:G3657,G3657,$H$2:H3657,"United Kingdom")=1),1,0)</f>
        <v>0</v>
      </c>
    </row>
    <row r="3658" customFormat="false" ht="15" hidden="false" customHeight="false" outlineLevel="0" collapsed="false">
      <c r="A3658" s="0" t="s">
        <v>757</v>
      </c>
      <c r="B3658" s="0" t="s">
        <v>27</v>
      </c>
      <c r="C3658" s="0" t="s">
        <v>28</v>
      </c>
      <c r="D3658" s="0" t="n">
        <v>4</v>
      </c>
      <c r="E3658" s="2" t="n">
        <v>40847.7951388889</v>
      </c>
      <c r="F3658" s="0" t="n">
        <v>4.55</v>
      </c>
      <c r="G3658" s="0" t="n">
        <v>15135</v>
      </c>
      <c r="H3658" s="3" t="s">
        <v>57</v>
      </c>
      <c r="I3658" s="4" t="n">
        <f aca="false">D3658*F3658</f>
        <v>18.2</v>
      </c>
      <c r="J3658" s="3" t="n">
        <f aca="false">IF(AND(LEFT(A3658,1)&lt;&gt;"C",D3658&gt;0,F3658&gt;0),1,0)</f>
        <v>1</v>
      </c>
      <c r="K3658" s="3" t="n">
        <f aca="false">IF(AND(H3658="United Kingdom",G3658&lt;&gt;"",COUNTIFS($G$2:G3658,G3658,$H$2:H3658,"United Kingdom")=1),1,0)</f>
        <v>0</v>
      </c>
    </row>
    <row r="3659" customFormat="false" ht="15" hidden="false" customHeight="false" outlineLevel="0" collapsed="false">
      <c r="A3659" s="0" t="s">
        <v>757</v>
      </c>
      <c r="B3659" s="0" t="s">
        <v>80</v>
      </c>
      <c r="C3659" s="0" t="s">
        <v>81</v>
      </c>
      <c r="D3659" s="0" t="n">
        <v>4</v>
      </c>
      <c r="E3659" s="2" t="n">
        <v>40847.7951388889</v>
      </c>
      <c r="F3659" s="0" t="n">
        <v>1.53</v>
      </c>
      <c r="G3659" s="0" t="n">
        <v>15135</v>
      </c>
      <c r="H3659" s="3" t="s">
        <v>57</v>
      </c>
      <c r="I3659" s="4" t="n">
        <f aca="false">D3659*F3659</f>
        <v>6.12</v>
      </c>
      <c r="J3659" s="3" t="n">
        <f aca="false">IF(AND(LEFT(A3659,1)&lt;&gt;"C",D3659&gt;0,F3659&gt;0),1,0)</f>
        <v>1</v>
      </c>
      <c r="K3659" s="3" t="n">
        <f aca="false">IF(AND(H3659="United Kingdom",G3659&lt;&gt;"",COUNTIFS($G$2:G3659,G3659,$H$2:H3659,"United Kingdom")=1),1,0)</f>
        <v>0</v>
      </c>
    </row>
    <row r="3660" customFormat="false" ht="15" hidden="false" customHeight="false" outlineLevel="0" collapsed="false">
      <c r="A3660" s="0" t="s">
        <v>757</v>
      </c>
      <c r="B3660" s="0" t="s">
        <v>52</v>
      </c>
      <c r="C3660" s="0" t="s">
        <v>53</v>
      </c>
      <c r="D3660" s="0" t="n">
        <v>25</v>
      </c>
      <c r="E3660" s="2" t="n">
        <v>40847.7951388889</v>
      </c>
      <c r="F3660" s="0" t="n">
        <v>4.16</v>
      </c>
      <c r="G3660" s="0" t="n">
        <v>15135</v>
      </c>
      <c r="H3660" s="3" t="s">
        <v>57</v>
      </c>
      <c r="I3660" s="4" t="n">
        <f aca="false">D3660*F3660</f>
        <v>104</v>
      </c>
      <c r="J3660" s="3" t="n">
        <f aca="false">IF(AND(LEFT(A3660,1)&lt;&gt;"C",D3660&gt;0,F3660&gt;0),1,0)</f>
        <v>1</v>
      </c>
      <c r="K3660" s="3" t="n">
        <f aca="false">IF(AND(H3660="United Kingdom",G3660&lt;&gt;"",COUNTIFS($G$2:G3660,G3660,$H$2:H3660,"United Kingdom")=1),1,0)</f>
        <v>0</v>
      </c>
    </row>
    <row r="3661" customFormat="false" ht="15" hidden="false" customHeight="false" outlineLevel="0" collapsed="false">
      <c r="A3661" s="0" t="s">
        <v>757</v>
      </c>
      <c r="B3661" s="0" t="s">
        <v>113</v>
      </c>
      <c r="C3661" s="0" t="s">
        <v>114</v>
      </c>
      <c r="D3661" s="0" t="n">
        <v>1</v>
      </c>
      <c r="E3661" s="2" t="n">
        <v>40847.7951388889</v>
      </c>
      <c r="F3661" s="0" t="n">
        <v>3.57</v>
      </c>
      <c r="G3661" s="0" t="n">
        <v>15135</v>
      </c>
      <c r="H3661" s="3" t="s">
        <v>57</v>
      </c>
      <c r="I3661" s="4" t="n">
        <f aca="false">D3661*F3661</f>
        <v>3.57</v>
      </c>
      <c r="J3661" s="3" t="n">
        <f aca="false">IF(AND(LEFT(A3661,1)&lt;&gt;"C",D3661&gt;0,F3661&gt;0),1,0)</f>
        <v>1</v>
      </c>
      <c r="K3661" s="3" t="n">
        <f aca="false">IF(AND(H3661="United Kingdom",G3661&lt;&gt;"",COUNTIFS($G$2:G3661,G3661,$H$2:H3661,"United Kingdom")=1),1,0)</f>
        <v>0</v>
      </c>
    </row>
    <row r="3662" customFormat="false" ht="15" hidden="false" customHeight="false" outlineLevel="0" collapsed="false">
      <c r="A3662" s="0" t="s">
        <v>757</v>
      </c>
      <c r="B3662" s="0" t="s">
        <v>68</v>
      </c>
      <c r="C3662" s="0" t="s">
        <v>69</v>
      </c>
      <c r="D3662" s="0" t="n">
        <v>3</v>
      </c>
      <c r="E3662" s="2" t="n">
        <v>40847.7951388889</v>
      </c>
      <c r="F3662" s="0" t="n">
        <v>1.26</v>
      </c>
      <c r="G3662" s="0" t="n">
        <v>15135</v>
      </c>
      <c r="H3662" s="3" t="s">
        <v>57</v>
      </c>
      <c r="I3662" s="4" t="n">
        <f aca="false">D3662*F3662</f>
        <v>3.78</v>
      </c>
      <c r="J3662" s="3" t="n">
        <f aca="false">IF(AND(LEFT(A3662,1)&lt;&gt;"C",D3662&gt;0,F3662&gt;0),1,0)</f>
        <v>1</v>
      </c>
      <c r="K3662" s="3" t="n">
        <f aca="false">IF(AND(H3662="United Kingdom",G3662&lt;&gt;"",COUNTIFS($G$2:G3662,G3662,$H$2:H3662,"United Kingdom")=1),1,0)</f>
        <v>0</v>
      </c>
    </row>
    <row r="3663" customFormat="false" ht="15" hidden="false" customHeight="false" outlineLevel="0" collapsed="false">
      <c r="A3663" s="0" t="s">
        <v>757</v>
      </c>
      <c r="B3663" s="0" t="s">
        <v>20</v>
      </c>
      <c r="C3663" s="0" t="s">
        <v>21</v>
      </c>
      <c r="D3663" s="0" t="n">
        <v>1</v>
      </c>
      <c r="E3663" s="2" t="n">
        <v>40847.7951388889</v>
      </c>
      <c r="F3663" s="0" t="n">
        <v>4.24</v>
      </c>
      <c r="G3663" s="0" t="n">
        <v>15135</v>
      </c>
      <c r="H3663" s="3" t="s">
        <v>57</v>
      </c>
      <c r="I3663" s="4" t="n">
        <f aca="false">D3663*F3663</f>
        <v>4.24</v>
      </c>
      <c r="J3663" s="3" t="n">
        <f aca="false">IF(AND(LEFT(A3663,1)&lt;&gt;"C",D3663&gt;0,F3663&gt;0),1,0)</f>
        <v>1</v>
      </c>
      <c r="K3663" s="3" t="n">
        <f aca="false">IF(AND(H3663="United Kingdom",G3663&lt;&gt;"",COUNTIFS($G$2:G3663,G3663,$H$2:H3663,"United Kingdom")=1),1,0)</f>
        <v>0</v>
      </c>
    </row>
    <row r="3664" customFormat="false" ht="15" hidden="false" customHeight="false" outlineLevel="0" collapsed="false">
      <c r="A3664" s="0" t="s">
        <v>757</v>
      </c>
      <c r="B3664" s="0" t="s">
        <v>25</v>
      </c>
      <c r="C3664" s="0" t="s">
        <v>26</v>
      </c>
      <c r="D3664" s="0" t="n">
        <v>6</v>
      </c>
      <c r="E3664" s="2" t="n">
        <v>40847.7951388889</v>
      </c>
      <c r="F3664" s="0" t="n">
        <v>2.21</v>
      </c>
      <c r="G3664" s="0" t="n">
        <v>15135</v>
      </c>
      <c r="H3664" s="3" t="s">
        <v>57</v>
      </c>
      <c r="I3664" s="4" t="n">
        <f aca="false">D3664*F3664</f>
        <v>13.26</v>
      </c>
      <c r="J3664" s="3" t="n">
        <f aca="false">IF(AND(LEFT(A3664,1)&lt;&gt;"C",D3664&gt;0,F3664&gt;0),1,0)</f>
        <v>1</v>
      </c>
      <c r="K3664" s="3" t="n">
        <f aca="false">IF(AND(H3664="United Kingdom",G3664&lt;&gt;"",COUNTIFS($G$2:G3664,G3664,$H$2:H3664,"United Kingdom")=1),1,0)</f>
        <v>0</v>
      </c>
    </row>
    <row r="3665" customFormat="false" ht="15" hidden="false" customHeight="false" outlineLevel="0" collapsed="false">
      <c r="A3665" s="0" t="s">
        <v>757</v>
      </c>
      <c r="B3665" s="0" t="s">
        <v>12</v>
      </c>
      <c r="C3665" s="0" t="s">
        <v>13</v>
      </c>
      <c r="D3665" s="0" t="n">
        <v>12</v>
      </c>
      <c r="E3665" s="2" t="n">
        <v>40847.7951388889</v>
      </c>
      <c r="F3665" s="0" t="n">
        <v>3.33</v>
      </c>
      <c r="G3665" s="0" t="n">
        <v>15135</v>
      </c>
      <c r="H3665" s="3" t="s">
        <v>57</v>
      </c>
      <c r="I3665" s="4" t="n">
        <f aca="false">D3665*F3665</f>
        <v>39.96</v>
      </c>
      <c r="J3665" s="3" t="n">
        <f aca="false">IF(AND(LEFT(A3665,1)&lt;&gt;"C",D3665&gt;0,F3665&gt;0),1,0)</f>
        <v>1</v>
      </c>
      <c r="K3665" s="3" t="n">
        <f aca="false">IF(AND(H3665="United Kingdom",G3665&lt;&gt;"",COUNTIFS($G$2:G3665,G3665,$H$2:H3665,"United Kingdom")=1),1,0)</f>
        <v>0</v>
      </c>
    </row>
    <row r="3666" customFormat="false" ht="15" hidden="false" customHeight="false" outlineLevel="0" collapsed="false">
      <c r="A3666" s="0" t="s">
        <v>758</v>
      </c>
      <c r="B3666" s="0" t="s">
        <v>32</v>
      </c>
      <c r="C3666" s="0" t="s">
        <v>33</v>
      </c>
      <c r="D3666" s="0" t="n">
        <v>4</v>
      </c>
      <c r="E3666" s="2" t="n">
        <v>40847.8076388889</v>
      </c>
      <c r="F3666" s="0" t="n">
        <v>1.19</v>
      </c>
      <c r="G3666" s="0" t="n">
        <v>12549</v>
      </c>
      <c r="H3666" s="3" t="s">
        <v>14</v>
      </c>
      <c r="I3666" s="4" t="n">
        <f aca="false">D3666*F3666</f>
        <v>4.76</v>
      </c>
      <c r="J3666" s="3" t="n">
        <f aca="false">IF(AND(LEFT(A3666,1)&lt;&gt;"C",D3666&gt;0,F3666&gt;0),1,0)</f>
        <v>1</v>
      </c>
      <c r="K3666" s="3" t="n">
        <f aca="false">IF(AND(H3666="United Kingdom",G3666&lt;&gt;"",COUNTIFS($G$2:G3666,G3666,$H$2:H3666,"United Kingdom")=1),1,0)</f>
        <v>0</v>
      </c>
    </row>
    <row r="3667" customFormat="false" ht="15" hidden="false" customHeight="false" outlineLevel="0" collapsed="false">
      <c r="A3667" s="0" t="s">
        <v>758</v>
      </c>
      <c r="B3667" s="0" t="s">
        <v>27</v>
      </c>
      <c r="C3667" s="0" t="s">
        <v>28</v>
      </c>
      <c r="D3667" s="0" t="n">
        <v>24</v>
      </c>
      <c r="E3667" s="2" t="n">
        <v>40847.8076388889</v>
      </c>
      <c r="F3667" s="0" t="n">
        <v>4.55</v>
      </c>
      <c r="G3667" s="0" t="n">
        <v>12549</v>
      </c>
      <c r="H3667" s="3" t="s">
        <v>14</v>
      </c>
      <c r="I3667" s="4" t="n">
        <f aca="false">D3667*F3667</f>
        <v>109.2</v>
      </c>
      <c r="J3667" s="3" t="n">
        <f aca="false">IF(AND(LEFT(A3667,1)&lt;&gt;"C",D3667&gt;0,F3667&gt;0),1,0)</f>
        <v>1</v>
      </c>
      <c r="K3667" s="3" t="n">
        <f aca="false">IF(AND(H3667="United Kingdom",G3667&lt;&gt;"",COUNTIFS($G$2:G3667,G3667,$H$2:H3667,"United Kingdom")=1),1,0)</f>
        <v>0</v>
      </c>
    </row>
    <row r="3668" customFormat="false" ht="15" hidden="false" customHeight="false" outlineLevel="0" collapsed="false">
      <c r="A3668" s="0" t="s">
        <v>758</v>
      </c>
      <c r="B3668" s="0" t="s">
        <v>43</v>
      </c>
      <c r="C3668" s="0" t="s">
        <v>44</v>
      </c>
      <c r="D3668" s="0" t="n">
        <v>6</v>
      </c>
      <c r="E3668" s="2" t="n">
        <v>40847.8076388889</v>
      </c>
      <c r="F3668" s="0" t="n">
        <v>1.35</v>
      </c>
      <c r="G3668" s="0" t="n">
        <v>12549</v>
      </c>
      <c r="H3668" s="3" t="s">
        <v>14</v>
      </c>
      <c r="I3668" s="4" t="n">
        <f aca="false">D3668*F3668</f>
        <v>8.1</v>
      </c>
      <c r="J3668" s="3" t="n">
        <f aca="false">IF(AND(LEFT(A3668,1)&lt;&gt;"C",D3668&gt;0,F3668&gt;0),1,0)</f>
        <v>1</v>
      </c>
      <c r="K3668" s="3" t="n">
        <f aca="false">IF(AND(H3668="United Kingdom",G3668&lt;&gt;"",COUNTIFS($G$2:G3668,G3668,$H$2:H3668,"United Kingdom")=1),1,0)</f>
        <v>0</v>
      </c>
    </row>
    <row r="3669" customFormat="false" ht="15" hidden="false" customHeight="false" outlineLevel="0" collapsed="false">
      <c r="A3669" s="0" t="s">
        <v>758</v>
      </c>
      <c r="B3669" s="0" t="s">
        <v>12</v>
      </c>
      <c r="C3669" s="0" t="s">
        <v>13</v>
      </c>
      <c r="D3669" s="0" t="n">
        <v>8</v>
      </c>
      <c r="E3669" s="2" t="n">
        <v>40847.8076388889</v>
      </c>
      <c r="F3669" s="0" t="n">
        <v>3.33</v>
      </c>
      <c r="G3669" s="0" t="n">
        <v>12549</v>
      </c>
      <c r="H3669" s="3" t="s">
        <v>14</v>
      </c>
      <c r="I3669" s="4" t="n">
        <f aca="false">D3669*F3669</f>
        <v>26.64</v>
      </c>
      <c r="J3669" s="3" t="n">
        <f aca="false">IF(AND(LEFT(A3669,1)&lt;&gt;"C",D3669&gt;0,F3669&gt;0),1,0)</f>
        <v>1</v>
      </c>
      <c r="K3669" s="3" t="n">
        <f aca="false">IF(AND(H3669="United Kingdom",G3669&lt;&gt;"",COUNTIFS($G$2:G3669,G3669,$H$2:H3669,"United Kingdom")=1),1,0)</f>
        <v>0</v>
      </c>
    </row>
    <row r="3670" customFormat="false" ht="15" hidden="false" customHeight="false" outlineLevel="0" collapsed="false">
      <c r="A3670" s="0" t="s">
        <v>758</v>
      </c>
      <c r="B3670" s="0" t="s">
        <v>75</v>
      </c>
      <c r="C3670" s="0" t="s">
        <v>76</v>
      </c>
      <c r="D3670" s="0" t="n">
        <v>6</v>
      </c>
      <c r="E3670" s="2" t="n">
        <v>40847.8076388889</v>
      </c>
      <c r="F3670" s="0" t="n">
        <v>1.97</v>
      </c>
      <c r="G3670" s="0" t="n">
        <v>12549</v>
      </c>
      <c r="H3670" s="3" t="s">
        <v>14</v>
      </c>
      <c r="I3670" s="4" t="n">
        <f aca="false">D3670*F3670</f>
        <v>11.82</v>
      </c>
      <c r="J3670" s="3" t="n">
        <f aca="false">IF(AND(LEFT(A3670,1)&lt;&gt;"C",D3670&gt;0,F3670&gt;0),1,0)</f>
        <v>1</v>
      </c>
      <c r="K3670" s="3" t="n">
        <f aca="false">IF(AND(H3670="United Kingdom",G3670&lt;&gt;"",COUNTIFS($G$2:G3670,G3670,$H$2:H3670,"United Kingdom")=1),1,0)</f>
        <v>0</v>
      </c>
    </row>
    <row r="3671" customFormat="false" ht="15" hidden="false" customHeight="false" outlineLevel="0" collapsed="false">
      <c r="A3671" s="0" t="s">
        <v>758</v>
      </c>
      <c r="B3671" s="0" t="s">
        <v>25</v>
      </c>
      <c r="C3671" s="0" t="s">
        <v>26</v>
      </c>
      <c r="D3671" s="0" t="n">
        <v>8</v>
      </c>
      <c r="E3671" s="2" t="n">
        <v>40847.8076388889</v>
      </c>
      <c r="F3671" s="0" t="n">
        <v>2.21</v>
      </c>
      <c r="G3671" s="0" t="n">
        <v>12549</v>
      </c>
      <c r="H3671" s="3" t="s">
        <v>14</v>
      </c>
      <c r="I3671" s="4" t="n">
        <f aca="false">D3671*F3671</f>
        <v>17.68</v>
      </c>
      <c r="J3671" s="3" t="n">
        <f aca="false">IF(AND(LEFT(A3671,1)&lt;&gt;"C",D3671&gt;0,F3671&gt;0),1,0)</f>
        <v>1</v>
      </c>
      <c r="K3671" s="3" t="n">
        <f aca="false">IF(AND(H3671="United Kingdom",G3671&lt;&gt;"",COUNTIFS($G$2:G3671,G3671,$H$2:H3671,"United Kingdom")=1),1,0)</f>
        <v>0</v>
      </c>
    </row>
    <row r="3672" customFormat="false" ht="15" hidden="false" customHeight="false" outlineLevel="0" collapsed="false">
      <c r="A3672" s="0" t="s">
        <v>758</v>
      </c>
      <c r="B3672" s="0" t="s">
        <v>65</v>
      </c>
      <c r="C3672" s="0" t="s">
        <v>66</v>
      </c>
      <c r="D3672" s="0" t="n">
        <v>4</v>
      </c>
      <c r="E3672" s="2" t="n">
        <v>40847.8076388889</v>
      </c>
      <c r="F3672" s="0" t="n">
        <v>4.75</v>
      </c>
      <c r="G3672" s="0" t="n">
        <v>12549</v>
      </c>
      <c r="H3672" s="3" t="s">
        <v>14</v>
      </c>
      <c r="I3672" s="4" t="n">
        <f aca="false">D3672*F3672</f>
        <v>19</v>
      </c>
      <c r="J3672" s="3" t="n">
        <f aca="false">IF(AND(LEFT(A3672,1)&lt;&gt;"C",D3672&gt;0,F3672&gt;0),1,0)</f>
        <v>1</v>
      </c>
      <c r="K3672" s="3" t="n">
        <f aca="false">IF(AND(H3672="United Kingdom",G3672&lt;&gt;"",COUNTIFS($G$2:G3672,G3672,$H$2:H3672,"United Kingdom")=1),1,0)</f>
        <v>0</v>
      </c>
    </row>
    <row r="3673" customFormat="false" ht="15" hidden="false" customHeight="false" outlineLevel="0" collapsed="false">
      <c r="A3673" s="0" t="s">
        <v>759</v>
      </c>
      <c r="B3673" s="0" t="s">
        <v>60</v>
      </c>
      <c r="C3673" s="0" t="s">
        <v>61</v>
      </c>
      <c r="D3673" s="0" t="n">
        <v>4</v>
      </c>
      <c r="E3673" s="2" t="n">
        <v>40848.4180555556</v>
      </c>
      <c r="F3673" s="0" t="n">
        <v>0.63</v>
      </c>
      <c r="G3673" s="0" t="n">
        <v>15660</v>
      </c>
      <c r="H3673" s="3" t="s">
        <v>14</v>
      </c>
      <c r="I3673" s="4" t="n">
        <f aca="false">D3673*F3673</f>
        <v>2.52</v>
      </c>
      <c r="J3673" s="3" t="n">
        <f aca="false">IF(AND(LEFT(A3673,1)&lt;&gt;"C",D3673&gt;0,F3673&gt;0),1,0)</f>
        <v>1</v>
      </c>
      <c r="K3673" s="3" t="n">
        <f aca="false">IF(AND(H3673="United Kingdom",G3673&lt;&gt;"",COUNTIFS($G$2:G3673,G3673,$H$2:H3673,"United Kingdom")=1),1,0)</f>
        <v>0</v>
      </c>
    </row>
    <row r="3674" customFormat="false" ht="15" hidden="false" customHeight="false" outlineLevel="0" collapsed="false">
      <c r="A3674" s="0" t="s">
        <v>759</v>
      </c>
      <c r="B3674" s="0" t="s">
        <v>17</v>
      </c>
      <c r="C3674" s="0" t="s">
        <v>18</v>
      </c>
      <c r="D3674" s="0" t="n">
        <v>6</v>
      </c>
      <c r="E3674" s="2" t="n">
        <v>40848.4180555556</v>
      </c>
      <c r="F3674" s="0" t="n">
        <v>1.92</v>
      </c>
      <c r="G3674" s="0" t="n">
        <v>15660</v>
      </c>
      <c r="H3674" s="3" t="s">
        <v>14</v>
      </c>
      <c r="I3674" s="4" t="n">
        <f aca="false">D3674*F3674</f>
        <v>11.52</v>
      </c>
      <c r="J3674" s="3" t="n">
        <f aca="false">IF(AND(LEFT(A3674,1)&lt;&gt;"C",D3674&gt;0,F3674&gt;0),1,0)</f>
        <v>1</v>
      </c>
      <c r="K3674" s="3" t="n">
        <f aca="false">IF(AND(H3674="United Kingdom",G3674&lt;&gt;"",COUNTIFS($G$2:G3674,G3674,$H$2:H3674,"United Kingdom")=1),1,0)</f>
        <v>0</v>
      </c>
    </row>
    <row r="3675" customFormat="false" ht="15" hidden="false" customHeight="false" outlineLevel="0" collapsed="false">
      <c r="A3675" s="0" t="s">
        <v>759</v>
      </c>
      <c r="B3675" s="0" t="s">
        <v>48</v>
      </c>
      <c r="C3675" s="0" t="s">
        <v>49</v>
      </c>
      <c r="D3675" s="0" t="n">
        <v>24</v>
      </c>
      <c r="E3675" s="2" t="n">
        <v>40848.4180555556</v>
      </c>
      <c r="F3675" s="0" t="n">
        <v>1.35</v>
      </c>
      <c r="G3675" s="0" t="n">
        <v>15660</v>
      </c>
      <c r="H3675" s="3" t="s">
        <v>14</v>
      </c>
      <c r="I3675" s="4" t="n">
        <f aca="false">D3675*F3675</f>
        <v>32.4</v>
      </c>
      <c r="J3675" s="3" t="n">
        <f aca="false">IF(AND(LEFT(A3675,1)&lt;&gt;"C",D3675&gt;0,F3675&gt;0),1,0)</f>
        <v>1</v>
      </c>
      <c r="K3675" s="3" t="n">
        <f aca="false">IF(AND(H3675="United Kingdom",G3675&lt;&gt;"",COUNTIFS($G$2:G3675,G3675,$H$2:H3675,"United Kingdom")=1),1,0)</f>
        <v>0</v>
      </c>
    </row>
    <row r="3676" customFormat="false" ht="15" hidden="false" customHeight="false" outlineLevel="0" collapsed="false">
      <c r="A3676" s="0" t="s">
        <v>759</v>
      </c>
      <c r="B3676" s="0" t="s">
        <v>45</v>
      </c>
      <c r="C3676" s="0" t="s">
        <v>46</v>
      </c>
      <c r="D3676" s="0" t="n">
        <v>8</v>
      </c>
      <c r="E3676" s="2" t="n">
        <v>40848.4180555556</v>
      </c>
      <c r="F3676" s="0" t="n">
        <v>4.55</v>
      </c>
      <c r="G3676" s="0" t="n">
        <v>15660</v>
      </c>
      <c r="H3676" s="3" t="s">
        <v>14</v>
      </c>
      <c r="I3676" s="4" t="n">
        <f aca="false">D3676*F3676</f>
        <v>36.4</v>
      </c>
      <c r="J3676" s="3" t="n">
        <f aca="false">IF(AND(LEFT(A3676,1)&lt;&gt;"C",D3676&gt;0,F3676&gt;0),1,0)</f>
        <v>1</v>
      </c>
      <c r="K3676" s="3" t="n">
        <f aca="false">IF(AND(H3676="United Kingdom",G3676&lt;&gt;"",COUNTIFS($G$2:G3676,G3676,$H$2:H3676,"United Kingdom")=1),1,0)</f>
        <v>0</v>
      </c>
    </row>
    <row r="3677" customFormat="false" ht="15" hidden="false" customHeight="false" outlineLevel="0" collapsed="false">
      <c r="A3677" s="0" t="s">
        <v>759</v>
      </c>
      <c r="B3677" s="0" t="s">
        <v>37</v>
      </c>
      <c r="C3677" s="0" t="s">
        <v>38</v>
      </c>
      <c r="D3677" s="0" t="n">
        <v>2</v>
      </c>
      <c r="E3677" s="2" t="n">
        <v>40848.4180555556</v>
      </c>
      <c r="F3677" s="0" t="n">
        <v>1.82</v>
      </c>
      <c r="G3677" s="0" t="n">
        <v>15660</v>
      </c>
      <c r="H3677" s="3" t="s">
        <v>14</v>
      </c>
      <c r="I3677" s="4" t="n">
        <f aca="false">D3677*F3677</f>
        <v>3.64</v>
      </c>
      <c r="J3677" s="3" t="n">
        <f aca="false">IF(AND(LEFT(A3677,1)&lt;&gt;"C",D3677&gt;0,F3677&gt;0),1,0)</f>
        <v>1</v>
      </c>
      <c r="K3677" s="3" t="n">
        <f aca="false">IF(AND(H3677="United Kingdom",G3677&lt;&gt;"",COUNTIFS($G$2:G3677,G3677,$H$2:H3677,"United Kingdom")=1),1,0)</f>
        <v>0</v>
      </c>
    </row>
    <row r="3678" customFormat="false" ht="15" hidden="false" customHeight="false" outlineLevel="0" collapsed="false">
      <c r="A3678" s="0" t="s">
        <v>759</v>
      </c>
      <c r="B3678" s="0" t="s">
        <v>63</v>
      </c>
      <c r="C3678" s="0" t="s">
        <v>64</v>
      </c>
      <c r="D3678" s="0" t="n">
        <v>4</v>
      </c>
      <c r="E3678" s="2" t="n">
        <v>40848.4180555556</v>
      </c>
      <c r="F3678" s="0" t="n">
        <v>2.43</v>
      </c>
      <c r="G3678" s="0" t="n">
        <v>15660</v>
      </c>
      <c r="H3678" s="3" t="s">
        <v>14</v>
      </c>
      <c r="I3678" s="4" t="n">
        <f aca="false">D3678*F3678</f>
        <v>9.72</v>
      </c>
      <c r="J3678" s="3" t="n">
        <f aca="false">IF(AND(LEFT(A3678,1)&lt;&gt;"C",D3678&gt;0,F3678&gt;0),1,0)</f>
        <v>1</v>
      </c>
      <c r="K3678" s="3" t="n">
        <f aca="false">IF(AND(H3678="United Kingdom",G3678&lt;&gt;"",COUNTIFS($G$2:G3678,G3678,$H$2:H3678,"United Kingdom")=1),1,0)</f>
        <v>0</v>
      </c>
    </row>
    <row r="3679" customFormat="false" ht="15" hidden="false" customHeight="false" outlineLevel="0" collapsed="false">
      <c r="A3679" s="0" t="s">
        <v>759</v>
      </c>
      <c r="B3679" s="0" t="s">
        <v>32</v>
      </c>
      <c r="C3679" s="0" t="s">
        <v>33</v>
      </c>
      <c r="D3679" s="0" t="n">
        <v>1</v>
      </c>
      <c r="E3679" s="2" t="n">
        <v>40848.4180555556</v>
      </c>
      <c r="F3679" s="0" t="n">
        <v>1.19</v>
      </c>
      <c r="G3679" s="0" t="n">
        <v>15660</v>
      </c>
      <c r="H3679" s="3" t="s">
        <v>14</v>
      </c>
      <c r="I3679" s="4" t="n">
        <f aca="false">D3679*F3679</f>
        <v>1.19</v>
      </c>
      <c r="J3679" s="3" t="n">
        <f aca="false">IF(AND(LEFT(A3679,1)&lt;&gt;"C",D3679&gt;0,F3679&gt;0),1,0)</f>
        <v>1</v>
      </c>
      <c r="K3679" s="3" t="n">
        <f aca="false">IF(AND(H3679="United Kingdom",G3679&lt;&gt;"",COUNTIFS($G$2:G3679,G3679,$H$2:H3679,"United Kingdom")=1),1,0)</f>
        <v>0</v>
      </c>
    </row>
    <row r="3680" customFormat="false" ht="15" hidden="false" customHeight="false" outlineLevel="0" collapsed="false">
      <c r="A3680" s="0" t="s">
        <v>759</v>
      </c>
      <c r="B3680" s="0" t="s">
        <v>25</v>
      </c>
      <c r="C3680" s="0" t="s">
        <v>26</v>
      </c>
      <c r="D3680" s="0" t="n">
        <v>4</v>
      </c>
      <c r="E3680" s="2" t="n">
        <v>40848.4180555556</v>
      </c>
      <c r="F3680" s="0" t="n">
        <v>2.21</v>
      </c>
      <c r="G3680" s="0" t="n">
        <v>15660</v>
      </c>
      <c r="H3680" s="3" t="s">
        <v>14</v>
      </c>
      <c r="I3680" s="4" t="n">
        <f aca="false">D3680*F3680</f>
        <v>8.84</v>
      </c>
      <c r="J3680" s="3" t="n">
        <f aca="false">IF(AND(LEFT(A3680,1)&lt;&gt;"C",D3680&gt;0,F3680&gt;0),1,0)</f>
        <v>1</v>
      </c>
      <c r="K3680" s="3" t="n">
        <f aca="false">IF(AND(H3680="United Kingdom",G3680&lt;&gt;"",COUNTIFS($G$2:G3680,G3680,$H$2:H3680,"United Kingdom")=1),1,0)</f>
        <v>0</v>
      </c>
    </row>
    <row r="3681" customFormat="false" ht="15" hidden="false" customHeight="false" outlineLevel="0" collapsed="false">
      <c r="A3681" s="0" t="s">
        <v>759</v>
      </c>
      <c r="B3681" s="0" t="s">
        <v>43</v>
      </c>
      <c r="C3681" s="0" t="s">
        <v>44</v>
      </c>
      <c r="D3681" s="0" t="n">
        <v>2</v>
      </c>
      <c r="E3681" s="2" t="n">
        <v>40848.4180555556</v>
      </c>
      <c r="F3681" s="0" t="n">
        <v>1.35</v>
      </c>
      <c r="G3681" s="0" t="n">
        <v>15660</v>
      </c>
      <c r="H3681" s="3" t="s">
        <v>14</v>
      </c>
      <c r="I3681" s="4" t="n">
        <f aca="false">D3681*F3681</f>
        <v>2.7</v>
      </c>
      <c r="J3681" s="3" t="n">
        <f aca="false">IF(AND(LEFT(A3681,1)&lt;&gt;"C",D3681&gt;0,F3681&gt;0),1,0)</f>
        <v>1</v>
      </c>
      <c r="K3681" s="3" t="n">
        <f aca="false">IF(AND(H3681="United Kingdom",G3681&lt;&gt;"",COUNTIFS($G$2:G3681,G3681,$H$2:H3681,"United Kingdom")=1),1,0)</f>
        <v>0</v>
      </c>
    </row>
    <row r="3682" customFormat="false" ht="15" hidden="false" customHeight="false" outlineLevel="0" collapsed="false">
      <c r="A3682" s="0" t="s">
        <v>760</v>
      </c>
      <c r="B3682" s="0" t="s">
        <v>34</v>
      </c>
      <c r="C3682" s="0" t="s">
        <v>35</v>
      </c>
      <c r="D3682" s="0" t="n">
        <v>12</v>
      </c>
      <c r="E3682" s="2" t="n">
        <v>40848.7333333333</v>
      </c>
      <c r="F3682" s="0" t="n">
        <v>2.38</v>
      </c>
      <c r="G3682" s="0" t="n">
        <v>13672</v>
      </c>
      <c r="H3682" s="3" t="s">
        <v>57</v>
      </c>
      <c r="I3682" s="4" t="n">
        <f aca="false">D3682*F3682</f>
        <v>28.56</v>
      </c>
      <c r="J3682" s="3" t="n">
        <f aca="false">IF(AND(LEFT(A3682,1)&lt;&gt;"C",D3682&gt;0,F3682&gt;0),1,0)</f>
        <v>1</v>
      </c>
      <c r="K3682" s="3" t="n">
        <f aca="false">IF(AND(H3682="United Kingdom",G3682&lt;&gt;"",COUNTIFS($G$2:G3682,G3682,$H$2:H3682,"United Kingdom")=1),1,0)</f>
        <v>0</v>
      </c>
    </row>
    <row r="3683" customFormat="false" ht="15" hidden="false" customHeight="false" outlineLevel="0" collapsed="false">
      <c r="A3683" s="0" t="s">
        <v>760</v>
      </c>
      <c r="B3683" s="0" t="s">
        <v>41</v>
      </c>
      <c r="C3683" s="0" t="s">
        <v>42</v>
      </c>
      <c r="D3683" s="0" t="n">
        <v>1</v>
      </c>
      <c r="E3683" s="2" t="n">
        <v>40848.7333333333</v>
      </c>
      <c r="F3683" s="0" t="n">
        <v>3.28</v>
      </c>
      <c r="G3683" s="0" t="n">
        <v>13672</v>
      </c>
      <c r="H3683" s="3" t="s">
        <v>57</v>
      </c>
      <c r="I3683" s="4" t="n">
        <f aca="false">D3683*F3683</f>
        <v>3.28</v>
      </c>
      <c r="J3683" s="3" t="n">
        <f aca="false">IF(AND(LEFT(A3683,1)&lt;&gt;"C",D3683&gt;0,F3683&gt;0),1,0)</f>
        <v>1</v>
      </c>
      <c r="K3683" s="3" t="n">
        <f aca="false">IF(AND(H3683="United Kingdom",G3683&lt;&gt;"",COUNTIFS($G$2:G3683,G3683,$H$2:H3683,"United Kingdom")=1),1,0)</f>
        <v>0</v>
      </c>
    </row>
    <row r="3684" customFormat="false" ht="15" hidden="false" customHeight="false" outlineLevel="0" collapsed="false">
      <c r="A3684" s="0" t="s">
        <v>760</v>
      </c>
      <c r="B3684" s="0" t="s">
        <v>32</v>
      </c>
      <c r="C3684" s="0" t="s">
        <v>33</v>
      </c>
      <c r="D3684" s="0" t="n">
        <v>9</v>
      </c>
      <c r="E3684" s="2" t="n">
        <v>40848.7333333333</v>
      </c>
      <c r="F3684" s="0" t="n">
        <v>1.19</v>
      </c>
      <c r="G3684" s="0" t="n">
        <v>13672</v>
      </c>
      <c r="H3684" s="3" t="s">
        <v>57</v>
      </c>
      <c r="I3684" s="4" t="n">
        <f aca="false">D3684*F3684</f>
        <v>10.71</v>
      </c>
      <c r="J3684" s="3" t="n">
        <f aca="false">IF(AND(LEFT(A3684,1)&lt;&gt;"C",D3684&gt;0,F3684&gt;0),1,0)</f>
        <v>1</v>
      </c>
      <c r="K3684" s="3" t="n">
        <f aca="false">IF(AND(H3684="United Kingdom",G3684&lt;&gt;"",COUNTIFS($G$2:G3684,G3684,$H$2:H3684,"United Kingdom")=1),1,0)</f>
        <v>0</v>
      </c>
    </row>
    <row r="3685" customFormat="false" ht="15" hidden="false" customHeight="false" outlineLevel="0" collapsed="false">
      <c r="A3685" s="0" t="s">
        <v>760</v>
      </c>
      <c r="B3685" s="0" t="s">
        <v>22</v>
      </c>
      <c r="C3685" s="0" t="s">
        <v>23</v>
      </c>
      <c r="D3685" s="0" t="n">
        <v>3</v>
      </c>
      <c r="E3685" s="2" t="n">
        <v>40848.7333333333</v>
      </c>
      <c r="F3685" s="0" t="n">
        <v>3.18</v>
      </c>
      <c r="G3685" s="0" t="n">
        <v>13672</v>
      </c>
      <c r="H3685" s="3" t="s">
        <v>57</v>
      </c>
      <c r="I3685" s="4" t="n">
        <f aca="false">D3685*F3685</f>
        <v>9.54</v>
      </c>
      <c r="J3685" s="3" t="n">
        <f aca="false">IF(AND(LEFT(A3685,1)&lt;&gt;"C",D3685&gt;0,F3685&gt;0),1,0)</f>
        <v>1</v>
      </c>
      <c r="K3685" s="3" t="n">
        <f aca="false">IF(AND(H3685="United Kingdom",G3685&lt;&gt;"",COUNTIFS($G$2:G3685,G3685,$H$2:H3685,"United Kingdom")=1),1,0)</f>
        <v>0</v>
      </c>
    </row>
    <row r="3686" customFormat="false" ht="15" hidden="false" customHeight="false" outlineLevel="0" collapsed="false">
      <c r="A3686" s="0" t="s">
        <v>760</v>
      </c>
      <c r="B3686" s="0" t="s">
        <v>39</v>
      </c>
      <c r="C3686" s="0" t="s">
        <v>40</v>
      </c>
      <c r="D3686" s="0" t="n">
        <v>4</v>
      </c>
      <c r="E3686" s="2" t="n">
        <v>40848.7333333333</v>
      </c>
      <c r="F3686" s="0" t="n">
        <v>2.58</v>
      </c>
      <c r="G3686" s="0" t="n">
        <v>13672</v>
      </c>
      <c r="H3686" s="3" t="s">
        <v>57</v>
      </c>
      <c r="I3686" s="4" t="n">
        <f aca="false">D3686*F3686</f>
        <v>10.32</v>
      </c>
      <c r="J3686" s="3" t="n">
        <f aca="false">IF(AND(LEFT(A3686,1)&lt;&gt;"C",D3686&gt;0,F3686&gt;0),1,0)</f>
        <v>1</v>
      </c>
      <c r="K3686" s="3" t="n">
        <f aca="false">IF(AND(H3686="United Kingdom",G3686&lt;&gt;"",COUNTIFS($G$2:G3686,G3686,$H$2:H3686,"United Kingdom")=1),1,0)</f>
        <v>0</v>
      </c>
    </row>
    <row r="3687" customFormat="false" ht="15" hidden="false" customHeight="false" outlineLevel="0" collapsed="false">
      <c r="A3687" s="0" t="s">
        <v>760</v>
      </c>
      <c r="B3687" s="0" t="s">
        <v>65</v>
      </c>
      <c r="C3687" s="0" t="s">
        <v>66</v>
      </c>
      <c r="D3687" s="0" t="n">
        <v>6</v>
      </c>
      <c r="E3687" s="2" t="n">
        <v>40848.7333333333</v>
      </c>
      <c r="F3687" s="0" t="n">
        <v>4.75</v>
      </c>
      <c r="G3687" s="0" t="n">
        <v>13672</v>
      </c>
      <c r="H3687" s="3" t="s">
        <v>57</v>
      </c>
      <c r="I3687" s="4" t="n">
        <f aca="false">D3687*F3687</f>
        <v>28.5</v>
      </c>
      <c r="J3687" s="3" t="n">
        <f aca="false">IF(AND(LEFT(A3687,1)&lt;&gt;"C",D3687&gt;0,F3687&gt;0),1,0)</f>
        <v>1</v>
      </c>
      <c r="K3687" s="3" t="n">
        <f aca="false">IF(AND(H3687="United Kingdom",G3687&lt;&gt;"",COUNTIFS($G$2:G3687,G3687,$H$2:H3687,"United Kingdom")=1),1,0)</f>
        <v>0</v>
      </c>
    </row>
    <row r="3688" customFormat="false" ht="15" hidden="false" customHeight="false" outlineLevel="0" collapsed="false">
      <c r="A3688" s="0" t="s">
        <v>760</v>
      </c>
      <c r="B3688" s="0" t="s">
        <v>17</v>
      </c>
      <c r="C3688" s="0" t="s">
        <v>18</v>
      </c>
      <c r="D3688" s="0" t="n">
        <v>6</v>
      </c>
      <c r="E3688" s="2" t="n">
        <v>40848.7333333333</v>
      </c>
      <c r="F3688" s="0" t="n">
        <v>1.92</v>
      </c>
      <c r="G3688" s="0" t="n">
        <v>13672</v>
      </c>
      <c r="H3688" s="3" t="s">
        <v>57</v>
      </c>
      <c r="I3688" s="4" t="n">
        <f aca="false">D3688*F3688</f>
        <v>11.52</v>
      </c>
      <c r="J3688" s="3" t="n">
        <f aca="false">IF(AND(LEFT(A3688,1)&lt;&gt;"C",D3688&gt;0,F3688&gt;0),1,0)</f>
        <v>1</v>
      </c>
      <c r="K3688" s="3" t="n">
        <f aca="false">IF(AND(H3688="United Kingdom",G3688&lt;&gt;"",COUNTIFS($G$2:G3688,G3688,$H$2:H3688,"United Kingdom")=1),1,0)</f>
        <v>0</v>
      </c>
    </row>
    <row r="3689" customFormat="false" ht="15" hidden="false" customHeight="false" outlineLevel="0" collapsed="false">
      <c r="A3689" s="0" t="s">
        <v>760</v>
      </c>
      <c r="B3689" s="0" t="s">
        <v>90</v>
      </c>
      <c r="C3689" s="0" t="s">
        <v>91</v>
      </c>
      <c r="D3689" s="0" t="n">
        <v>4</v>
      </c>
      <c r="E3689" s="2" t="n">
        <v>40848.7333333333</v>
      </c>
      <c r="F3689" s="0" t="n">
        <v>3.04</v>
      </c>
      <c r="G3689" s="0" t="n">
        <v>13672</v>
      </c>
      <c r="H3689" s="3" t="s">
        <v>57</v>
      </c>
      <c r="I3689" s="4" t="n">
        <f aca="false">D3689*F3689</f>
        <v>12.16</v>
      </c>
      <c r="J3689" s="3" t="n">
        <f aca="false">IF(AND(LEFT(A3689,1)&lt;&gt;"C",D3689&gt;0,F3689&gt;0),1,0)</f>
        <v>1</v>
      </c>
      <c r="K3689" s="3" t="n">
        <f aca="false">IF(AND(H3689="United Kingdom",G3689&lt;&gt;"",COUNTIFS($G$2:G3689,G3689,$H$2:H3689,"United Kingdom")=1),1,0)</f>
        <v>0</v>
      </c>
    </row>
    <row r="3690" customFormat="false" ht="15" hidden="false" customHeight="false" outlineLevel="0" collapsed="false">
      <c r="A3690" s="0" t="s">
        <v>760</v>
      </c>
      <c r="B3690" s="0" t="s">
        <v>20</v>
      </c>
      <c r="C3690" s="0" t="s">
        <v>21</v>
      </c>
      <c r="D3690" s="0" t="n">
        <v>19</v>
      </c>
      <c r="E3690" s="2" t="n">
        <v>40848.7333333333</v>
      </c>
      <c r="F3690" s="0" t="n">
        <v>4.24</v>
      </c>
      <c r="G3690" s="0" t="n">
        <v>13672</v>
      </c>
      <c r="H3690" s="3" t="s">
        <v>57</v>
      </c>
      <c r="I3690" s="4" t="n">
        <f aca="false">D3690*F3690</f>
        <v>80.56</v>
      </c>
      <c r="J3690" s="3" t="n">
        <f aca="false">IF(AND(LEFT(A3690,1)&lt;&gt;"C",D3690&gt;0,F3690&gt;0),1,0)</f>
        <v>1</v>
      </c>
      <c r="K3690" s="3" t="n">
        <f aca="false">IF(AND(H3690="United Kingdom",G3690&lt;&gt;"",COUNTIFS($G$2:G3690,G3690,$H$2:H3690,"United Kingdom")=1),1,0)</f>
        <v>0</v>
      </c>
    </row>
    <row r="3691" customFormat="false" ht="15" hidden="false" customHeight="false" outlineLevel="0" collapsed="false">
      <c r="A3691" s="0" t="s">
        <v>760</v>
      </c>
      <c r="B3691" s="0" t="s">
        <v>45</v>
      </c>
      <c r="C3691" s="0" t="s">
        <v>46</v>
      </c>
      <c r="D3691" s="0" t="n">
        <v>4</v>
      </c>
      <c r="E3691" s="2" t="n">
        <v>40848.7333333333</v>
      </c>
      <c r="F3691" s="0" t="n">
        <v>4.55</v>
      </c>
      <c r="G3691" s="0" t="n">
        <v>13672</v>
      </c>
      <c r="H3691" s="3" t="s">
        <v>57</v>
      </c>
      <c r="I3691" s="4" t="n">
        <f aca="false">D3691*F3691</f>
        <v>18.2</v>
      </c>
      <c r="J3691" s="3" t="n">
        <f aca="false">IF(AND(LEFT(A3691,1)&lt;&gt;"C",D3691&gt;0,F3691&gt;0),1,0)</f>
        <v>1</v>
      </c>
      <c r="K3691" s="3" t="n">
        <f aca="false">IF(AND(H3691="United Kingdom",G3691&lt;&gt;"",COUNTIFS($G$2:G3691,G3691,$H$2:H3691,"United Kingdom")=1),1,0)</f>
        <v>0</v>
      </c>
    </row>
    <row r="3692" customFormat="false" ht="15" hidden="false" customHeight="false" outlineLevel="0" collapsed="false">
      <c r="A3692" s="0" t="s">
        <v>760</v>
      </c>
      <c r="B3692" s="0" t="s">
        <v>50</v>
      </c>
      <c r="C3692" s="0" t="s">
        <v>51</v>
      </c>
      <c r="D3692" s="0" t="n">
        <v>3</v>
      </c>
      <c r="E3692" s="2" t="n">
        <v>40848.7333333333</v>
      </c>
      <c r="F3692" s="0" t="n">
        <v>5.41</v>
      </c>
      <c r="G3692" s="0" t="n">
        <v>13672</v>
      </c>
      <c r="H3692" s="3" t="s">
        <v>57</v>
      </c>
      <c r="I3692" s="4" t="n">
        <f aca="false">D3692*F3692</f>
        <v>16.23</v>
      </c>
      <c r="J3692" s="3" t="n">
        <f aca="false">IF(AND(LEFT(A3692,1)&lt;&gt;"C",D3692&gt;0,F3692&gt;0),1,0)</f>
        <v>1</v>
      </c>
      <c r="K3692" s="3" t="n">
        <f aca="false">IF(AND(H3692="United Kingdom",G3692&lt;&gt;"",COUNTIFS($G$2:G3692,G3692,$H$2:H3692,"United Kingdom")=1),1,0)</f>
        <v>0</v>
      </c>
    </row>
    <row r="3693" customFormat="false" ht="15" hidden="false" customHeight="false" outlineLevel="0" collapsed="false">
      <c r="A3693" s="0" t="s">
        <v>760</v>
      </c>
      <c r="B3693" s="0" t="s">
        <v>29</v>
      </c>
      <c r="C3693" s="0" t="s">
        <v>30</v>
      </c>
      <c r="D3693" s="0" t="n">
        <v>19</v>
      </c>
      <c r="E3693" s="2" t="n">
        <v>40848.7333333333</v>
      </c>
      <c r="F3693" s="0" t="n">
        <v>5.79</v>
      </c>
      <c r="G3693" s="0" t="n">
        <v>13672</v>
      </c>
      <c r="H3693" s="3" t="s">
        <v>57</v>
      </c>
      <c r="I3693" s="4" t="n">
        <f aca="false">D3693*F3693</f>
        <v>110.01</v>
      </c>
      <c r="J3693" s="3" t="n">
        <f aca="false">IF(AND(LEFT(A3693,1)&lt;&gt;"C",D3693&gt;0,F3693&gt;0),1,0)</f>
        <v>1</v>
      </c>
      <c r="K3693" s="3" t="n">
        <f aca="false">IF(AND(H3693="United Kingdom",G3693&lt;&gt;"",COUNTIFS($G$2:G3693,G3693,$H$2:H3693,"United Kingdom")=1),1,0)</f>
        <v>0</v>
      </c>
    </row>
    <row r="3694" customFormat="false" ht="15" hidden="false" customHeight="false" outlineLevel="0" collapsed="false">
      <c r="A3694" s="0" t="s">
        <v>760</v>
      </c>
      <c r="B3694" s="0" t="s">
        <v>58</v>
      </c>
      <c r="C3694" s="0" t="s">
        <v>59</v>
      </c>
      <c r="D3694" s="0" t="n">
        <v>19</v>
      </c>
      <c r="E3694" s="2" t="n">
        <v>40848.7333333333</v>
      </c>
      <c r="F3694" s="0" t="n">
        <v>2.16</v>
      </c>
      <c r="G3694" s="0" t="n">
        <v>13672</v>
      </c>
      <c r="H3694" s="3" t="s">
        <v>57</v>
      </c>
      <c r="I3694" s="4" t="n">
        <f aca="false">D3694*F3694</f>
        <v>41.04</v>
      </c>
      <c r="J3694" s="3" t="n">
        <f aca="false">IF(AND(LEFT(A3694,1)&lt;&gt;"C",D3694&gt;0,F3694&gt;0),1,0)</f>
        <v>1</v>
      </c>
      <c r="K3694" s="3" t="n">
        <f aca="false">IF(AND(H3694="United Kingdom",G3694&lt;&gt;"",COUNTIFS($G$2:G3694,G3694,$H$2:H3694,"United Kingdom")=1),1,0)</f>
        <v>0</v>
      </c>
    </row>
    <row r="3695" customFormat="false" ht="15" hidden="false" customHeight="false" outlineLevel="0" collapsed="false">
      <c r="A3695" s="0" t="s">
        <v>761</v>
      </c>
      <c r="B3695" s="0" t="s">
        <v>68</v>
      </c>
      <c r="C3695" s="0" t="s">
        <v>69</v>
      </c>
      <c r="D3695" s="0" t="n">
        <v>12</v>
      </c>
      <c r="E3695" s="2" t="n">
        <v>40850.4958333333</v>
      </c>
      <c r="F3695" s="0" t="n">
        <v>1.26</v>
      </c>
      <c r="G3695" s="0" t="n">
        <v>16058</v>
      </c>
      <c r="H3695" s="3" t="s">
        <v>14</v>
      </c>
      <c r="I3695" s="4" t="n">
        <f aca="false">D3695*F3695</f>
        <v>15.12</v>
      </c>
      <c r="J3695" s="3" t="n">
        <f aca="false">IF(AND(LEFT(A3695,1)&lt;&gt;"C",D3695&gt;0,F3695&gt;0),1,0)</f>
        <v>1</v>
      </c>
      <c r="K3695" s="3" t="n">
        <f aca="false">IF(AND(H3695="United Kingdom",G3695&lt;&gt;"",COUNTIFS($G$2:G3695,G3695,$H$2:H3695,"United Kingdom")=1),1,0)</f>
        <v>0</v>
      </c>
    </row>
    <row r="3696" customFormat="false" ht="15" hidden="false" customHeight="false" outlineLevel="0" collapsed="false">
      <c r="A3696" s="0" t="s">
        <v>762</v>
      </c>
      <c r="B3696" s="0" t="s">
        <v>58</v>
      </c>
      <c r="C3696" s="0" t="s">
        <v>59</v>
      </c>
      <c r="D3696" s="0" t="n">
        <v>8</v>
      </c>
      <c r="E3696" s="2" t="n">
        <v>40850.5826388889</v>
      </c>
      <c r="F3696" s="0" t="n">
        <v>2.16</v>
      </c>
      <c r="G3696" s="0" t="n">
        <v>14519</v>
      </c>
      <c r="H3696" s="3" t="s">
        <v>14</v>
      </c>
      <c r="I3696" s="4" t="n">
        <f aca="false">D3696*F3696</f>
        <v>17.28</v>
      </c>
      <c r="J3696" s="3" t="n">
        <f aca="false">IF(AND(LEFT(A3696,1)&lt;&gt;"C",D3696&gt;0,F3696&gt;0),1,0)</f>
        <v>1</v>
      </c>
      <c r="K3696" s="3" t="n">
        <f aca="false">IF(AND(H3696="United Kingdom",G3696&lt;&gt;"",COUNTIFS($G$2:G3696,G3696,$H$2:H3696,"United Kingdom")=1),1,0)</f>
        <v>1</v>
      </c>
    </row>
    <row r="3697" customFormat="false" ht="15" hidden="false" customHeight="false" outlineLevel="0" collapsed="false">
      <c r="A3697" s="0" t="s">
        <v>762</v>
      </c>
      <c r="B3697" s="0" t="s">
        <v>41</v>
      </c>
      <c r="C3697" s="0" t="s">
        <v>42</v>
      </c>
      <c r="D3697" s="0" t="n">
        <v>12</v>
      </c>
      <c r="E3697" s="2" t="n">
        <v>40850.5826388889</v>
      </c>
      <c r="F3697" s="0" t="n">
        <v>3.28</v>
      </c>
      <c r="G3697" s="0" t="n">
        <v>14519</v>
      </c>
      <c r="H3697" s="3" t="s">
        <v>14</v>
      </c>
      <c r="I3697" s="4" t="n">
        <f aca="false">D3697*F3697</f>
        <v>39.36</v>
      </c>
      <c r="J3697" s="3" t="n">
        <f aca="false">IF(AND(LEFT(A3697,1)&lt;&gt;"C",D3697&gt;0,F3697&gt;0),1,0)</f>
        <v>1</v>
      </c>
      <c r="K3697" s="3" t="n">
        <f aca="false">IF(AND(H3697="United Kingdom",G3697&lt;&gt;"",COUNTIFS($G$2:G3697,G3697,$H$2:H3697,"United Kingdom")=1),1,0)</f>
        <v>0</v>
      </c>
    </row>
    <row r="3698" customFormat="false" ht="15" hidden="false" customHeight="false" outlineLevel="0" collapsed="false">
      <c r="A3698" s="0" t="s">
        <v>763</v>
      </c>
      <c r="B3698" s="0" t="s">
        <v>15</v>
      </c>
      <c r="C3698" s="0" t="s">
        <v>16</v>
      </c>
      <c r="D3698" s="0" t="n">
        <v>4</v>
      </c>
      <c r="E3698" s="2" t="n">
        <v>40850.8222222222</v>
      </c>
      <c r="F3698" s="0" t="n">
        <v>3.18</v>
      </c>
      <c r="G3698" s="0" t="n">
        <v>15353</v>
      </c>
      <c r="H3698" s="3" t="s">
        <v>101</v>
      </c>
      <c r="I3698" s="4" t="n">
        <f aca="false">D3698*F3698</f>
        <v>12.72</v>
      </c>
      <c r="J3698" s="3" t="n">
        <f aca="false">IF(AND(LEFT(A3698,1)&lt;&gt;"C",D3698&gt;0,F3698&gt;0),1,0)</f>
        <v>1</v>
      </c>
      <c r="K3698" s="3" t="n">
        <f aca="false">IF(AND(H3698="United Kingdom",G3698&lt;&gt;"",COUNTIFS($G$2:G3698,G3698,$H$2:H3698,"United Kingdom")=1),1,0)</f>
        <v>0</v>
      </c>
    </row>
    <row r="3699" customFormat="false" ht="15" hidden="false" customHeight="false" outlineLevel="0" collapsed="false">
      <c r="A3699" s="0" t="s">
        <v>763</v>
      </c>
      <c r="B3699" s="0" t="s">
        <v>75</v>
      </c>
      <c r="C3699" s="0" t="s">
        <v>76</v>
      </c>
      <c r="D3699" s="0" t="n">
        <v>4</v>
      </c>
      <c r="E3699" s="2" t="n">
        <v>40850.8222222222</v>
      </c>
      <c r="F3699" s="0" t="n">
        <v>1.97</v>
      </c>
      <c r="G3699" s="0" t="n">
        <v>15353</v>
      </c>
      <c r="H3699" s="3" t="s">
        <v>101</v>
      </c>
      <c r="I3699" s="4" t="n">
        <f aca="false">D3699*F3699</f>
        <v>7.88</v>
      </c>
      <c r="J3699" s="3" t="n">
        <f aca="false">IF(AND(LEFT(A3699,1)&lt;&gt;"C",D3699&gt;0,F3699&gt;0),1,0)</f>
        <v>1</v>
      </c>
      <c r="K3699" s="3" t="n">
        <f aca="false">IF(AND(H3699="United Kingdom",G3699&lt;&gt;"",COUNTIFS($G$2:G3699,G3699,$H$2:H3699,"United Kingdom")=1),1,0)</f>
        <v>0</v>
      </c>
    </row>
    <row r="3700" customFormat="false" ht="15" hidden="false" customHeight="false" outlineLevel="0" collapsed="false">
      <c r="A3700" s="0" t="s">
        <v>763</v>
      </c>
      <c r="B3700" s="0" t="s">
        <v>80</v>
      </c>
      <c r="C3700" s="0" t="s">
        <v>81</v>
      </c>
      <c r="D3700" s="0" t="n">
        <v>4</v>
      </c>
      <c r="E3700" s="2" t="n">
        <v>40850.8222222222</v>
      </c>
      <c r="F3700" s="0" t="n">
        <v>1.53</v>
      </c>
      <c r="G3700" s="0" t="n">
        <v>15353</v>
      </c>
      <c r="H3700" s="3" t="s">
        <v>101</v>
      </c>
      <c r="I3700" s="4" t="n">
        <f aca="false">D3700*F3700</f>
        <v>6.12</v>
      </c>
      <c r="J3700" s="3" t="n">
        <f aca="false">IF(AND(LEFT(A3700,1)&lt;&gt;"C",D3700&gt;0,F3700&gt;0),1,0)</f>
        <v>1</v>
      </c>
      <c r="K3700" s="3" t="n">
        <f aca="false">IF(AND(H3700="United Kingdom",G3700&lt;&gt;"",COUNTIFS($G$2:G3700,G3700,$H$2:H3700,"United Kingdom")=1),1,0)</f>
        <v>0</v>
      </c>
    </row>
    <row r="3701" customFormat="false" ht="15" hidden="false" customHeight="false" outlineLevel="0" collapsed="false">
      <c r="A3701" s="0" t="s">
        <v>763</v>
      </c>
      <c r="B3701" s="0" t="s">
        <v>43</v>
      </c>
      <c r="C3701" s="0" t="s">
        <v>44</v>
      </c>
      <c r="D3701" s="0" t="n">
        <v>8</v>
      </c>
      <c r="E3701" s="2" t="n">
        <v>40850.8222222222</v>
      </c>
      <c r="F3701" s="0" t="n">
        <v>1.35</v>
      </c>
      <c r="G3701" s="0" t="n">
        <v>15353</v>
      </c>
      <c r="H3701" s="3" t="s">
        <v>101</v>
      </c>
      <c r="I3701" s="4" t="n">
        <f aca="false">D3701*F3701</f>
        <v>10.8</v>
      </c>
      <c r="J3701" s="3" t="n">
        <f aca="false">IF(AND(LEFT(A3701,1)&lt;&gt;"C",D3701&gt;0,F3701&gt;0),1,0)</f>
        <v>1</v>
      </c>
      <c r="K3701" s="3" t="n">
        <f aca="false">IF(AND(H3701="United Kingdom",G3701&lt;&gt;"",COUNTIFS($G$2:G3701,G3701,$H$2:H3701,"United Kingdom")=1),1,0)</f>
        <v>0</v>
      </c>
    </row>
    <row r="3702" customFormat="false" ht="15" hidden="false" customHeight="false" outlineLevel="0" collapsed="false">
      <c r="A3702" s="0" t="s">
        <v>763</v>
      </c>
      <c r="B3702" s="0" t="s">
        <v>63</v>
      </c>
      <c r="C3702" s="0" t="s">
        <v>64</v>
      </c>
      <c r="D3702" s="0" t="n">
        <v>8</v>
      </c>
      <c r="E3702" s="2" t="n">
        <v>40850.8222222222</v>
      </c>
      <c r="F3702" s="0" t="n">
        <v>2.43</v>
      </c>
      <c r="G3702" s="0" t="n">
        <v>15353</v>
      </c>
      <c r="H3702" s="3" t="s">
        <v>101</v>
      </c>
      <c r="I3702" s="4" t="n">
        <f aca="false">D3702*F3702</f>
        <v>19.44</v>
      </c>
      <c r="J3702" s="3" t="n">
        <f aca="false">IF(AND(LEFT(A3702,1)&lt;&gt;"C",D3702&gt;0,F3702&gt;0),1,0)</f>
        <v>1</v>
      </c>
      <c r="K3702" s="3" t="n">
        <f aca="false">IF(AND(H3702="United Kingdom",G3702&lt;&gt;"",COUNTIFS($G$2:G3702,G3702,$H$2:H3702,"United Kingdom")=1),1,0)</f>
        <v>0</v>
      </c>
    </row>
    <row r="3703" customFormat="false" ht="15" hidden="false" customHeight="false" outlineLevel="0" collapsed="false">
      <c r="A3703" s="0" t="s">
        <v>763</v>
      </c>
      <c r="B3703" s="0" t="s">
        <v>32</v>
      </c>
      <c r="C3703" s="0" t="s">
        <v>33</v>
      </c>
      <c r="D3703" s="0" t="n">
        <v>1</v>
      </c>
      <c r="E3703" s="2" t="n">
        <v>40850.8222222222</v>
      </c>
      <c r="F3703" s="0" t="n">
        <v>1.19</v>
      </c>
      <c r="G3703" s="0" t="n">
        <v>15353</v>
      </c>
      <c r="H3703" s="3" t="s">
        <v>101</v>
      </c>
      <c r="I3703" s="4" t="n">
        <f aca="false">D3703*F3703</f>
        <v>1.19</v>
      </c>
      <c r="J3703" s="3" t="n">
        <f aca="false">IF(AND(LEFT(A3703,1)&lt;&gt;"C",D3703&gt;0,F3703&gt;0),1,0)</f>
        <v>1</v>
      </c>
      <c r="K3703" s="3" t="n">
        <f aca="false">IF(AND(H3703="United Kingdom",G3703&lt;&gt;"",COUNTIFS($G$2:G3703,G3703,$H$2:H3703,"United Kingdom")=1),1,0)</f>
        <v>0</v>
      </c>
    </row>
    <row r="3704" customFormat="false" ht="15" hidden="false" customHeight="false" outlineLevel="0" collapsed="false">
      <c r="A3704" s="0" t="s">
        <v>763</v>
      </c>
      <c r="B3704" s="0" t="s">
        <v>54</v>
      </c>
      <c r="C3704" s="0" t="s">
        <v>55</v>
      </c>
      <c r="D3704" s="0" t="n">
        <v>2</v>
      </c>
      <c r="E3704" s="2" t="n">
        <v>40850.8222222222</v>
      </c>
      <c r="F3704" s="0" t="n">
        <v>0.99</v>
      </c>
      <c r="G3704" s="0" t="n">
        <v>15353</v>
      </c>
      <c r="H3704" s="3" t="s">
        <v>101</v>
      </c>
      <c r="I3704" s="4" t="n">
        <f aca="false">D3704*F3704</f>
        <v>1.98</v>
      </c>
      <c r="J3704" s="3" t="n">
        <f aca="false">IF(AND(LEFT(A3704,1)&lt;&gt;"C",D3704&gt;0,F3704&gt;0),1,0)</f>
        <v>1</v>
      </c>
      <c r="K3704" s="3" t="n">
        <f aca="false">IF(AND(H3704="United Kingdom",G3704&lt;&gt;"",COUNTIFS($G$2:G3704,G3704,$H$2:H3704,"United Kingdom")=1),1,0)</f>
        <v>0</v>
      </c>
    </row>
    <row r="3705" customFormat="false" ht="15" hidden="false" customHeight="false" outlineLevel="0" collapsed="false">
      <c r="A3705" s="0" t="s">
        <v>763</v>
      </c>
      <c r="B3705" s="0" t="s">
        <v>65</v>
      </c>
      <c r="C3705" s="0" t="s">
        <v>66</v>
      </c>
      <c r="D3705" s="0" t="n">
        <v>16</v>
      </c>
      <c r="E3705" s="2" t="n">
        <v>40850.8222222222</v>
      </c>
      <c r="F3705" s="0" t="n">
        <v>4.75</v>
      </c>
      <c r="G3705" s="0" t="n">
        <v>15353</v>
      </c>
      <c r="H3705" s="3" t="s">
        <v>101</v>
      </c>
      <c r="I3705" s="4" t="n">
        <f aca="false">D3705*F3705</f>
        <v>76</v>
      </c>
      <c r="J3705" s="3" t="n">
        <f aca="false">IF(AND(LEFT(A3705,1)&lt;&gt;"C",D3705&gt;0,F3705&gt;0),1,0)</f>
        <v>1</v>
      </c>
      <c r="K3705" s="3" t="n">
        <f aca="false">IF(AND(H3705="United Kingdom",G3705&lt;&gt;"",COUNTIFS($G$2:G3705,G3705,$H$2:H3705,"United Kingdom")=1),1,0)</f>
        <v>0</v>
      </c>
    </row>
    <row r="3706" customFormat="false" ht="15" hidden="false" customHeight="false" outlineLevel="0" collapsed="false">
      <c r="A3706" s="0" t="s">
        <v>763</v>
      </c>
      <c r="B3706" s="0" t="s">
        <v>60</v>
      </c>
      <c r="C3706" s="0" t="s">
        <v>61</v>
      </c>
      <c r="D3706" s="0" t="n">
        <v>8</v>
      </c>
      <c r="E3706" s="2" t="n">
        <v>40850.8222222222</v>
      </c>
      <c r="F3706" s="0" t="n">
        <v>0.63</v>
      </c>
      <c r="G3706" s="0" t="n">
        <v>15353</v>
      </c>
      <c r="H3706" s="3" t="s">
        <v>101</v>
      </c>
      <c r="I3706" s="4" t="n">
        <f aca="false">D3706*F3706</f>
        <v>5.04</v>
      </c>
      <c r="J3706" s="3" t="n">
        <f aca="false">IF(AND(LEFT(A3706,1)&lt;&gt;"C",D3706&gt;0,F3706&gt;0),1,0)</f>
        <v>1</v>
      </c>
      <c r="K3706" s="3" t="n">
        <f aca="false">IF(AND(H3706="United Kingdom",G3706&lt;&gt;"",COUNTIFS($G$2:G3706,G3706,$H$2:H3706,"United Kingdom")=1),1,0)</f>
        <v>0</v>
      </c>
    </row>
    <row r="3707" customFormat="false" ht="15" hidden="false" customHeight="false" outlineLevel="0" collapsed="false">
      <c r="A3707" s="0" t="s">
        <v>763</v>
      </c>
      <c r="B3707" s="0" t="s">
        <v>72</v>
      </c>
      <c r="C3707" s="0" t="s">
        <v>73</v>
      </c>
      <c r="D3707" s="0" t="n">
        <v>3</v>
      </c>
      <c r="E3707" s="2" t="n">
        <v>40850.8222222222</v>
      </c>
      <c r="F3707" s="0" t="n">
        <v>2.69</v>
      </c>
      <c r="G3707" s="0" t="n">
        <v>15353</v>
      </c>
      <c r="H3707" s="3" t="s">
        <v>101</v>
      </c>
      <c r="I3707" s="4" t="n">
        <f aca="false">D3707*F3707</f>
        <v>8.07</v>
      </c>
      <c r="J3707" s="3" t="n">
        <f aca="false">IF(AND(LEFT(A3707,1)&lt;&gt;"C",D3707&gt;0,F3707&gt;0),1,0)</f>
        <v>1</v>
      </c>
      <c r="K3707" s="3" t="n">
        <f aca="false">IF(AND(H3707="United Kingdom",G3707&lt;&gt;"",COUNTIFS($G$2:G3707,G3707,$H$2:H3707,"United Kingdom")=1),1,0)</f>
        <v>0</v>
      </c>
    </row>
    <row r="3708" customFormat="false" ht="15" hidden="false" customHeight="false" outlineLevel="0" collapsed="false">
      <c r="A3708" s="0" t="s">
        <v>763</v>
      </c>
      <c r="B3708" s="0" t="s">
        <v>45</v>
      </c>
      <c r="C3708" s="0" t="s">
        <v>46</v>
      </c>
      <c r="D3708" s="0" t="n">
        <v>8</v>
      </c>
      <c r="E3708" s="2" t="n">
        <v>40850.8222222222</v>
      </c>
      <c r="F3708" s="0" t="n">
        <v>4.55</v>
      </c>
      <c r="G3708" s="0" t="n">
        <v>15353</v>
      </c>
      <c r="H3708" s="3" t="s">
        <v>101</v>
      </c>
      <c r="I3708" s="4" t="n">
        <f aca="false">D3708*F3708</f>
        <v>36.4</v>
      </c>
      <c r="J3708" s="3" t="n">
        <f aca="false">IF(AND(LEFT(A3708,1)&lt;&gt;"C",D3708&gt;0,F3708&gt;0),1,0)</f>
        <v>1</v>
      </c>
      <c r="K3708" s="3" t="n">
        <f aca="false">IF(AND(H3708="United Kingdom",G3708&lt;&gt;"",COUNTIFS($G$2:G3708,G3708,$H$2:H3708,"United Kingdom")=1),1,0)</f>
        <v>0</v>
      </c>
    </row>
    <row r="3709" customFormat="false" ht="15" hidden="false" customHeight="false" outlineLevel="0" collapsed="false">
      <c r="A3709" s="0" t="s">
        <v>763</v>
      </c>
      <c r="B3709" s="0" t="s">
        <v>34</v>
      </c>
      <c r="C3709" s="0" t="s">
        <v>35</v>
      </c>
      <c r="D3709" s="0" t="n">
        <v>1</v>
      </c>
      <c r="E3709" s="2" t="n">
        <v>40850.8222222222</v>
      </c>
      <c r="F3709" s="0" t="n">
        <v>2.38</v>
      </c>
      <c r="G3709" s="0" t="n">
        <v>15353</v>
      </c>
      <c r="H3709" s="3" t="s">
        <v>101</v>
      </c>
      <c r="I3709" s="4" t="n">
        <f aca="false">D3709*F3709</f>
        <v>2.38</v>
      </c>
      <c r="J3709" s="3" t="n">
        <f aca="false">IF(AND(LEFT(A3709,1)&lt;&gt;"C",D3709&gt;0,F3709&gt;0),1,0)</f>
        <v>1</v>
      </c>
      <c r="K3709" s="3" t="n">
        <f aca="false">IF(AND(H3709="United Kingdom",G3709&lt;&gt;"",COUNTIFS($G$2:G3709,G3709,$H$2:H3709,"United Kingdom")=1),1,0)</f>
        <v>0</v>
      </c>
    </row>
    <row r="3710" customFormat="false" ht="15" hidden="false" customHeight="false" outlineLevel="0" collapsed="false">
      <c r="A3710" s="0" t="s">
        <v>763</v>
      </c>
      <c r="B3710" s="0" t="s">
        <v>25</v>
      </c>
      <c r="C3710" s="0" t="s">
        <v>26</v>
      </c>
      <c r="D3710" s="0" t="n">
        <v>2</v>
      </c>
      <c r="E3710" s="2" t="n">
        <v>40850.8222222222</v>
      </c>
      <c r="F3710" s="0" t="n">
        <v>2.21</v>
      </c>
      <c r="G3710" s="0" t="n">
        <v>15353</v>
      </c>
      <c r="H3710" s="3" t="s">
        <v>101</v>
      </c>
      <c r="I3710" s="4" t="n">
        <f aca="false">D3710*F3710</f>
        <v>4.42</v>
      </c>
      <c r="J3710" s="3" t="n">
        <f aca="false">IF(AND(LEFT(A3710,1)&lt;&gt;"C",D3710&gt;0,F3710&gt;0),1,0)</f>
        <v>1</v>
      </c>
      <c r="K3710" s="3" t="n">
        <f aca="false">IF(AND(H3710="United Kingdom",G3710&lt;&gt;"",COUNTIFS($G$2:G3710,G3710,$H$2:H3710,"United Kingdom")=1),1,0)</f>
        <v>0</v>
      </c>
    </row>
    <row r="3711" customFormat="false" ht="15" hidden="false" customHeight="false" outlineLevel="0" collapsed="false">
      <c r="A3711" s="0" t="s">
        <v>764</v>
      </c>
      <c r="B3711" s="0" t="s">
        <v>22</v>
      </c>
      <c r="C3711" s="0" t="s">
        <v>23</v>
      </c>
      <c r="D3711" s="0" t="n">
        <v>8</v>
      </c>
      <c r="E3711" s="2" t="n">
        <v>40851.5798611111</v>
      </c>
      <c r="F3711" s="0" t="n">
        <v>3.18</v>
      </c>
      <c r="G3711" s="0" t="n">
        <v>15884</v>
      </c>
      <c r="H3711" s="3" t="s">
        <v>14</v>
      </c>
      <c r="I3711" s="4" t="n">
        <f aca="false">D3711*F3711</f>
        <v>25.44</v>
      </c>
      <c r="J3711" s="3" t="n">
        <f aca="false">IF(AND(LEFT(A3711,1)&lt;&gt;"C",D3711&gt;0,F3711&gt;0),1,0)</f>
        <v>1</v>
      </c>
      <c r="K3711" s="3" t="n">
        <f aca="false">IF(AND(H3711="United Kingdom",G3711&lt;&gt;"",COUNTIFS($G$2:G3711,G3711,$H$2:H3711,"United Kingdom")=1),1,0)</f>
        <v>0</v>
      </c>
    </row>
    <row r="3712" customFormat="false" ht="15" hidden="false" customHeight="false" outlineLevel="0" collapsed="false">
      <c r="A3712" s="0" t="s">
        <v>764</v>
      </c>
      <c r="B3712" s="0" t="s">
        <v>65</v>
      </c>
      <c r="C3712" s="0" t="s">
        <v>66</v>
      </c>
      <c r="D3712" s="0" t="n">
        <v>2</v>
      </c>
      <c r="E3712" s="2" t="n">
        <v>40851.5798611111</v>
      </c>
      <c r="F3712" s="0" t="n">
        <v>4.75</v>
      </c>
      <c r="G3712" s="0" t="n">
        <v>15884</v>
      </c>
      <c r="H3712" s="3" t="s">
        <v>14</v>
      </c>
      <c r="I3712" s="4" t="n">
        <f aca="false">D3712*F3712</f>
        <v>9.5</v>
      </c>
      <c r="J3712" s="3" t="n">
        <f aca="false">IF(AND(LEFT(A3712,1)&lt;&gt;"C",D3712&gt;0,F3712&gt;0),1,0)</f>
        <v>1</v>
      </c>
      <c r="K3712" s="3" t="n">
        <f aca="false">IF(AND(H3712="United Kingdom",G3712&lt;&gt;"",COUNTIFS($G$2:G3712,G3712,$H$2:H3712,"United Kingdom")=1),1,0)</f>
        <v>0</v>
      </c>
    </row>
    <row r="3713" customFormat="false" ht="15" hidden="false" customHeight="false" outlineLevel="0" collapsed="false">
      <c r="A3713" s="0" t="s">
        <v>764</v>
      </c>
      <c r="B3713" s="0" t="s">
        <v>72</v>
      </c>
      <c r="C3713" s="0" t="s">
        <v>73</v>
      </c>
      <c r="D3713" s="0" t="n">
        <v>8</v>
      </c>
      <c r="E3713" s="2" t="n">
        <v>40851.5798611111</v>
      </c>
      <c r="F3713" s="0" t="n">
        <v>2.69</v>
      </c>
      <c r="G3713" s="0" t="n">
        <v>15884</v>
      </c>
      <c r="H3713" s="3" t="s">
        <v>14</v>
      </c>
      <c r="I3713" s="4" t="n">
        <f aca="false">D3713*F3713</f>
        <v>21.52</v>
      </c>
      <c r="J3713" s="3" t="n">
        <f aca="false">IF(AND(LEFT(A3713,1)&lt;&gt;"C",D3713&gt;0,F3713&gt;0),1,0)</f>
        <v>1</v>
      </c>
      <c r="K3713" s="3" t="n">
        <f aca="false">IF(AND(H3713="United Kingdom",G3713&lt;&gt;"",COUNTIFS($G$2:G3713,G3713,$H$2:H3713,"United Kingdom")=1),1,0)</f>
        <v>0</v>
      </c>
    </row>
    <row r="3714" customFormat="false" ht="15" hidden="false" customHeight="false" outlineLevel="0" collapsed="false">
      <c r="A3714" s="0" t="s">
        <v>764</v>
      </c>
      <c r="B3714" s="0" t="s">
        <v>20</v>
      </c>
      <c r="C3714" s="0" t="s">
        <v>21</v>
      </c>
      <c r="D3714" s="0" t="n">
        <v>24</v>
      </c>
      <c r="E3714" s="2" t="n">
        <v>40851.5798611111</v>
      </c>
      <c r="F3714" s="0" t="n">
        <v>4.24</v>
      </c>
      <c r="G3714" s="0" t="n">
        <v>15884</v>
      </c>
      <c r="H3714" s="3" t="s">
        <v>14</v>
      </c>
      <c r="I3714" s="4" t="n">
        <f aca="false">D3714*F3714</f>
        <v>101.76</v>
      </c>
      <c r="J3714" s="3" t="n">
        <f aca="false">IF(AND(LEFT(A3714,1)&lt;&gt;"C",D3714&gt;0,F3714&gt;0),1,0)</f>
        <v>1</v>
      </c>
      <c r="K3714" s="3" t="n">
        <f aca="false">IF(AND(H3714="United Kingdom",G3714&lt;&gt;"",COUNTIFS($G$2:G3714,G3714,$H$2:H3714,"United Kingdom")=1),1,0)</f>
        <v>0</v>
      </c>
    </row>
    <row r="3715" customFormat="false" ht="15" hidden="false" customHeight="false" outlineLevel="0" collapsed="false">
      <c r="A3715" s="0" t="s">
        <v>764</v>
      </c>
      <c r="B3715" s="0" t="s">
        <v>58</v>
      </c>
      <c r="C3715" s="0" t="s">
        <v>59</v>
      </c>
      <c r="D3715" s="0" t="n">
        <v>24</v>
      </c>
      <c r="E3715" s="2" t="n">
        <v>40851.5798611111</v>
      </c>
      <c r="F3715" s="0" t="n">
        <v>2.16</v>
      </c>
      <c r="G3715" s="0" t="n">
        <v>15884</v>
      </c>
      <c r="H3715" s="3" t="s">
        <v>14</v>
      </c>
      <c r="I3715" s="4" t="n">
        <f aca="false">D3715*F3715</f>
        <v>51.84</v>
      </c>
      <c r="J3715" s="3" t="n">
        <f aca="false">IF(AND(LEFT(A3715,1)&lt;&gt;"C",D3715&gt;0,F3715&gt;0),1,0)</f>
        <v>1</v>
      </c>
      <c r="K3715" s="3" t="n">
        <f aca="false">IF(AND(H3715="United Kingdom",G3715&lt;&gt;"",COUNTIFS($G$2:G3715,G3715,$H$2:H3715,"United Kingdom")=1),1,0)</f>
        <v>0</v>
      </c>
    </row>
    <row r="3716" customFormat="false" ht="15" hidden="false" customHeight="false" outlineLevel="0" collapsed="false">
      <c r="A3716" s="0" t="s">
        <v>764</v>
      </c>
      <c r="B3716" s="0" t="s">
        <v>68</v>
      </c>
      <c r="C3716" s="0" t="s">
        <v>69</v>
      </c>
      <c r="D3716" s="0" t="n">
        <v>2</v>
      </c>
      <c r="E3716" s="2" t="n">
        <v>40851.5798611111</v>
      </c>
      <c r="F3716" s="0" t="n">
        <v>1.26</v>
      </c>
      <c r="G3716" s="0" t="n">
        <v>15884</v>
      </c>
      <c r="H3716" s="3" t="s">
        <v>14</v>
      </c>
      <c r="I3716" s="4" t="n">
        <f aca="false">D3716*F3716</f>
        <v>2.52</v>
      </c>
      <c r="J3716" s="3" t="n">
        <f aca="false">IF(AND(LEFT(A3716,1)&lt;&gt;"C",D3716&gt;0,F3716&gt;0),1,0)</f>
        <v>1</v>
      </c>
      <c r="K3716" s="3" t="n">
        <f aca="false">IF(AND(H3716="United Kingdom",G3716&lt;&gt;"",COUNTIFS($G$2:G3716,G3716,$H$2:H3716,"United Kingdom")=1),1,0)</f>
        <v>0</v>
      </c>
    </row>
    <row r="3717" customFormat="false" ht="15" hidden="false" customHeight="false" outlineLevel="0" collapsed="false">
      <c r="A3717" s="0" t="s">
        <v>764</v>
      </c>
      <c r="B3717" s="0" t="s">
        <v>17</v>
      </c>
      <c r="C3717" s="0" t="s">
        <v>18</v>
      </c>
      <c r="D3717" s="0" t="n">
        <v>2</v>
      </c>
      <c r="E3717" s="2" t="n">
        <v>40851.5798611111</v>
      </c>
      <c r="F3717" s="0" t="n">
        <v>1.92</v>
      </c>
      <c r="G3717" s="0" t="n">
        <v>15884</v>
      </c>
      <c r="H3717" s="3" t="s">
        <v>14</v>
      </c>
      <c r="I3717" s="4" t="n">
        <f aca="false">D3717*F3717</f>
        <v>3.84</v>
      </c>
      <c r="J3717" s="3" t="n">
        <f aca="false">IF(AND(LEFT(A3717,1)&lt;&gt;"C",D3717&gt;0,F3717&gt;0),1,0)</f>
        <v>1</v>
      </c>
      <c r="K3717" s="3" t="n">
        <f aca="false">IF(AND(H3717="United Kingdom",G3717&lt;&gt;"",COUNTIFS($G$2:G3717,G3717,$H$2:H3717,"United Kingdom")=1),1,0)</f>
        <v>0</v>
      </c>
    </row>
    <row r="3718" customFormat="false" ht="15" hidden="false" customHeight="false" outlineLevel="0" collapsed="false">
      <c r="A3718" s="0" t="s">
        <v>764</v>
      </c>
      <c r="B3718" s="0" t="s">
        <v>34</v>
      </c>
      <c r="C3718" s="0" t="s">
        <v>35</v>
      </c>
      <c r="D3718" s="0" t="n">
        <v>2</v>
      </c>
      <c r="E3718" s="2" t="n">
        <v>40851.5798611111</v>
      </c>
      <c r="F3718" s="0" t="n">
        <v>2.38</v>
      </c>
      <c r="G3718" s="0" t="n">
        <v>15884</v>
      </c>
      <c r="H3718" s="3" t="s">
        <v>14</v>
      </c>
      <c r="I3718" s="4" t="n">
        <f aca="false">D3718*F3718</f>
        <v>4.76</v>
      </c>
      <c r="J3718" s="3" t="n">
        <f aca="false">IF(AND(LEFT(A3718,1)&lt;&gt;"C",D3718&gt;0,F3718&gt;0),1,0)</f>
        <v>1</v>
      </c>
      <c r="K3718" s="3" t="n">
        <f aca="false">IF(AND(H3718="United Kingdom",G3718&lt;&gt;"",COUNTIFS($G$2:G3718,G3718,$H$2:H3718,"United Kingdom")=1),1,0)</f>
        <v>0</v>
      </c>
    </row>
    <row r="3719" customFormat="false" ht="15" hidden="false" customHeight="false" outlineLevel="0" collapsed="false">
      <c r="A3719" s="0" t="s">
        <v>764</v>
      </c>
      <c r="B3719" s="0" t="s">
        <v>63</v>
      </c>
      <c r="C3719" s="0" t="s">
        <v>64</v>
      </c>
      <c r="D3719" s="0" t="n">
        <v>2</v>
      </c>
      <c r="E3719" s="2" t="n">
        <v>40851.5798611111</v>
      </c>
      <c r="F3719" s="0" t="n">
        <v>2.43</v>
      </c>
      <c r="G3719" s="0" t="n">
        <v>15884</v>
      </c>
      <c r="H3719" s="3" t="s">
        <v>14</v>
      </c>
      <c r="I3719" s="4" t="n">
        <f aca="false">D3719*F3719</f>
        <v>4.86</v>
      </c>
      <c r="J3719" s="3" t="n">
        <f aca="false">IF(AND(LEFT(A3719,1)&lt;&gt;"C",D3719&gt;0,F3719&gt;0),1,0)</f>
        <v>1</v>
      </c>
      <c r="K3719" s="3" t="n">
        <f aca="false">IF(AND(H3719="United Kingdom",G3719&lt;&gt;"",COUNTIFS($G$2:G3719,G3719,$H$2:H3719,"United Kingdom")=1),1,0)</f>
        <v>0</v>
      </c>
    </row>
    <row r="3720" customFormat="false" ht="15" hidden="false" customHeight="false" outlineLevel="0" collapsed="false">
      <c r="A3720" s="0" t="s">
        <v>765</v>
      </c>
      <c r="B3720" s="0" t="s">
        <v>113</v>
      </c>
      <c r="C3720" s="0" t="s">
        <v>114</v>
      </c>
      <c r="D3720" s="0" t="n">
        <v>1</v>
      </c>
      <c r="E3720" s="2" t="n">
        <v>40851.5986111111</v>
      </c>
      <c r="F3720" s="0" t="n">
        <v>3.57</v>
      </c>
      <c r="G3720" s="0" t="n">
        <v>15278</v>
      </c>
      <c r="H3720" s="3" t="s">
        <v>14</v>
      </c>
      <c r="I3720" s="4" t="n">
        <f aca="false">D3720*F3720</f>
        <v>3.57</v>
      </c>
      <c r="J3720" s="3" t="n">
        <f aca="false">IF(AND(LEFT(A3720,1)&lt;&gt;"C",D3720&gt;0,F3720&gt;0),1,0)</f>
        <v>1</v>
      </c>
      <c r="K3720" s="3" t="n">
        <f aca="false">IF(AND(H3720="United Kingdom",G3720&lt;&gt;"",COUNTIFS($G$2:G3720,G3720,$H$2:H3720,"United Kingdom")=1),1,0)</f>
        <v>0</v>
      </c>
    </row>
    <row r="3721" customFormat="false" ht="15" hidden="false" customHeight="false" outlineLevel="0" collapsed="false">
      <c r="A3721" s="0" t="s">
        <v>765</v>
      </c>
      <c r="B3721" s="0" t="s">
        <v>20</v>
      </c>
      <c r="C3721" s="0" t="s">
        <v>21</v>
      </c>
      <c r="D3721" s="0" t="n">
        <v>1</v>
      </c>
      <c r="E3721" s="2" t="n">
        <v>40851.5986111111</v>
      </c>
      <c r="F3721" s="0" t="n">
        <v>4.24</v>
      </c>
      <c r="G3721" s="0" t="n">
        <v>15278</v>
      </c>
      <c r="H3721" s="3" t="s">
        <v>14</v>
      </c>
      <c r="I3721" s="4" t="n">
        <f aca="false">D3721*F3721</f>
        <v>4.24</v>
      </c>
      <c r="J3721" s="3" t="n">
        <f aca="false">IF(AND(LEFT(A3721,1)&lt;&gt;"C",D3721&gt;0,F3721&gt;0),1,0)</f>
        <v>1</v>
      </c>
      <c r="K3721" s="3" t="n">
        <f aca="false">IF(AND(H3721="United Kingdom",G3721&lt;&gt;"",COUNTIFS($G$2:G3721,G3721,$H$2:H3721,"United Kingdom")=1),1,0)</f>
        <v>0</v>
      </c>
    </row>
    <row r="3722" customFormat="false" ht="15" hidden="false" customHeight="false" outlineLevel="0" collapsed="false">
      <c r="A3722" s="0" t="s">
        <v>765</v>
      </c>
      <c r="B3722" s="0" t="s">
        <v>50</v>
      </c>
      <c r="C3722" s="0" t="s">
        <v>51</v>
      </c>
      <c r="D3722" s="0" t="n">
        <v>4</v>
      </c>
      <c r="E3722" s="2" t="n">
        <v>40851.5986111111</v>
      </c>
      <c r="F3722" s="0" t="n">
        <v>5.41</v>
      </c>
      <c r="G3722" s="0" t="n">
        <v>15278</v>
      </c>
      <c r="H3722" s="3" t="s">
        <v>14</v>
      </c>
      <c r="I3722" s="4" t="n">
        <f aca="false">D3722*F3722</f>
        <v>21.64</v>
      </c>
      <c r="J3722" s="3" t="n">
        <f aca="false">IF(AND(LEFT(A3722,1)&lt;&gt;"C",D3722&gt;0,F3722&gt;0),1,0)</f>
        <v>1</v>
      </c>
      <c r="K3722" s="3" t="n">
        <f aca="false">IF(AND(H3722="United Kingdom",G3722&lt;&gt;"",COUNTIFS($G$2:G3722,G3722,$H$2:H3722,"United Kingdom")=1),1,0)</f>
        <v>0</v>
      </c>
    </row>
    <row r="3723" customFormat="false" ht="15" hidden="false" customHeight="false" outlineLevel="0" collapsed="false">
      <c r="A3723" s="0" t="s">
        <v>766</v>
      </c>
      <c r="B3723" s="0" t="s">
        <v>17</v>
      </c>
      <c r="C3723" s="0" t="s">
        <v>18</v>
      </c>
      <c r="D3723" s="0" t="n">
        <v>1</v>
      </c>
      <c r="E3723" s="2" t="n">
        <v>40852.4777777778</v>
      </c>
      <c r="F3723" s="0" t="n">
        <v>1.92</v>
      </c>
      <c r="G3723" s="0" t="n">
        <v>18051</v>
      </c>
      <c r="H3723" s="3" t="s">
        <v>14</v>
      </c>
      <c r="I3723" s="4" t="n">
        <f aca="false">D3723*F3723</f>
        <v>1.92</v>
      </c>
      <c r="J3723" s="3" t="n">
        <f aca="false">IF(AND(LEFT(A3723,1)&lt;&gt;"C",D3723&gt;0,F3723&gt;0),1,0)</f>
        <v>1</v>
      </c>
      <c r="K3723" s="3" t="n">
        <f aca="false">IF(AND(H3723="United Kingdom",G3723&lt;&gt;"",COUNTIFS($G$2:G3723,G3723,$H$2:H3723,"United Kingdom")=1),1,0)</f>
        <v>0</v>
      </c>
    </row>
    <row r="3724" customFormat="false" ht="15" hidden="false" customHeight="false" outlineLevel="0" collapsed="false">
      <c r="A3724" s="0" t="s">
        <v>766</v>
      </c>
      <c r="B3724" s="0" t="s">
        <v>54</v>
      </c>
      <c r="C3724" s="0" t="s">
        <v>55</v>
      </c>
      <c r="D3724" s="0" t="n">
        <v>4</v>
      </c>
      <c r="E3724" s="2" t="n">
        <v>40852.4777777778</v>
      </c>
      <c r="F3724" s="0" t="n">
        <v>0.99</v>
      </c>
      <c r="G3724" s="0" t="n">
        <v>18051</v>
      </c>
      <c r="H3724" s="3" t="s">
        <v>14</v>
      </c>
      <c r="I3724" s="4" t="n">
        <f aca="false">D3724*F3724</f>
        <v>3.96</v>
      </c>
      <c r="J3724" s="3" t="n">
        <f aca="false">IF(AND(LEFT(A3724,1)&lt;&gt;"C",D3724&gt;0,F3724&gt;0),1,0)</f>
        <v>1</v>
      </c>
      <c r="K3724" s="3" t="n">
        <f aca="false">IF(AND(H3724="United Kingdom",G3724&lt;&gt;"",COUNTIFS($G$2:G3724,G3724,$H$2:H3724,"United Kingdom")=1),1,0)</f>
        <v>0</v>
      </c>
    </row>
    <row r="3725" customFormat="false" ht="15" hidden="false" customHeight="false" outlineLevel="0" collapsed="false">
      <c r="A3725" s="0" t="s">
        <v>766</v>
      </c>
      <c r="B3725" s="0" t="s">
        <v>77</v>
      </c>
      <c r="C3725" s="0" t="s">
        <v>78</v>
      </c>
      <c r="D3725" s="0" t="n">
        <v>1</v>
      </c>
      <c r="E3725" s="2" t="n">
        <v>40852.4777777778</v>
      </c>
      <c r="F3725" s="0" t="n">
        <v>3.41</v>
      </c>
      <c r="G3725" s="0" t="n">
        <v>18051</v>
      </c>
      <c r="H3725" s="3" t="s">
        <v>14</v>
      </c>
      <c r="I3725" s="4" t="n">
        <f aca="false">D3725*F3725</f>
        <v>3.41</v>
      </c>
      <c r="J3725" s="3" t="n">
        <f aca="false">IF(AND(LEFT(A3725,1)&lt;&gt;"C",D3725&gt;0,F3725&gt;0),1,0)</f>
        <v>1</v>
      </c>
      <c r="K3725" s="3" t="n">
        <f aca="false">IF(AND(H3725="United Kingdom",G3725&lt;&gt;"",COUNTIFS($G$2:G3725,G3725,$H$2:H3725,"United Kingdom")=1),1,0)</f>
        <v>0</v>
      </c>
    </row>
    <row r="3726" customFormat="false" ht="15" hidden="false" customHeight="false" outlineLevel="0" collapsed="false">
      <c r="A3726" s="0" t="s">
        <v>766</v>
      </c>
      <c r="B3726" s="0" t="s">
        <v>22</v>
      </c>
      <c r="C3726" s="0" t="s">
        <v>23</v>
      </c>
      <c r="D3726" s="0" t="n">
        <v>8</v>
      </c>
      <c r="E3726" s="2" t="n">
        <v>40852.4777777778</v>
      </c>
      <c r="F3726" s="0" t="n">
        <v>3.18</v>
      </c>
      <c r="G3726" s="0" t="n">
        <v>18051</v>
      </c>
      <c r="H3726" s="3" t="s">
        <v>14</v>
      </c>
      <c r="I3726" s="4" t="n">
        <f aca="false">D3726*F3726</f>
        <v>25.44</v>
      </c>
      <c r="J3726" s="3" t="n">
        <f aca="false">IF(AND(LEFT(A3726,1)&lt;&gt;"C",D3726&gt;0,F3726&gt;0),1,0)</f>
        <v>1</v>
      </c>
      <c r="K3726" s="3" t="n">
        <f aca="false">IF(AND(H3726="United Kingdom",G3726&lt;&gt;"",COUNTIFS($G$2:G3726,G3726,$H$2:H3726,"United Kingdom")=1),1,0)</f>
        <v>0</v>
      </c>
    </row>
    <row r="3727" customFormat="false" ht="15" hidden="false" customHeight="false" outlineLevel="0" collapsed="false">
      <c r="A3727" s="0" t="s">
        <v>766</v>
      </c>
      <c r="B3727" s="0" t="s">
        <v>45</v>
      </c>
      <c r="C3727" s="0" t="s">
        <v>46</v>
      </c>
      <c r="D3727" s="0" t="n">
        <v>2</v>
      </c>
      <c r="E3727" s="2" t="n">
        <v>40852.4777777778</v>
      </c>
      <c r="F3727" s="0" t="n">
        <v>4.55</v>
      </c>
      <c r="G3727" s="0" t="n">
        <v>18051</v>
      </c>
      <c r="H3727" s="3" t="s">
        <v>14</v>
      </c>
      <c r="I3727" s="4" t="n">
        <f aca="false">D3727*F3727</f>
        <v>9.1</v>
      </c>
      <c r="J3727" s="3" t="n">
        <f aca="false">IF(AND(LEFT(A3727,1)&lt;&gt;"C",D3727&gt;0,F3727&gt;0),1,0)</f>
        <v>1</v>
      </c>
      <c r="K3727" s="3" t="n">
        <f aca="false">IF(AND(H3727="United Kingdom",G3727&lt;&gt;"",COUNTIFS($G$2:G3727,G3727,$H$2:H3727,"United Kingdom")=1),1,0)</f>
        <v>0</v>
      </c>
    </row>
    <row r="3728" customFormat="false" ht="15" hidden="false" customHeight="false" outlineLevel="0" collapsed="false">
      <c r="A3728" s="0" t="s">
        <v>766</v>
      </c>
      <c r="B3728" s="0" t="s">
        <v>15</v>
      </c>
      <c r="C3728" s="0" t="s">
        <v>16</v>
      </c>
      <c r="D3728" s="0" t="n">
        <v>16</v>
      </c>
      <c r="E3728" s="2" t="n">
        <v>40852.4777777778</v>
      </c>
      <c r="F3728" s="0" t="n">
        <v>3.18</v>
      </c>
      <c r="G3728" s="0" t="n">
        <v>18051</v>
      </c>
      <c r="H3728" s="3" t="s">
        <v>14</v>
      </c>
      <c r="I3728" s="4" t="n">
        <f aca="false">D3728*F3728</f>
        <v>50.88</v>
      </c>
      <c r="J3728" s="3" t="n">
        <f aca="false">IF(AND(LEFT(A3728,1)&lt;&gt;"C",D3728&gt;0,F3728&gt;0),1,0)</f>
        <v>1</v>
      </c>
      <c r="K3728" s="3" t="n">
        <f aca="false">IF(AND(H3728="United Kingdom",G3728&lt;&gt;"",COUNTIFS($G$2:G3728,G3728,$H$2:H3728,"United Kingdom")=1),1,0)</f>
        <v>0</v>
      </c>
    </row>
    <row r="3729" customFormat="false" ht="15" hidden="false" customHeight="false" outlineLevel="0" collapsed="false">
      <c r="A3729" s="0" t="s">
        <v>766</v>
      </c>
      <c r="B3729" s="0" t="s">
        <v>65</v>
      </c>
      <c r="C3729" s="0" t="s">
        <v>66</v>
      </c>
      <c r="D3729" s="0" t="n">
        <v>8</v>
      </c>
      <c r="E3729" s="2" t="n">
        <v>40852.4777777778</v>
      </c>
      <c r="F3729" s="0" t="n">
        <v>4.75</v>
      </c>
      <c r="G3729" s="0" t="n">
        <v>18051</v>
      </c>
      <c r="H3729" s="3" t="s">
        <v>14</v>
      </c>
      <c r="I3729" s="4" t="n">
        <f aca="false">D3729*F3729</f>
        <v>38</v>
      </c>
      <c r="J3729" s="3" t="n">
        <f aca="false">IF(AND(LEFT(A3729,1)&lt;&gt;"C",D3729&gt;0,F3729&gt;0),1,0)</f>
        <v>1</v>
      </c>
      <c r="K3729" s="3" t="n">
        <f aca="false">IF(AND(H3729="United Kingdom",G3729&lt;&gt;"",COUNTIFS($G$2:G3729,G3729,$H$2:H3729,"United Kingdom")=1),1,0)</f>
        <v>0</v>
      </c>
    </row>
    <row r="3730" customFormat="false" ht="15" hidden="false" customHeight="false" outlineLevel="0" collapsed="false">
      <c r="A3730" s="0" t="s">
        <v>766</v>
      </c>
      <c r="B3730" s="0" t="s">
        <v>75</v>
      </c>
      <c r="C3730" s="0" t="s">
        <v>76</v>
      </c>
      <c r="D3730" s="0" t="n">
        <v>24</v>
      </c>
      <c r="E3730" s="2" t="n">
        <v>40852.4777777778</v>
      </c>
      <c r="F3730" s="0" t="n">
        <v>1.97</v>
      </c>
      <c r="G3730" s="0" t="n">
        <v>18051</v>
      </c>
      <c r="H3730" s="3" t="s">
        <v>14</v>
      </c>
      <c r="I3730" s="4" t="n">
        <f aca="false">D3730*F3730</f>
        <v>47.28</v>
      </c>
      <c r="J3730" s="3" t="n">
        <f aca="false">IF(AND(LEFT(A3730,1)&lt;&gt;"C",D3730&gt;0,F3730&gt;0),1,0)</f>
        <v>1</v>
      </c>
      <c r="K3730" s="3" t="n">
        <f aca="false">IF(AND(H3730="United Kingdom",G3730&lt;&gt;"",COUNTIFS($G$2:G3730,G3730,$H$2:H3730,"United Kingdom")=1),1,0)</f>
        <v>0</v>
      </c>
    </row>
    <row r="3731" customFormat="false" ht="15" hidden="false" customHeight="false" outlineLevel="0" collapsed="false">
      <c r="A3731" s="0" t="s">
        <v>766</v>
      </c>
      <c r="B3731" s="0" t="s">
        <v>72</v>
      </c>
      <c r="C3731" s="0" t="s">
        <v>73</v>
      </c>
      <c r="D3731" s="0" t="n">
        <v>2</v>
      </c>
      <c r="E3731" s="2" t="n">
        <v>40852.4777777778</v>
      </c>
      <c r="F3731" s="0" t="n">
        <v>2.69</v>
      </c>
      <c r="G3731" s="0" t="n">
        <v>18051</v>
      </c>
      <c r="H3731" s="3" t="s">
        <v>14</v>
      </c>
      <c r="I3731" s="4" t="n">
        <f aca="false">D3731*F3731</f>
        <v>5.38</v>
      </c>
      <c r="J3731" s="3" t="n">
        <f aca="false">IF(AND(LEFT(A3731,1)&lt;&gt;"C",D3731&gt;0,F3731&gt;0),1,0)</f>
        <v>1</v>
      </c>
      <c r="K3731" s="3" t="n">
        <f aca="false">IF(AND(H3731="United Kingdom",G3731&lt;&gt;"",COUNTIFS($G$2:G3731,G3731,$H$2:H3731,"United Kingdom")=1),1,0)</f>
        <v>0</v>
      </c>
    </row>
    <row r="3732" customFormat="false" ht="15" hidden="false" customHeight="false" outlineLevel="0" collapsed="false">
      <c r="A3732" s="0" t="s">
        <v>767</v>
      </c>
      <c r="B3732" s="0" t="s">
        <v>12</v>
      </c>
      <c r="C3732" s="0" t="s">
        <v>13</v>
      </c>
      <c r="D3732" s="0" t="n">
        <v>144</v>
      </c>
      <c r="E3732" s="2" t="n">
        <v>40853.8111111111</v>
      </c>
      <c r="F3732" s="0" t="n">
        <v>3.33</v>
      </c>
      <c r="G3732" s="0" t="n">
        <v>15287</v>
      </c>
      <c r="H3732" s="3" t="s">
        <v>14</v>
      </c>
      <c r="I3732" s="4" t="n">
        <f aca="false">D3732*F3732</f>
        <v>479.52</v>
      </c>
      <c r="J3732" s="3" t="n">
        <f aca="false">IF(AND(LEFT(A3732,1)&lt;&gt;"C",D3732&gt;0,F3732&gt;0),1,0)</f>
        <v>1</v>
      </c>
      <c r="K3732" s="3" t="n">
        <f aca="false">IF(AND(H3732="United Kingdom",G3732&lt;&gt;"",COUNTIFS($G$2:G3732,G3732,$H$2:H3732,"United Kingdom")=1),1,0)</f>
        <v>0</v>
      </c>
    </row>
    <row r="3733" customFormat="false" ht="15" hidden="false" customHeight="false" outlineLevel="0" collapsed="false">
      <c r="A3733" s="0" t="s">
        <v>767</v>
      </c>
      <c r="B3733" s="0" t="s">
        <v>75</v>
      </c>
      <c r="C3733" s="0" t="s">
        <v>76</v>
      </c>
      <c r="D3733" s="0" t="n">
        <v>216</v>
      </c>
      <c r="E3733" s="2" t="n">
        <v>40853.8111111111</v>
      </c>
      <c r="F3733" s="0" t="n">
        <v>1.97</v>
      </c>
      <c r="G3733" s="0" t="n">
        <v>15287</v>
      </c>
      <c r="H3733" s="3" t="s">
        <v>14</v>
      </c>
      <c r="I3733" s="4" t="n">
        <f aca="false">D3733*F3733</f>
        <v>425.52</v>
      </c>
      <c r="J3733" s="3" t="n">
        <f aca="false">IF(AND(LEFT(A3733,1)&lt;&gt;"C",D3733&gt;0,F3733&gt;0),1,0)</f>
        <v>1</v>
      </c>
      <c r="K3733" s="3" t="n">
        <f aca="false">IF(AND(H3733="United Kingdom",G3733&lt;&gt;"",COUNTIFS($G$2:G3733,G3733,$H$2:H3733,"United Kingdom")=1),1,0)</f>
        <v>0</v>
      </c>
    </row>
    <row r="3734" customFormat="false" ht="15" hidden="false" customHeight="false" outlineLevel="0" collapsed="false">
      <c r="A3734" s="0" t="s">
        <v>767</v>
      </c>
      <c r="B3734" s="0" t="s">
        <v>58</v>
      </c>
      <c r="C3734" s="0" t="s">
        <v>59</v>
      </c>
      <c r="D3734" s="0" t="n">
        <v>24</v>
      </c>
      <c r="E3734" s="2" t="n">
        <v>40853.8111111111</v>
      </c>
      <c r="F3734" s="0" t="n">
        <v>2.16</v>
      </c>
      <c r="G3734" s="0" t="n">
        <v>15287</v>
      </c>
      <c r="H3734" s="3" t="s">
        <v>14</v>
      </c>
      <c r="I3734" s="4" t="n">
        <f aca="false">D3734*F3734</f>
        <v>51.84</v>
      </c>
      <c r="J3734" s="3" t="n">
        <f aca="false">IF(AND(LEFT(A3734,1)&lt;&gt;"C",D3734&gt;0,F3734&gt;0),1,0)</f>
        <v>1</v>
      </c>
      <c r="K3734" s="3" t="n">
        <f aca="false">IF(AND(H3734="United Kingdom",G3734&lt;&gt;"",COUNTIFS($G$2:G3734,G3734,$H$2:H3734,"United Kingdom")=1),1,0)</f>
        <v>0</v>
      </c>
    </row>
    <row r="3735" customFormat="false" ht="15" hidden="false" customHeight="false" outlineLevel="0" collapsed="false">
      <c r="A3735" s="0" t="s">
        <v>767</v>
      </c>
      <c r="B3735" s="0" t="s">
        <v>41</v>
      </c>
      <c r="C3735" s="0" t="s">
        <v>42</v>
      </c>
      <c r="D3735" s="0" t="n">
        <v>36</v>
      </c>
      <c r="E3735" s="2" t="n">
        <v>40853.8111111111</v>
      </c>
      <c r="F3735" s="0" t="n">
        <v>3.28</v>
      </c>
      <c r="G3735" s="0" t="n">
        <v>15287</v>
      </c>
      <c r="H3735" s="3" t="s">
        <v>14</v>
      </c>
      <c r="I3735" s="4" t="n">
        <f aca="false">D3735*F3735</f>
        <v>118.08</v>
      </c>
      <c r="J3735" s="3" t="n">
        <f aca="false">IF(AND(LEFT(A3735,1)&lt;&gt;"C",D3735&gt;0,F3735&gt;0),1,0)</f>
        <v>1</v>
      </c>
      <c r="K3735" s="3" t="n">
        <f aca="false">IF(AND(H3735="United Kingdom",G3735&lt;&gt;"",COUNTIFS($G$2:G3735,G3735,$H$2:H3735,"United Kingdom")=1),1,0)</f>
        <v>0</v>
      </c>
    </row>
    <row r="3736" customFormat="false" ht="15" hidden="false" customHeight="false" outlineLevel="0" collapsed="false">
      <c r="A3736" s="0" t="s">
        <v>767</v>
      </c>
      <c r="B3736" s="0" t="s">
        <v>45</v>
      </c>
      <c r="C3736" s="0" t="s">
        <v>46</v>
      </c>
      <c r="D3736" s="0" t="n">
        <v>48</v>
      </c>
      <c r="E3736" s="2" t="n">
        <v>40853.8111111111</v>
      </c>
      <c r="F3736" s="0" t="n">
        <v>4.55</v>
      </c>
      <c r="G3736" s="0" t="n">
        <v>15287</v>
      </c>
      <c r="H3736" s="3" t="s">
        <v>14</v>
      </c>
      <c r="I3736" s="4" t="n">
        <f aca="false">D3736*F3736</f>
        <v>218.4</v>
      </c>
      <c r="J3736" s="3" t="n">
        <f aca="false">IF(AND(LEFT(A3736,1)&lt;&gt;"C",D3736&gt;0,F3736&gt;0),1,0)</f>
        <v>1</v>
      </c>
      <c r="K3736" s="3" t="n">
        <f aca="false">IF(AND(H3736="United Kingdom",G3736&lt;&gt;"",COUNTIFS($G$2:G3736,G3736,$H$2:H3736,"United Kingdom")=1),1,0)</f>
        <v>0</v>
      </c>
    </row>
    <row r="3737" customFormat="false" ht="15" hidden="false" customHeight="false" outlineLevel="0" collapsed="false">
      <c r="A3737" s="0" t="s">
        <v>767</v>
      </c>
      <c r="B3737" s="0" t="s">
        <v>72</v>
      </c>
      <c r="C3737" s="0" t="s">
        <v>73</v>
      </c>
      <c r="D3737" s="0" t="n">
        <v>432</v>
      </c>
      <c r="E3737" s="2" t="n">
        <v>40853.8111111111</v>
      </c>
      <c r="F3737" s="0" t="n">
        <v>2.69</v>
      </c>
      <c r="G3737" s="0" t="n">
        <v>15287</v>
      </c>
      <c r="H3737" s="3" t="s">
        <v>14</v>
      </c>
      <c r="I3737" s="4" t="n">
        <f aca="false">D3737*F3737</f>
        <v>1162.08</v>
      </c>
      <c r="J3737" s="3" t="n">
        <f aca="false">IF(AND(LEFT(A3737,1)&lt;&gt;"C",D3737&gt;0,F3737&gt;0),1,0)</f>
        <v>1</v>
      </c>
      <c r="K3737" s="3" t="n">
        <f aca="false">IF(AND(H3737="United Kingdom",G3737&lt;&gt;"",COUNTIFS($G$2:G3737,G3737,$H$2:H3737,"United Kingdom")=1),1,0)</f>
        <v>0</v>
      </c>
    </row>
    <row r="3738" customFormat="false" ht="15" hidden="false" customHeight="false" outlineLevel="0" collapsed="false">
      <c r="A3738" s="0" t="s">
        <v>767</v>
      </c>
      <c r="B3738" s="0" t="s">
        <v>22</v>
      </c>
      <c r="C3738" s="0" t="s">
        <v>23</v>
      </c>
      <c r="D3738" s="0" t="n">
        <v>12</v>
      </c>
      <c r="E3738" s="2" t="n">
        <v>40853.8111111111</v>
      </c>
      <c r="F3738" s="0" t="n">
        <v>3.18</v>
      </c>
      <c r="G3738" s="0" t="n">
        <v>15287</v>
      </c>
      <c r="H3738" s="3" t="s">
        <v>14</v>
      </c>
      <c r="I3738" s="4" t="n">
        <f aca="false">D3738*F3738</f>
        <v>38.16</v>
      </c>
      <c r="J3738" s="3" t="n">
        <f aca="false">IF(AND(LEFT(A3738,1)&lt;&gt;"C",D3738&gt;0,F3738&gt;0),1,0)</f>
        <v>1</v>
      </c>
      <c r="K3738" s="3" t="n">
        <f aca="false">IF(AND(H3738="United Kingdom",G3738&lt;&gt;"",COUNTIFS($G$2:G3738,G3738,$H$2:H3738,"United Kingdom")=1),1,0)</f>
        <v>0</v>
      </c>
    </row>
    <row r="3739" customFormat="false" ht="15" hidden="false" customHeight="false" outlineLevel="0" collapsed="false">
      <c r="A3739" s="0" t="s">
        <v>767</v>
      </c>
      <c r="B3739" s="0" t="s">
        <v>60</v>
      </c>
      <c r="C3739" s="0" t="s">
        <v>61</v>
      </c>
      <c r="D3739" s="0" t="n">
        <v>24</v>
      </c>
      <c r="E3739" s="2" t="n">
        <v>40853.8111111111</v>
      </c>
      <c r="F3739" s="0" t="n">
        <v>0.63</v>
      </c>
      <c r="G3739" s="0" t="n">
        <v>15287</v>
      </c>
      <c r="H3739" s="3" t="s">
        <v>14</v>
      </c>
      <c r="I3739" s="4" t="n">
        <f aca="false">D3739*F3739</f>
        <v>15.12</v>
      </c>
      <c r="J3739" s="3" t="n">
        <f aca="false">IF(AND(LEFT(A3739,1)&lt;&gt;"C",D3739&gt;0,F3739&gt;0),1,0)</f>
        <v>1</v>
      </c>
      <c r="K3739" s="3" t="n">
        <f aca="false">IF(AND(H3739="United Kingdom",G3739&lt;&gt;"",COUNTIFS($G$2:G3739,G3739,$H$2:H3739,"United Kingdom")=1),1,0)</f>
        <v>0</v>
      </c>
    </row>
    <row r="3740" customFormat="false" ht="15" hidden="false" customHeight="false" outlineLevel="0" collapsed="false">
      <c r="A3740" s="0" t="s">
        <v>767</v>
      </c>
      <c r="B3740" s="0" t="s">
        <v>37</v>
      </c>
      <c r="C3740" s="0" t="s">
        <v>38</v>
      </c>
      <c r="D3740" s="0" t="n">
        <v>36</v>
      </c>
      <c r="E3740" s="2" t="n">
        <v>40853.8111111111</v>
      </c>
      <c r="F3740" s="0" t="n">
        <v>1.82</v>
      </c>
      <c r="G3740" s="0" t="n">
        <v>15287</v>
      </c>
      <c r="H3740" s="3" t="s">
        <v>14</v>
      </c>
      <c r="I3740" s="4" t="n">
        <f aca="false">D3740*F3740</f>
        <v>65.52</v>
      </c>
      <c r="J3740" s="3" t="n">
        <f aca="false">IF(AND(LEFT(A3740,1)&lt;&gt;"C",D3740&gt;0,F3740&gt;0),1,0)</f>
        <v>1</v>
      </c>
      <c r="K3740" s="3" t="n">
        <f aca="false">IF(AND(H3740="United Kingdom",G3740&lt;&gt;"",COUNTIFS($G$2:G3740,G3740,$H$2:H3740,"United Kingdom")=1),1,0)</f>
        <v>0</v>
      </c>
    </row>
    <row r="3741" customFormat="false" ht="15" hidden="false" customHeight="false" outlineLevel="0" collapsed="false">
      <c r="A3741" s="0" t="s">
        <v>767</v>
      </c>
      <c r="B3741" s="0" t="s">
        <v>52</v>
      </c>
      <c r="C3741" s="0" t="s">
        <v>53</v>
      </c>
      <c r="D3741" s="0" t="n">
        <v>72</v>
      </c>
      <c r="E3741" s="2" t="n">
        <v>40853.8111111111</v>
      </c>
      <c r="F3741" s="0" t="n">
        <v>4.16</v>
      </c>
      <c r="G3741" s="0" t="n">
        <v>15287</v>
      </c>
      <c r="H3741" s="3" t="s">
        <v>14</v>
      </c>
      <c r="I3741" s="4" t="n">
        <f aca="false">D3741*F3741</f>
        <v>299.52</v>
      </c>
      <c r="J3741" s="3" t="n">
        <f aca="false">IF(AND(LEFT(A3741,1)&lt;&gt;"C",D3741&gt;0,F3741&gt;0),1,0)</f>
        <v>1</v>
      </c>
      <c r="K3741" s="3" t="n">
        <f aca="false">IF(AND(H3741="United Kingdom",G3741&lt;&gt;"",COUNTIFS($G$2:G3741,G3741,$H$2:H3741,"United Kingdom")=1),1,0)</f>
        <v>0</v>
      </c>
    </row>
    <row r="3742" customFormat="false" ht="15" hidden="false" customHeight="false" outlineLevel="0" collapsed="false">
      <c r="A3742" s="0" t="s">
        <v>767</v>
      </c>
      <c r="B3742" s="0" t="s">
        <v>43</v>
      </c>
      <c r="C3742" s="0" t="s">
        <v>44</v>
      </c>
      <c r="D3742" s="0" t="n">
        <v>24</v>
      </c>
      <c r="E3742" s="2" t="n">
        <v>40853.8111111111</v>
      </c>
      <c r="F3742" s="0" t="n">
        <v>1.35</v>
      </c>
      <c r="G3742" s="0" t="n">
        <v>15287</v>
      </c>
      <c r="H3742" s="3" t="s">
        <v>14</v>
      </c>
      <c r="I3742" s="4" t="n">
        <f aca="false">D3742*F3742</f>
        <v>32.4</v>
      </c>
      <c r="J3742" s="3" t="n">
        <f aca="false">IF(AND(LEFT(A3742,1)&lt;&gt;"C",D3742&gt;0,F3742&gt;0),1,0)</f>
        <v>1</v>
      </c>
      <c r="K3742" s="3" t="n">
        <f aca="false">IF(AND(H3742="United Kingdom",G3742&lt;&gt;"",COUNTIFS($G$2:G3742,G3742,$H$2:H3742,"United Kingdom")=1),1,0)</f>
        <v>0</v>
      </c>
    </row>
    <row r="3743" customFormat="false" ht="15" hidden="false" customHeight="false" outlineLevel="0" collapsed="false">
      <c r="A3743" s="0" t="s">
        <v>767</v>
      </c>
      <c r="B3743" s="0" t="s">
        <v>77</v>
      </c>
      <c r="C3743" s="0" t="s">
        <v>78</v>
      </c>
      <c r="D3743" s="0" t="n">
        <v>48</v>
      </c>
      <c r="E3743" s="2" t="n">
        <v>40853.8111111111</v>
      </c>
      <c r="F3743" s="0" t="n">
        <v>3.41</v>
      </c>
      <c r="G3743" s="0" t="n">
        <v>15287</v>
      </c>
      <c r="H3743" s="3" t="s">
        <v>14</v>
      </c>
      <c r="I3743" s="4" t="n">
        <f aca="false">D3743*F3743</f>
        <v>163.68</v>
      </c>
      <c r="J3743" s="3" t="n">
        <f aca="false">IF(AND(LEFT(A3743,1)&lt;&gt;"C",D3743&gt;0,F3743&gt;0),1,0)</f>
        <v>1</v>
      </c>
      <c r="K3743" s="3" t="n">
        <f aca="false">IF(AND(H3743="United Kingdom",G3743&lt;&gt;"",COUNTIFS($G$2:G3743,G3743,$H$2:H3743,"United Kingdom")=1),1,0)</f>
        <v>0</v>
      </c>
    </row>
    <row r="3744" customFormat="false" ht="15" hidden="false" customHeight="false" outlineLevel="0" collapsed="false">
      <c r="A3744" s="0" t="s">
        <v>767</v>
      </c>
      <c r="B3744" s="0" t="s">
        <v>68</v>
      </c>
      <c r="C3744" s="0" t="s">
        <v>69</v>
      </c>
      <c r="D3744" s="0" t="n">
        <v>18</v>
      </c>
      <c r="E3744" s="2" t="n">
        <v>40853.8111111111</v>
      </c>
      <c r="F3744" s="0" t="n">
        <v>1.26</v>
      </c>
      <c r="G3744" s="0" t="n">
        <v>15287</v>
      </c>
      <c r="H3744" s="3" t="s">
        <v>14</v>
      </c>
      <c r="I3744" s="4" t="n">
        <f aca="false">D3744*F3744</f>
        <v>22.68</v>
      </c>
      <c r="J3744" s="3" t="n">
        <f aca="false">IF(AND(LEFT(A3744,1)&lt;&gt;"C",D3744&gt;0,F3744&gt;0),1,0)</f>
        <v>1</v>
      </c>
      <c r="K3744" s="3" t="n">
        <f aca="false">IF(AND(H3744="United Kingdom",G3744&lt;&gt;"",COUNTIFS($G$2:G3744,G3744,$H$2:H3744,"United Kingdom")=1),1,0)</f>
        <v>0</v>
      </c>
    </row>
    <row r="3745" customFormat="false" ht="15" hidden="false" customHeight="false" outlineLevel="0" collapsed="false">
      <c r="A3745" s="0" t="s">
        <v>768</v>
      </c>
      <c r="B3745" s="0" t="s">
        <v>50</v>
      </c>
      <c r="C3745" s="0" t="s">
        <v>51</v>
      </c>
      <c r="D3745" s="0" t="n">
        <v>6</v>
      </c>
      <c r="E3745" s="2" t="n">
        <v>40853.81875</v>
      </c>
      <c r="F3745" s="0" t="n">
        <v>5.41</v>
      </c>
      <c r="G3745" s="0" t="n">
        <v>15312</v>
      </c>
      <c r="H3745" s="3" t="s">
        <v>124</v>
      </c>
      <c r="I3745" s="4" t="n">
        <f aca="false">D3745*F3745</f>
        <v>32.46</v>
      </c>
      <c r="J3745" s="3" t="n">
        <f aca="false">IF(AND(LEFT(A3745,1)&lt;&gt;"C",D3745&gt;0,F3745&gt;0),1,0)</f>
        <v>1</v>
      </c>
      <c r="K3745" s="3" t="n">
        <f aca="false">IF(AND(H3745="United Kingdom",G3745&lt;&gt;"",COUNTIFS($G$2:G3745,G3745,$H$2:H3745,"United Kingdom")=1),1,0)</f>
        <v>0</v>
      </c>
    </row>
    <row r="3746" customFormat="false" ht="15" hidden="false" customHeight="false" outlineLevel="0" collapsed="false">
      <c r="A3746" s="0" t="s">
        <v>768</v>
      </c>
      <c r="B3746" s="0" t="s">
        <v>39</v>
      </c>
      <c r="C3746" s="0" t="s">
        <v>40</v>
      </c>
      <c r="D3746" s="0" t="n">
        <v>18</v>
      </c>
      <c r="E3746" s="2" t="n">
        <v>40853.81875</v>
      </c>
      <c r="F3746" s="0" t="n">
        <v>2.58</v>
      </c>
      <c r="G3746" s="0" t="n">
        <v>15312</v>
      </c>
      <c r="H3746" s="3" t="s">
        <v>124</v>
      </c>
      <c r="I3746" s="4" t="n">
        <f aca="false">D3746*F3746</f>
        <v>46.44</v>
      </c>
      <c r="J3746" s="3" t="n">
        <f aca="false">IF(AND(LEFT(A3746,1)&lt;&gt;"C",D3746&gt;0,F3746&gt;0),1,0)</f>
        <v>1</v>
      </c>
      <c r="K3746" s="3" t="n">
        <f aca="false">IF(AND(H3746="United Kingdom",G3746&lt;&gt;"",COUNTIFS($G$2:G3746,G3746,$H$2:H3746,"United Kingdom")=1),1,0)</f>
        <v>0</v>
      </c>
    </row>
    <row r="3747" customFormat="false" ht="15" hidden="false" customHeight="false" outlineLevel="0" collapsed="false">
      <c r="A3747" s="0" t="s">
        <v>769</v>
      </c>
      <c r="B3747" s="0" t="s">
        <v>75</v>
      </c>
      <c r="C3747" s="0" t="s">
        <v>76</v>
      </c>
      <c r="D3747" s="0" t="n">
        <v>1</v>
      </c>
      <c r="E3747" s="2" t="n">
        <v>40854.5236111111</v>
      </c>
      <c r="F3747" s="0" t="n">
        <v>1.97</v>
      </c>
      <c r="G3747" s="0" t="n">
        <v>15593</v>
      </c>
      <c r="H3747" s="3" t="s">
        <v>14</v>
      </c>
      <c r="I3747" s="4" t="n">
        <f aca="false">D3747*F3747</f>
        <v>1.97</v>
      </c>
      <c r="J3747" s="3" t="n">
        <f aca="false">IF(AND(LEFT(A3747,1)&lt;&gt;"C",D3747&gt;0,F3747&gt;0),1,0)</f>
        <v>1</v>
      </c>
      <c r="K3747" s="3" t="n">
        <f aca="false">IF(AND(H3747="United Kingdom",G3747&lt;&gt;"",COUNTIFS($G$2:G3747,G3747,$H$2:H3747,"United Kingdom")=1),1,0)</f>
        <v>0</v>
      </c>
    </row>
    <row r="3748" customFormat="false" ht="15" hidden="false" customHeight="false" outlineLevel="0" collapsed="false">
      <c r="A3748" s="0" t="s">
        <v>769</v>
      </c>
      <c r="B3748" s="0" t="s">
        <v>45</v>
      </c>
      <c r="C3748" s="0" t="s">
        <v>46</v>
      </c>
      <c r="D3748" s="0" t="n">
        <v>1</v>
      </c>
      <c r="E3748" s="2" t="n">
        <v>40854.5236111111</v>
      </c>
      <c r="F3748" s="0" t="n">
        <v>4.55</v>
      </c>
      <c r="G3748" s="0" t="n">
        <v>15593</v>
      </c>
      <c r="H3748" s="3" t="s">
        <v>14</v>
      </c>
      <c r="I3748" s="4" t="n">
        <f aca="false">D3748*F3748</f>
        <v>4.55</v>
      </c>
      <c r="J3748" s="3" t="n">
        <f aca="false">IF(AND(LEFT(A3748,1)&lt;&gt;"C",D3748&gt;0,F3748&gt;0),1,0)</f>
        <v>1</v>
      </c>
      <c r="K3748" s="3" t="n">
        <f aca="false">IF(AND(H3748="United Kingdom",G3748&lt;&gt;"",COUNTIFS($G$2:G3748,G3748,$H$2:H3748,"United Kingdom")=1),1,0)</f>
        <v>0</v>
      </c>
    </row>
    <row r="3749" customFormat="false" ht="15" hidden="false" customHeight="false" outlineLevel="0" collapsed="false">
      <c r="A3749" s="0" t="s">
        <v>769</v>
      </c>
      <c r="B3749" s="0" t="s">
        <v>25</v>
      </c>
      <c r="C3749" s="0" t="s">
        <v>26</v>
      </c>
      <c r="D3749" s="0" t="n">
        <v>4</v>
      </c>
      <c r="E3749" s="2" t="n">
        <v>40854.5236111111</v>
      </c>
      <c r="F3749" s="0" t="n">
        <v>2.21</v>
      </c>
      <c r="G3749" s="0" t="n">
        <v>15593</v>
      </c>
      <c r="H3749" s="3" t="s">
        <v>14</v>
      </c>
      <c r="I3749" s="4" t="n">
        <f aca="false">D3749*F3749</f>
        <v>8.84</v>
      </c>
      <c r="J3749" s="3" t="n">
        <f aca="false">IF(AND(LEFT(A3749,1)&lt;&gt;"C",D3749&gt;0,F3749&gt;0),1,0)</f>
        <v>1</v>
      </c>
      <c r="K3749" s="3" t="n">
        <f aca="false">IF(AND(H3749="United Kingdom",G3749&lt;&gt;"",COUNTIFS($G$2:G3749,G3749,$H$2:H3749,"United Kingdom")=1),1,0)</f>
        <v>0</v>
      </c>
    </row>
    <row r="3750" customFormat="false" ht="15" hidden="false" customHeight="false" outlineLevel="0" collapsed="false">
      <c r="A3750" s="0" t="s">
        <v>769</v>
      </c>
      <c r="B3750" s="0" t="s">
        <v>80</v>
      </c>
      <c r="C3750" s="0" t="s">
        <v>81</v>
      </c>
      <c r="D3750" s="0" t="n">
        <v>8</v>
      </c>
      <c r="E3750" s="2" t="n">
        <v>40854.5236111111</v>
      </c>
      <c r="F3750" s="0" t="n">
        <v>1.53</v>
      </c>
      <c r="G3750" s="0" t="n">
        <v>15593</v>
      </c>
      <c r="H3750" s="3" t="s">
        <v>14</v>
      </c>
      <c r="I3750" s="4" t="n">
        <f aca="false">D3750*F3750</f>
        <v>12.24</v>
      </c>
      <c r="J3750" s="3" t="n">
        <f aca="false">IF(AND(LEFT(A3750,1)&lt;&gt;"C",D3750&gt;0,F3750&gt;0),1,0)</f>
        <v>1</v>
      </c>
      <c r="K3750" s="3" t="n">
        <f aca="false">IF(AND(H3750="United Kingdom",G3750&lt;&gt;"",COUNTIFS($G$2:G3750,G3750,$H$2:H3750,"United Kingdom")=1),1,0)</f>
        <v>0</v>
      </c>
    </row>
    <row r="3751" customFormat="false" ht="15" hidden="false" customHeight="false" outlineLevel="0" collapsed="false">
      <c r="A3751" s="0" t="s">
        <v>769</v>
      </c>
      <c r="B3751" s="0" t="s">
        <v>60</v>
      </c>
      <c r="C3751" s="0" t="s">
        <v>61</v>
      </c>
      <c r="D3751" s="0" t="n">
        <v>8</v>
      </c>
      <c r="E3751" s="2" t="n">
        <v>40854.5236111111</v>
      </c>
      <c r="F3751" s="0" t="n">
        <v>0.63</v>
      </c>
      <c r="G3751" s="0" t="n">
        <v>15593</v>
      </c>
      <c r="H3751" s="3" t="s">
        <v>14</v>
      </c>
      <c r="I3751" s="4" t="n">
        <f aca="false">D3751*F3751</f>
        <v>5.04</v>
      </c>
      <c r="J3751" s="3" t="n">
        <f aca="false">IF(AND(LEFT(A3751,1)&lt;&gt;"C",D3751&gt;0,F3751&gt;0),1,0)</f>
        <v>1</v>
      </c>
      <c r="K3751" s="3" t="n">
        <f aca="false">IF(AND(H3751="United Kingdom",G3751&lt;&gt;"",COUNTIFS($G$2:G3751,G3751,$H$2:H3751,"United Kingdom")=1),1,0)</f>
        <v>0</v>
      </c>
    </row>
    <row r="3752" customFormat="false" ht="15" hidden="false" customHeight="false" outlineLevel="0" collapsed="false">
      <c r="A3752" s="0" t="s">
        <v>769</v>
      </c>
      <c r="B3752" s="0" t="s">
        <v>32</v>
      </c>
      <c r="C3752" s="0" t="s">
        <v>33</v>
      </c>
      <c r="D3752" s="0" t="n">
        <v>8</v>
      </c>
      <c r="E3752" s="2" t="n">
        <v>40854.5236111111</v>
      </c>
      <c r="F3752" s="0" t="n">
        <v>1.19</v>
      </c>
      <c r="G3752" s="0" t="n">
        <v>15593</v>
      </c>
      <c r="H3752" s="3" t="s">
        <v>14</v>
      </c>
      <c r="I3752" s="4" t="n">
        <f aca="false">D3752*F3752</f>
        <v>9.52</v>
      </c>
      <c r="J3752" s="3" t="n">
        <f aca="false">IF(AND(LEFT(A3752,1)&lt;&gt;"C",D3752&gt;0,F3752&gt;0),1,0)</f>
        <v>1</v>
      </c>
      <c r="K3752" s="3" t="n">
        <f aca="false">IF(AND(H3752="United Kingdom",G3752&lt;&gt;"",COUNTIFS($G$2:G3752,G3752,$H$2:H3752,"United Kingdom")=1),1,0)</f>
        <v>0</v>
      </c>
    </row>
    <row r="3753" customFormat="false" ht="15" hidden="false" customHeight="false" outlineLevel="0" collapsed="false">
      <c r="A3753" s="0" t="s">
        <v>770</v>
      </c>
      <c r="B3753" s="0" t="s">
        <v>90</v>
      </c>
      <c r="C3753" s="0" t="s">
        <v>91</v>
      </c>
      <c r="D3753" s="0" t="n">
        <v>2</v>
      </c>
      <c r="E3753" s="2" t="n">
        <v>40855.5319444445</v>
      </c>
      <c r="F3753" s="0" t="n">
        <v>3.04</v>
      </c>
      <c r="G3753" s="0" t="n">
        <v>17597</v>
      </c>
      <c r="H3753" s="3" t="s">
        <v>14</v>
      </c>
      <c r="I3753" s="4" t="n">
        <f aca="false">D3753*F3753</f>
        <v>6.08</v>
      </c>
      <c r="J3753" s="3" t="n">
        <f aca="false">IF(AND(LEFT(A3753,1)&lt;&gt;"C",D3753&gt;0,F3753&gt;0),1,0)</f>
        <v>1</v>
      </c>
      <c r="K3753" s="3" t="n">
        <f aca="false">IF(AND(H3753="United Kingdom",G3753&lt;&gt;"",COUNTIFS($G$2:G3753,G3753,$H$2:H3753,"United Kingdom")=1),1,0)</f>
        <v>0</v>
      </c>
    </row>
    <row r="3754" customFormat="false" ht="15" hidden="false" customHeight="false" outlineLevel="0" collapsed="false">
      <c r="A3754" s="0" t="s">
        <v>770</v>
      </c>
      <c r="B3754" s="0" t="s">
        <v>65</v>
      </c>
      <c r="C3754" s="0" t="s">
        <v>66</v>
      </c>
      <c r="D3754" s="0" t="n">
        <v>1</v>
      </c>
      <c r="E3754" s="2" t="n">
        <v>40855.5319444445</v>
      </c>
      <c r="F3754" s="0" t="n">
        <v>4.75</v>
      </c>
      <c r="G3754" s="0" t="n">
        <v>17597</v>
      </c>
      <c r="H3754" s="3" t="s">
        <v>14</v>
      </c>
      <c r="I3754" s="4" t="n">
        <f aca="false">D3754*F3754</f>
        <v>4.75</v>
      </c>
      <c r="J3754" s="3" t="n">
        <f aca="false">IF(AND(LEFT(A3754,1)&lt;&gt;"C",D3754&gt;0,F3754&gt;0),1,0)</f>
        <v>1</v>
      </c>
      <c r="K3754" s="3" t="n">
        <f aca="false">IF(AND(H3754="United Kingdom",G3754&lt;&gt;"",COUNTIFS($G$2:G3754,G3754,$H$2:H3754,"United Kingdom")=1),1,0)</f>
        <v>0</v>
      </c>
    </row>
    <row r="3755" customFormat="false" ht="15" hidden="false" customHeight="false" outlineLevel="0" collapsed="false">
      <c r="A3755" s="0" t="s">
        <v>770</v>
      </c>
      <c r="B3755" s="0" t="s">
        <v>29</v>
      </c>
      <c r="C3755" s="0" t="s">
        <v>30</v>
      </c>
      <c r="D3755" s="0" t="n">
        <v>4</v>
      </c>
      <c r="E3755" s="2" t="n">
        <v>40855.5319444445</v>
      </c>
      <c r="F3755" s="0" t="n">
        <v>5.79</v>
      </c>
      <c r="G3755" s="0" t="n">
        <v>17597</v>
      </c>
      <c r="H3755" s="3" t="s">
        <v>14</v>
      </c>
      <c r="I3755" s="4" t="n">
        <f aca="false">D3755*F3755</f>
        <v>23.16</v>
      </c>
      <c r="J3755" s="3" t="n">
        <f aca="false">IF(AND(LEFT(A3755,1)&lt;&gt;"C",D3755&gt;0,F3755&gt;0),1,0)</f>
        <v>1</v>
      </c>
      <c r="K3755" s="3" t="n">
        <f aca="false">IF(AND(H3755="United Kingdom",G3755&lt;&gt;"",COUNTIFS($G$2:G3755,G3755,$H$2:H3755,"United Kingdom")=1),1,0)</f>
        <v>0</v>
      </c>
    </row>
    <row r="3756" customFormat="false" ht="15" hidden="false" customHeight="false" outlineLevel="0" collapsed="false">
      <c r="A3756" s="0" t="s">
        <v>770</v>
      </c>
      <c r="B3756" s="0" t="s">
        <v>25</v>
      </c>
      <c r="C3756" s="0" t="s">
        <v>26</v>
      </c>
      <c r="D3756" s="0" t="n">
        <v>4</v>
      </c>
      <c r="E3756" s="2" t="n">
        <v>40855.5319444445</v>
      </c>
      <c r="F3756" s="0" t="n">
        <v>2.21</v>
      </c>
      <c r="G3756" s="0" t="n">
        <v>17597</v>
      </c>
      <c r="H3756" s="3" t="s">
        <v>14</v>
      </c>
      <c r="I3756" s="4" t="n">
        <f aca="false">D3756*F3756</f>
        <v>8.84</v>
      </c>
      <c r="J3756" s="3" t="n">
        <f aca="false">IF(AND(LEFT(A3756,1)&lt;&gt;"C",D3756&gt;0,F3756&gt;0),1,0)</f>
        <v>1</v>
      </c>
      <c r="K3756" s="3" t="n">
        <f aca="false">IF(AND(H3756="United Kingdom",G3756&lt;&gt;"",COUNTIFS($G$2:G3756,G3756,$H$2:H3756,"United Kingdom")=1),1,0)</f>
        <v>0</v>
      </c>
    </row>
    <row r="3757" customFormat="false" ht="15" hidden="false" customHeight="false" outlineLevel="0" collapsed="false">
      <c r="A3757" s="0" t="s">
        <v>770</v>
      </c>
      <c r="B3757" s="0" t="s">
        <v>34</v>
      </c>
      <c r="C3757" s="0" t="s">
        <v>35</v>
      </c>
      <c r="D3757" s="0" t="n">
        <v>24</v>
      </c>
      <c r="E3757" s="2" t="n">
        <v>40855.5319444445</v>
      </c>
      <c r="F3757" s="0" t="n">
        <v>2.38</v>
      </c>
      <c r="G3757" s="0" t="n">
        <v>17597</v>
      </c>
      <c r="H3757" s="3" t="s">
        <v>14</v>
      </c>
      <c r="I3757" s="4" t="n">
        <f aca="false">D3757*F3757</f>
        <v>57.12</v>
      </c>
      <c r="J3757" s="3" t="n">
        <f aca="false">IF(AND(LEFT(A3757,1)&lt;&gt;"C",D3757&gt;0,F3757&gt;0),1,0)</f>
        <v>1</v>
      </c>
      <c r="K3757" s="3" t="n">
        <f aca="false">IF(AND(H3757="United Kingdom",G3757&lt;&gt;"",COUNTIFS($G$2:G3757,G3757,$H$2:H3757,"United Kingdom")=1),1,0)</f>
        <v>0</v>
      </c>
    </row>
    <row r="3758" customFormat="false" ht="15" hidden="false" customHeight="false" outlineLevel="0" collapsed="false">
      <c r="A3758" s="0" t="s">
        <v>771</v>
      </c>
      <c r="B3758" s="0" t="s">
        <v>113</v>
      </c>
      <c r="C3758" s="0" t="s">
        <v>114</v>
      </c>
      <c r="D3758" s="0" t="n">
        <v>19</v>
      </c>
      <c r="E3758" s="2" t="n">
        <v>40855.7354166667</v>
      </c>
      <c r="F3758" s="0" t="n">
        <v>3.57</v>
      </c>
      <c r="G3758" s="0" t="n">
        <v>17632</v>
      </c>
      <c r="H3758" s="3" t="s">
        <v>57</v>
      </c>
      <c r="I3758" s="4" t="n">
        <f aca="false">D3758*F3758</f>
        <v>67.83</v>
      </c>
      <c r="J3758" s="3" t="n">
        <f aca="false">IF(AND(LEFT(A3758,1)&lt;&gt;"C",D3758&gt;0,F3758&gt;0),1,0)</f>
        <v>1</v>
      </c>
      <c r="K3758" s="3" t="n">
        <f aca="false">IF(AND(H3758="United Kingdom",G3758&lt;&gt;"",COUNTIFS($G$2:G3758,G3758,$H$2:H3758,"United Kingdom")=1),1,0)</f>
        <v>0</v>
      </c>
    </row>
    <row r="3759" customFormat="false" ht="15" hidden="false" customHeight="false" outlineLevel="0" collapsed="false">
      <c r="A3759" s="0" t="s">
        <v>771</v>
      </c>
      <c r="B3759" s="0" t="s">
        <v>43</v>
      </c>
      <c r="C3759" s="0" t="s">
        <v>44</v>
      </c>
      <c r="D3759" s="0" t="n">
        <v>9</v>
      </c>
      <c r="E3759" s="2" t="n">
        <v>40855.7354166667</v>
      </c>
      <c r="F3759" s="0" t="n">
        <v>1.35</v>
      </c>
      <c r="G3759" s="0" t="n">
        <v>17632</v>
      </c>
      <c r="H3759" s="3" t="s">
        <v>57</v>
      </c>
      <c r="I3759" s="4" t="n">
        <f aca="false">D3759*F3759</f>
        <v>12.15</v>
      </c>
      <c r="J3759" s="3" t="n">
        <f aca="false">IF(AND(LEFT(A3759,1)&lt;&gt;"C",D3759&gt;0,F3759&gt;0),1,0)</f>
        <v>1</v>
      </c>
      <c r="K3759" s="3" t="n">
        <f aca="false">IF(AND(H3759="United Kingdom",G3759&lt;&gt;"",COUNTIFS($G$2:G3759,G3759,$H$2:H3759,"United Kingdom")=1),1,0)</f>
        <v>0</v>
      </c>
    </row>
    <row r="3760" customFormat="false" ht="15" hidden="false" customHeight="false" outlineLevel="0" collapsed="false">
      <c r="A3760" s="0" t="s">
        <v>771</v>
      </c>
      <c r="B3760" s="0" t="s">
        <v>65</v>
      </c>
      <c r="C3760" s="0" t="s">
        <v>66</v>
      </c>
      <c r="D3760" s="0" t="n">
        <v>19</v>
      </c>
      <c r="E3760" s="2" t="n">
        <v>40855.7354166667</v>
      </c>
      <c r="F3760" s="0" t="n">
        <v>4.75</v>
      </c>
      <c r="G3760" s="0" t="n">
        <v>17632</v>
      </c>
      <c r="H3760" s="3" t="s">
        <v>57</v>
      </c>
      <c r="I3760" s="4" t="n">
        <f aca="false">D3760*F3760</f>
        <v>90.25</v>
      </c>
      <c r="J3760" s="3" t="n">
        <f aca="false">IF(AND(LEFT(A3760,1)&lt;&gt;"C",D3760&gt;0,F3760&gt;0),1,0)</f>
        <v>1</v>
      </c>
      <c r="K3760" s="3" t="n">
        <f aca="false">IF(AND(H3760="United Kingdom",G3760&lt;&gt;"",COUNTIFS($G$2:G3760,G3760,$H$2:H3760,"United Kingdom")=1),1,0)</f>
        <v>0</v>
      </c>
    </row>
    <row r="3761" customFormat="false" ht="15" hidden="false" customHeight="false" outlineLevel="0" collapsed="false">
      <c r="A3761" s="0" t="s">
        <v>772</v>
      </c>
      <c r="B3761" s="0" t="s">
        <v>58</v>
      </c>
      <c r="C3761" s="0" t="s">
        <v>59</v>
      </c>
      <c r="D3761" s="0" t="n">
        <v>6</v>
      </c>
      <c r="E3761" s="2" t="n">
        <v>40856.6256944445</v>
      </c>
      <c r="F3761" s="0" t="n">
        <v>2.16</v>
      </c>
      <c r="G3761" s="0" t="n">
        <v>17579</v>
      </c>
      <c r="H3761" s="3" t="s">
        <v>14</v>
      </c>
      <c r="I3761" s="4" t="n">
        <f aca="false">D3761*F3761</f>
        <v>12.96</v>
      </c>
      <c r="J3761" s="3" t="n">
        <f aca="false">IF(AND(LEFT(A3761,1)&lt;&gt;"C",D3761&gt;0,F3761&gt;0),1,0)</f>
        <v>1</v>
      </c>
      <c r="K3761" s="3" t="n">
        <f aca="false">IF(AND(H3761="United Kingdom",G3761&lt;&gt;"",COUNTIFS($G$2:G3761,G3761,$H$2:H3761,"United Kingdom")=1),1,0)</f>
        <v>0</v>
      </c>
    </row>
    <row r="3762" customFormat="false" ht="15" hidden="false" customHeight="false" outlineLevel="0" collapsed="false">
      <c r="A3762" s="0" t="s">
        <v>772</v>
      </c>
      <c r="B3762" s="0" t="s">
        <v>20</v>
      </c>
      <c r="C3762" s="0" t="s">
        <v>21</v>
      </c>
      <c r="D3762" s="0" t="n">
        <v>24</v>
      </c>
      <c r="E3762" s="2" t="n">
        <v>40856.6256944445</v>
      </c>
      <c r="F3762" s="0" t="n">
        <v>4.24</v>
      </c>
      <c r="G3762" s="0" t="n">
        <v>17579</v>
      </c>
      <c r="H3762" s="3" t="s">
        <v>14</v>
      </c>
      <c r="I3762" s="4" t="n">
        <f aca="false">D3762*F3762</f>
        <v>101.76</v>
      </c>
      <c r="J3762" s="3" t="n">
        <f aca="false">IF(AND(LEFT(A3762,1)&lt;&gt;"C",D3762&gt;0,F3762&gt;0),1,0)</f>
        <v>1</v>
      </c>
      <c r="K3762" s="3" t="n">
        <f aca="false">IF(AND(H3762="United Kingdom",G3762&lt;&gt;"",COUNTIFS($G$2:G3762,G3762,$H$2:H3762,"United Kingdom")=1),1,0)</f>
        <v>0</v>
      </c>
    </row>
    <row r="3763" customFormat="false" ht="15" hidden="false" customHeight="false" outlineLevel="0" collapsed="false">
      <c r="A3763" s="0" t="s">
        <v>772</v>
      </c>
      <c r="B3763" s="0" t="s">
        <v>32</v>
      </c>
      <c r="C3763" s="0" t="s">
        <v>33</v>
      </c>
      <c r="D3763" s="0" t="n">
        <v>2</v>
      </c>
      <c r="E3763" s="2" t="n">
        <v>40856.6256944445</v>
      </c>
      <c r="F3763" s="0" t="n">
        <v>1.19</v>
      </c>
      <c r="G3763" s="0" t="n">
        <v>17579</v>
      </c>
      <c r="H3763" s="3" t="s">
        <v>14</v>
      </c>
      <c r="I3763" s="4" t="n">
        <f aca="false">D3763*F3763</f>
        <v>2.38</v>
      </c>
      <c r="J3763" s="3" t="n">
        <f aca="false">IF(AND(LEFT(A3763,1)&lt;&gt;"C",D3763&gt;0,F3763&gt;0),1,0)</f>
        <v>1</v>
      </c>
      <c r="K3763" s="3" t="n">
        <f aca="false">IF(AND(H3763="United Kingdom",G3763&lt;&gt;"",COUNTIFS($G$2:G3763,G3763,$H$2:H3763,"United Kingdom")=1),1,0)</f>
        <v>0</v>
      </c>
    </row>
    <row r="3764" customFormat="false" ht="15" hidden="false" customHeight="false" outlineLevel="0" collapsed="false">
      <c r="A3764" s="0" t="s">
        <v>772</v>
      </c>
      <c r="B3764" s="0" t="s">
        <v>90</v>
      </c>
      <c r="C3764" s="0" t="s">
        <v>91</v>
      </c>
      <c r="D3764" s="0" t="n">
        <v>2</v>
      </c>
      <c r="E3764" s="2" t="n">
        <v>40856.6256944445</v>
      </c>
      <c r="F3764" s="0" t="n">
        <v>3.04</v>
      </c>
      <c r="G3764" s="0" t="n">
        <v>17579</v>
      </c>
      <c r="H3764" s="3" t="s">
        <v>14</v>
      </c>
      <c r="I3764" s="4" t="n">
        <f aca="false">D3764*F3764</f>
        <v>6.08</v>
      </c>
      <c r="J3764" s="3" t="n">
        <f aca="false">IF(AND(LEFT(A3764,1)&lt;&gt;"C",D3764&gt;0,F3764&gt;0),1,0)</f>
        <v>1</v>
      </c>
      <c r="K3764" s="3" t="n">
        <f aca="false">IF(AND(H3764="United Kingdom",G3764&lt;&gt;"",COUNTIFS($G$2:G3764,G3764,$H$2:H3764,"United Kingdom")=1),1,0)</f>
        <v>0</v>
      </c>
    </row>
    <row r="3765" customFormat="false" ht="15" hidden="false" customHeight="false" outlineLevel="0" collapsed="false">
      <c r="A3765" s="0" t="s">
        <v>773</v>
      </c>
      <c r="B3765" s="0" t="s">
        <v>32</v>
      </c>
      <c r="C3765" s="0" t="s">
        <v>33</v>
      </c>
      <c r="D3765" s="0" t="n">
        <v>2</v>
      </c>
      <c r="E3765" s="2" t="n">
        <v>40856.7305555556</v>
      </c>
      <c r="F3765" s="0" t="n">
        <v>1.19</v>
      </c>
      <c r="G3765" s="0" t="n">
        <v>16324</v>
      </c>
      <c r="H3765" s="3" t="s">
        <v>14</v>
      </c>
      <c r="I3765" s="4" t="n">
        <f aca="false">D3765*F3765</f>
        <v>2.38</v>
      </c>
      <c r="J3765" s="3" t="n">
        <f aca="false">IF(AND(LEFT(A3765,1)&lt;&gt;"C",D3765&gt;0,F3765&gt;0),1,0)</f>
        <v>1</v>
      </c>
      <c r="K3765" s="3" t="n">
        <f aca="false">IF(AND(H3765="United Kingdom",G3765&lt;&gt;"",COUNTIFS($G$2:G3765,G3765,$H$2:H3765,"United Kingdom")=1),1,0)</f>
        <v>0</v>
      </c>
    </row>
    <row r="3766" customFormat="false" ht="15" hidden="false" customHeight="false" outlineLevel="0" collapsed="false">
      <c r="A3766" s="0" t="s">
        <v>773</v>
      </c>
      <c r="B3766" s="0" t="s">
        <v>15</v>
      </c>
      <c r="C3766" s="0" t="s">
        <v>16</v>
      </c>
      <c r="D3766" s="0" t="n">
        <v>24</v>
      </c>
      <c r="E3766" s="2" t="n">
        <v>40856.7305555556</v>
      </c>
      <c r="F3766" s="0" t="n">
        <v>3.18</v>
      </c>
      <c r="G3766" s="0" t="n">
        <v>16324</v>
      </c>
      <c r="H3766" s="3" t="s">
        <v>14</v>
      </c>
      <c r="I3766" s="4" t="n">
        <f aca="false">D3766*F3766</f>
        <v>76.32</v>
      </c>
      <c r="J3766" s="3" t="n">
        <f aca="false">IF(AND(LEFT(A3766,1)&lt;&gt;"C",D3766&gt;0,F3766&gt;0),1,0)</f>
        <v>1</v>
      </c>
      <c r="K3766" s="3" t="n">
        <f aca="false">IF(AND(H3766="United Kingdom",G3766&lt;&gt;"",COUNTIFS($G$2:G3766,G3766,$H$2:H3766,"United Kingdom")=1),1,0)</f>
        <v>0</v>
      </c>
    </row>
    <row r="3767" customFormat="false" ht="15" hidden="false" customHeight="false" outlineLevel="0" collapsed="false">
      <c r="A3767" s="0" t="s">
        <v>773</v>
      </c>
      <c r="B3767" s="0" t="s">
        <v>34</v>
      </c>
      <c r="C3767" s="0" t="s">
        <v>35</v>
      </c>
      <c r="D3767" s="0" t="n">
        <v>12</v>
      </c>
      <c r="E3767" s="2" t="n">
        <v>40856.7305555556</v>
      </c>
      <c r="F3767" s="0" t="n">
        <v>2.38</v>
      </c>
      <c r="G3767" s="0" t="n">
        <v>16324</v>
      </c>
      <c r="H3767" s="3" t="s">
        <v>14</v>
      </c>
      <c r="I3767" s="4" t="n">
        <f aca="false">D3767*F3767</f>
        <v>28.56</v>
      </c>
      <c r="J3767" s="3" t="n">
        <f aca="false">IF(AND(LEFT(A3767,1)&lt;&gt;"C",D3767&gt;0,F3767&gt;0),1,0)</f>
        <v>1</v>
      </c>
      <c r="K3767" s="3" t="n">
        <f aca="false">IF(AND(H3767="United Kingdom",G3767&lt;&gt;"",COUNTIFS($G$2:G3767,G3767,$H$2:H3767,"United Kingdom")=1),1,0)</f>
        <v>0</v>
      </c>
    </row>
    <row r="3768" customFormat="false" ht="15" hidden="false" customHeight="false" outlineLevel="0" collapsed="false">
      <c r="A3768" s="0" t="s">
        <v>773</v>
      </c>
      <c r="B3768" s="0" t="s">
        <v>25</v>
      </c>
      <c r="C3768" s="0" t="s">
        <v>26</v>
      </c>
      <c r="D3768" s="0" t="n">
        <v>2</v>
      </c>
      <c r="E3768" s="2" t="n">
        <v>40856.7305555556</v>
      </c>
      <c r="F3768" s="0" t="n">
        <v>2.21</v>
      </c>
      <c r="G3768" s="0" t="n">
        <v>16324</v>
      </c>
      <c r="H3768" s="3" t="s">
        <v>14</v>
      </c>
      <c r="I3768" s="4" t="n">
        <f aca="false">D3768*F3768</f>
        <v>4.42</v>
      </c>
      <c r="J3768" s="3" t="n">
        <f aca="false">IF(AND(LEFT(A3768,1)&lt;&gt;"C",D3768&gt;0,F3768&gt;0),1,0)</f>
        <v>1</v>
      </c>
      <c r="K3768" s="3" t="n">
        <f aca="false">IF(AND(H3768="United Kingdom",G3768&lt;&gt;"",COUNTIFS($G$2:G3768,G3768,$H$2:H3768,"United Kingdom")=1),1,0)</f>
        <v>0</v>
      </c>
    </row>
    <row r="3769" customFormat="false" ht="15" hidden="false" customHeight="false" outlineLevel="0" collapsed="false">
      <c r="A3769" s="0" t="s">
        <v>773</v>
      </c>
      <c r="B3769" s="0" t="s">
        <v>60</v>
      </c>
      <c r="C3769" s="0" t="s">
        <v>61</v>
      </c>
      <c r="D3769" s="0" t="n">
        <v>6</v>
      </c>
      <c r="E3769" s="2" t="n">
        <v>40856.7305555556</v>
      </c>
      <c r="F3769" s="0" t="n">
        <v>0.63</v>
      </c>
      <c r="G3769" s="0" t="n">
        <v>16324</v>
      </c>
      <c r="H3769" s="3" t="s">
        <v>14</v>
      </c>
      <c r="I3769" s="4" t="n">
        <f aca="false">D3769*F3769</f>
        <v>3.78</v>
      </c>
      <c r="J3769" s="3" t="n">
        <f aca="false">IF(AND(LEFT(A3769,1)&lt;&gt;"C",D3769&gt;0,F3769&gt;0),1,0)</f>
        <v>1</v>
      </c>
      <c r="K3769" s="3" t="n">
        <f aca="false">IF(AND(H3769="United Kingdom",G3769&lt;&gt;"",COUNTIFS($G$2:G3769,G3769,$H$2:H3769,"United Kingdom")=1),1,0)</f>
        <v>0</v>
      </c>
    </row>
    <row r="3770" customFormat="false" ht="15" hidden="false" customHeight="false" outlineLevel="0" collapsed="false">
      <c r="A3770" s="0" t="s">
        <v>773</v>
      </c>
      <c r="B3770" s="0" t="s">
        <v>12</v>
      </c>
      <c r="C3770" s="0" t="s">
        <v>13</v>
      </c>
      <c r="D3770" s="0" t="n">
        <v>2</v>
      </c>
      <c r="E3770" s="2" t="n">
        <v>40856.7305555556</v>
      </c>
      <c r="F3770" s="0" t="n">
        <v>3.33</v>
      </c>
      <c r="G3770" s="0" t="n">
        <v>16324</v>
      </c>
      <c r="H3770" s="3" t="s">
        <v>14</v>
      </c>
      <c r="I3770" s="4" t="n">
        <f aca="false">D3770*F3770</f>
        <v>6.66</v>
      </c>
      <c r="J3770" s="3" t="n">
        <f aca="false">IF(AND(LEFT(A3770,1)&lt;&gt;"C",D3770&gt;0,F3770&gt;0),1,0)</f>
        <v>1</v>
      </c>
      <c r="K3770" s="3" t="n">
        <f aca="false">IF(AND(H3770="United Kingdom",G3770&lt;&gt;"",COUNTIFS($G$2:G3770,G3770,$H$2:H3770,"United Kingdom")=1),1,0)</f>
        <v>0</v>
      </c>
    </row>
    <row r="3771" customFormat="false" ht="15" hidden="false" customHeight="false" outlineLevel="0" collapsed="false">
      <c r="A3771" s="0" t="s">
        <v>773</v>
      </c>
      <c r="B3771" s="0" t="s">
        <v>75</v>
      </c>
      <c r="C3771" s="0" t="s">
        <v>76</v>
      </c>
      <c r="D3771" s="0" t="n">
        <v>4</v>
      </c>
      <c r="E3771" s="2" t="n">
        <v>40856.7305555556</v>
      </c>
      <c r="F3771" s="0" t="n">
        <v>1.97</v>
      </c>
      <c r="G3771" s="0" t="n">
        <v>16324</v>
      </c>
      <c r="H3771" s="3" t="s">
        <v>14</v>
      </c>
      <c r="I3771" s="4" t="n">
        <f aca="false">D3771*F3771</f>
        <v>7.88</v>
      </c>
      <c r="J3771" s="3" t="n">
        <f aca="false">IF(AND(LEFT(A3771,1)&lt;&gt;"C",D3771&gt;0,F3771&gt;0),1,0)</f>
        <v>1</v>
      </c>
      <c r="K3771" s="3" t="n">
        <f aca="false">IF(AND(H3771="United Kingdom",G3771&lt;&gt;"",COUNTIFS($G$2:G3771,G3771,$H$2:H3771,"United Kingdom")=1),1,0)</f>
        <v>0</v>
      </c>
    </row>
    <row r="3772" customFormat="false" ht="15" hidden="false" customHeight="false" outlineLevel="0" collapsed="false">
      <c r="A3772" s="0" t="s">
        <v>774</v>
      </c>
      <c r="B3772" s="0" t="s">
        <v>65</v>
      </c>
      <c r="C3772" s="0" t="s">
        <v>66</v>
      </c>
      <c r="D3772" s="0" t="n">
        <v>36</v>
      </c>
      <c r="E3772" s="2" t="n">
        <v>40858.5680555556</v>
      </c>
      <c r="F3772" s="0" t="n">
        <v>4.75</v>
      </c>
      <c r="G3772" s="0" t="n">
        <v>18118</v>
      </c>
      <c r="H3772" s="3" t="s">
        <v>124</v>
      </c>
      <c r="I3772" s="4" t="n">
        <f aca="false">D3772*F3772</f>
        <v>171</v>
      </c>
      <c r="J3772" s="3" t="n">
        <f aca="false">IF(AND(LEFT(A3772,1)&lt;&gt;"C",D3772&gt;0,F3772&gt;0),1,0)</f>
        <v>1</v>
      </c>
      <c r="K3772" s="3" t="n">
        <f aca="false">IF(AND(H3772="United Kingdom",G3772&lt;&gt;"",COUNTIFS($G$2:G3772,G3772,$H$2:H3772,"United Kingdom")=1),1,0)</f>
        <v>0</v>
      </c>
    </row>
    <row r="3773" customFormat="false" ht="15" hidden="false" customHeight="false" outlineLevel="0" collapsed="false">
      <c r="A3773" s="0" t="s">
        <v>774</v>
      </c>
      <c r="B3773" s="0" t="s">
        <v>77</v>
      </c>
      <c r="C3773" s="0" t="s">
        <v>78</v>
      </c>
      <c r="D3773" s="0" t="n">
        <v>6</v>
      </c>
      <c r="E3773" s="2" t="n">
        <v>40858.5680555556</v>
      </c>
      <c r="F3773" s="0" t="n">
        <v>3.41</v>
      </c>
      <c r="G3773" s="0" t="n">
        <v>18118</v>
      </c>
      <c r="H3773" s="3" t="s">
        <v>124</v>
      </c>
      <c r="I3773" s="4" t="n">
        <f aca="false">D3773*F3773</f>
        <v>20.46</v>
      </c>
      <c r="J3773" s="3" t="n">
        <f aca="false">IF(AND(LEFT(A3773,1)&lt;&gt;"C",D3773&gt;0,F3773&gt;0),1,0)</f>
        <v>1</v>
      </c>
      <c r="K3773" s="3" t="n">
        <f aca="false">IF(AND(H3773="United Kingdom",G3773&lt;&gt;"",COUNTIFS($G$2:G3773,G3773,$H$2:H3773,"United Kingdom")=1),1,0)</f>
        <v>0</v>
      </c>
    </row>
    <row r="3774" customFormat="false" ht="15" hidden="false" customHeight="false" outlineLevel="0" collapsed="false">
      <c r="A3774" s="0" t="s">
        <v>774</v>
      </c>
      <c r="B3774" s="0" t="s">
        <v>39</v>
      </c>
      <c r="C3774" s="0" t="s">
        <v>40</v>
      </c>
      <c r="D3774" s="0" t="n">
        <v>24</v>
      </c>
      <c r="E3774" s="2" t="n">
        <v>40858.5680555556</v>
      </c>
      <c r="F3774" s="0" t="n">
        <v>2.58</v>
      </c>
      <c r="G3774" s="0" t="n">
        <v>18118</v>
      </c>
      <c r="H3774" s="3" t="s">
        <v>124</v>
      </c>
      <c r="I3774" s="4" t="n">
        <f aca="false">D3774*F3774</f>
        <v>61.92</v>
      </c>
      <c r="J3774" s="3" t="n">
        <f aca="false">IF(AND(LEFT(A3774,1)&lt;&gt;"C",D3774&gt;0,F3774&gt;0),1,0)</f>
        <v>1</v>
      </c>
      <c r="K3774" s="3" t="n">
        <f aca="false">IF(AND(H3774="United Kingdom",G3774&lt;&gt;"",COUNTIFS($G$2:G3774,G3774,$H$2:H3774,"United Kingdom")=1),1,0)</f>
        <v>0</v>
      </c>
    </row>
    <row r="3775" customFormat="false" ht="15" hidden="false" customHeight="false" outlineLevel="0" collapsed="false">
      <c r="A3775" s="0" t="s">
        <v>774</v>
      </c>
      <c r="B3775" s="0" t="s">
        <v>75</v>
      </c>
      <c r="C3775" s="0" t="s">
        <v>76</v>
      </c>
      <c r="D3775" s="0" t="n">
        <v>12</v>
      </c>
      <c r="E3775" s="2" t="n">
        <v>40858.5680555556</v>
      </c>
      <c r="F3775" s="0" t="n">
        <v>1.97</v>
      </c>
      <c r="G3775" s="0" t="n">
        <v>18118</v>
      </c>
      <c r="H3775" s="3" t="s">
        <v>124</v>
      </c>
      <c r="I3775" s="4" t="n">
        <f aca="false">D3775*F3775</f>
        <v>23.64</v>
      </c>
      <c r="J3775" s="3" t="n">
        <f aca="false">IF(AND(LEFT(A3775,1)&lt;&gt;"C",D3775&gt;0,F3775&gt;0),1,0)</f>
        <v>1</v>
      </c>
      <c r="K3775" s="3" t="n">
        <f aca="false">IF(AND(H3775="United Kingdom",G3775&lt;&gt;"",COUNTIFS($G$2:G3775,G3775,$H$2:H3775,"United Kingdom")=1),1,0)</f>
        <v>0</v>
      </c>
    </row>
    <row r="3776" customFormat="false" ht="15" hidden="false" customHeight="false" outlineLevel="0" collapsed="false">
      <c r="A3776" s="0" t="s">
        <v>774</v>
      </c>
      <c r="B3776" s="0" t="s">
        <v>20</v>
      </c>
      <c r="C3776" s="0" t="s">
        <v>21</v>
      </c>
      <c r="D3776" s="0" t="n">
        <v>18</v>
      </c>
      <c r="E3776" s="2" t="n">
        <v>40858.5680555556</v>
      </c>
      <c r="F3776" s="0" t="n">
        <v>4.24</v>
      </c>
      <c r="G3776" s="0" t="n">
        <v>18118</v>
      </c>
      <c r="H3776" s="3" t="s">
        <v>124</v>
      </c>
      <c r="I3776" s="4" t="n">
        <f aca="false">D3776*F3776</f>
        <v>76.32</v>
      </c>
      <c r="J3776" s="3" t="n">
        <f aca="false">IF(AND(LEFT(A3776,1)&lt;&gt;"C",D3776&gt;0,F3776&gt;0),1,0)</f>
        <v>1</v>
      </c>
      <c r="K3776" s="3" t="n">
        <f aca="false">IF(AND(H3776="United Kingdom",G3776&lt;&gt;"",COUNTIFS($G$2:G3776,G3776,$H$2:H3776,"United Kingdom")=1),1,0)</f>
        <v>0</v>
      </c>
    </row>
    <row r="3777" customFormat="false" ht="15" hidden="false" customHeight="false" outlineLevel="0" collapsed="false">
      <c r="A3777" s="0" t="s">
        <v>774</v>
      </c>
      <c r="B3777" s="0" t="s">
        <v>45</v>
      </c>
      <c r="C3777" s="0" t="s">
        <v>46</v>
      </c>
      <c r="D3777" s="0" t="n">
        <v>6</v>
      </c>
      <c r="E3777" s="2" t="n">
        <v>40858.5680555556</v>
      </c>
      <c r="F3777" s="0" t="n">
        <v>4.55</v>
      </c>
      <c r="G3777" s="0" t="n">
        <v>18118</v>
      </c>
      <c r="H3777" s="3" t="s">
        <v>124</v>
      </c>
      <c r="I3777" s="4" t="n">
        <f aca="false">D3777*F3777</f>
        <v>27.3</v>
      </c>
      <c r="J3777" s="3" t="n">
        <f aca="false">IF(AND(LEFT(A3777,1)&lt;&gt;"C",D3777&gt;0,F3777&gt;0),1,0)</f>
        <v>1</v>
      </c>
      <c r="K3777" s="3" t="n">
        <f aca="false">IF(AND(H3777="United Kingdom",G3777&lt;&gt;"",COUNTIFS($G$2:G3777,G3777,$H$2:H3777,"United Kingdom")=1),1,0)</f>
        <v>0</v>
      </c>
    </row>
    <row r="3778" customFormat="false" ht="15" hidden="false" customHeight="false" outlineLevel="0" collapsed="false">
      <c r="A3778" s="0" t="s">
        <v>774</v>
      </c>
      <c r="B3778" s="0" t="s">
        <v>22</v>
      </c>
      <c r="C3778" s="0" t="s">
        <v>23</v>
      </c>
      <c r="D3778" s="0" t="n">
        <v>12</v>
      </c>
      <c r="E3778" s="2" t="n">
        <v>40858.5680555556</v>
      </c>
      <c r="F3778" s="0" t="n">
        <v>3.18</v>
      </c>
      <c r="G3778" s="0" t="n">
        <v>18118</v>
      </c>
      <c r="H3778" s="3" t="s">
        <v>124</v>
      </c>
      <c r="I3778" s="4" t="n">
        <f aca="false">D3778*F3778</f>
        <v>38.16</v>
      </c>
      <c r="J3778" s="3" t="n">
        <f aca="false">IF(AND(LEFT(A3778,1)&lt;&gt;"C",D3778&gt;0,F3778&gt;0),1,0)</f>
        <v>1</v>
      </c>
      <c r="K3778" s="3" t="n">
        <f aca="false">IF(AND(H3778="United Kingdom",G3778&lt;&gt;"",COUNTIFS($G$2:G3778,G3778,$H$2:H3778,"United Kingdom")=1),1,0)</f>
        <v>0</v>
      </c>
    </row>
    <row r="3779" customFormat="false" ht="15" hidden="false" customHeight="false" outlineLevel="0" collapsed="false">
      <c r="A3779" s="0" t="s">
        <v>775</v>
      </c>
      <c r="B3779" s="0" t="s">
        <v>72</v>
      </c>
      <c r="C3779" s="0" t="s">
        <v>73</v>
      </c>
      <c r="D3779" s="0" t="n">
        <v>1</v>
      </c>
      <c r="E3779" s="2" t="n">
        <v>40860.3972222222</v>
      </c>
      <c r="F3779" s="0" t="n">
        <v>2.69</v>
      </c>
      <c r="G3779" s="0" t="n">
        <v>17579</v>
      </c>
      <c r="H3779" s="3" t="s">
        <v>14</v>
      </c>
      <c r="I3779" s="4" t="n">
        <f aca="false">D3779*F3779</f>
        <v>2.69</v>
      </c>
      <c r="J3779" s="3" t="n">
        <f aca="false">IF(AND(LEFT(A3779,1)&lt;&gt;"C",D3779&gt;0,F3779&gt;0),1,0)</f>
        <v>1</v>
      </c>
      <c r="K3779" s="3" t="n">
        <f aca="false">IF(AND(H3779="United Kingdom",G3779&lt;&gt;"",COUNTIFS($G$2:G3779,G3779,$H$2:H3779,"United Kingdom")=1),1,0)</f>
        <v>0</v>
      </c>
    </row>
    <row r="3780" customFormat="false" ht="15" hidden="false" customHeight="false" outlineLevel="0" collapsed="false">
      <c r="A3780" s="0" t="s">
        <v>775</v>
      </c>
      <c r="B3780" s="0" t="s">
        <v>32</v>
      </c>
      <c r="C3780" s="0" t="s">
        <v>33</v>
      </c>
      <c r="D3780" s="0" t="n">
        <v>2</v>
      </c>
      <c r="E3780" s="2" t="n">
        <v>40860.3972222222</v>
      </c>
      <c r="F3780" s="0" t="n">
        <v>1.19</v>
      </c>
      <c r="G3780" s="0" t="n">
        <v>17579</v>
      </c>
      <c r="H3780" s="3" t="s">
        <v>14</v>
      </c>
      <c r="I3780" s="4" t="n">
        <f aca="false">D3780*F3780</f>
        <v>2.38</v>
      </c>
      <c r="J3780" s="3" t="n">
        <f aca="false">IF(AND(LEFT(A3780,1)&lt;&gt;"C",D3780&gt;0,F3780&gt;0),1,0)</f>
        <v>1</v>
      </c>
      <c r="K3780" s="3" t="n">
        <f aca="false">IF(AND(H3780="United Kingdom",G3780&lt;&gt;"",COUNTIFS($G$2:G3780,G3780,$H$2:H3780,"United Kingdom")=1),1,0)</f>
        <v>0</v>
      </c>
    </row>
    <row r="3781" customFormat="false" ht="15" hidden="false" customHeight="false" outlineLevel="0" collapsed="false">
      <c r="A3781" s="0" t="s">
        <v>776</v>
      </c>
      <c r="B3781" s="0" t="s">
        <v>12</v>
      </c>
      <c r="C3781" s="0" t="s">
        <v>13</v>
      </c>
      <c r="D3781" s="0" t="n">
        <v>2</v>
      </c>
      <c r="E3781" s="2" t="n">
        <v>40860.6604166667</v>
      </c>
      <c r="F3781" s="0" t="n">
        <v>3.33</v>
      </c>
      <c r="G3781" s="0" t="n">
        <v>14519</v>
      </c>
      <c r="H3781" s="3" t="s">
        <v>14</v>
      </c>
      <c r="I3781" s="4" t="n">
        <f aca="false">D3781*F3781</f>
        <v>6.66</v>
      </c>
      <c r="J3781" s="3" t="n">
        <f aca="false">IF(AND(LEFT(A3781,1)&lt;&gt;"C",D3781&gt;0,F3781&gt;0),1,0)</f>
        <v>1</v>
      </c>
      <c r="K3781" s="3" t="n">
        <f aca="false">IF(AND(H3781="United Kingdom",G3781&lt;&gt;"",COUNTIFS($G$2:G3781,G3781,$H$2:H3781,"United Kingdom")=1),1,0)</f>
        <v>0</v>
      </c>
    </row>
    <row r="3782" customFormat="false" ht="15" hidden="false" customHeight="false" outlineLevel="0" collapsed="false">
      <c r="A3782" s="0" t="s">
        <v>776</v>
      </c>
      <c r="B3782" s="0" t="s">
        <v>37</v>
      </c>
      <c r="C3782" s="0" t="s">
        <v>38</v>
      </c>
      <c r="D3782" s="0" t="n">
        <v>2</v>
      </c>
      <c r="E3782" s="2" t="n">
        <v>40860.6604166667</v>
      </c>
      <c r="F3782" s="0" t="n">
        <v>1.82</v>
      </c>
      <c r="G3782" s="0" t="n">
        <v>14519</v>
      </c>
      <c r="H3782" s="3" t="s">
        <v>14</v>
      </c>
      <c r="I3782" s="4" t="n">
        <f aca="false">D3782*F3782</f>
        <v>3.64</v>
      </c>
      <c r="J3782" s="3" t="n">
        <f aca="false">IF(AND(LEFT(A3782,1)&lt;&gt;"C",D3782&gt;0,F3782&gt;0),1,0)</f>
        <v>1</v>
      </c>
      <c r="K3782" s="3" t="n">
        <f aca="false">IF(AND(H3782="United Kingdom",G3782&lt;&gt;"",COUNTIFS($G$2:G3782,G3782,$H$2:H3782,"United Kingdom")=1),1,0)</f>
        <v>0</v>
      </c>
    </row>
    <row r="3783" customFormat="false" ht="15" hidden="false" customHeight="false" outlineLevel="0" collapsed="false">
      <c r="A3783" s="0" t="s">
        <v>776</v>
      </c>
      <c r="B3783" s="0" t="s">
        <v>22</v>
      </c>
      <c r="C3783" s="0" t="s">
        <v>23</v>
      </c>
      <c r="D3783" s="0" t="n">
        <v>1</v>
      </c>
      <c r="E3783" s="2" t="n">
        <v>40860.6604166667</v>
      </c>
      <c r="F3783" s="0" t="n">
        <v>3.18</v>
      </c>
      <c r="G3783" s="0" t="n">
        <v>14519</v>
      </c>
      <c r="H3783" s="3" t="s">
        <v>14</v>
      </c>
      <c r="I3783" s="4" t="n">
        <f aca="false">D3783*F3783</f>
        <v>3.18</v>
      </c>
      <c r="J3783" s="3" t="n">
        <f aca="false">IF(AND(LEFT(A3783,1)&lt;&gt;"C",D3783&gt;0,F3783&gt;0),1,0)</f>
        <v>1</v>
      </c>
      <c r="K3783" s="3" t="n">
        <f aca="false">IF(AND(H3783="United Kingdom",G3783&lt;&gt;"",COUNTIFS($G$2:G3783,G3783,$H$2:H3783,"United Kingdom")=1),1,0)</f>
        <v>0</v>
      </c>
    </row>
    <row r="3784" customFormat="false" ht="15" hidden="false" customHeight="false" outlineLevel="0" collapsed="false">
      <c r="A3784" s="0" t="s">
        <v>777</v>
      </c>
      <c r="B3784" s="0" t="s">
        <v>65</v>
      </c>
      <c r="C3784" s="0" t="s">
        <v>66</v>
      </c>
      <c r="D3784" s="0" t="n">
        <v>25</v>
      </c>
      <c r="E3784" s="2" t="n">
        <v>40862.49375</v>
      </c>
      <c r="F3784" s="0" t="n">
        <v>4.75</v>
      </c>
      <c r="G3784" s="0" t="n">
        <v>16787</v>
      </c>
      <c r="H3784" s="3" t="s">
        <v>57</v>
      </c>
      <c r="I3784" s="4" t="n">
        <f aca="false">D3784*F3784</f>
        <v>118.75</v>
      </c>
      <c r="J3784" s="3" t="n">
        <f aca="false">IF(AND(LEFT(A3784,1)&lt;&gt;"C",D3784&gt;0,F3784&gt;0),1,0)</f>
        <v>1</v>
      </c>
      <c r="K3784" s="3" t="n">
        <f aca="false">IF(AND(H3784="United Kingdom",G3784&lt;&gt;"",COUNTIFS($G$2:G3784,G3784,$H$2:H3784,"United Kingdom")=1),1,0)</f>
        <v>0</v>
      </c>
    </row>
    <row r="3785" customFormat="false" ht="15" hidden="false" customHeight="false" outlineLevel="0" collapsed="false">
      <c r="A3785" s="0" t="s">
        <v>778</v>
      </c>
      <c r="B3785" s="0" t="s">
        <v>60</v>
      </c>
      <c r="C3785" s="0" t="s">
        <v>61</v>
      </c>
      <c r="D3785" s="0" t="n">
        <v>2</v>
      </c>
      <c r="E3785" s="2" t="n">
        <v>40863.4416666667</v>
      </c>
      <c r="F3785" s="0" t="n">
        <v>0.63</v>
      </c>
      <c r="G3785" s="0" t="n">
        <v>16395</v>
      </c>
      <c r="H3785" s="3" t="s">
        <v>14</v>
      </c>
      <c r="I3785" s="4" t="n">
        <f aca="false">D3785*F3785</f>
        <v>1.26</v>
      </c>
      <c r="J3785" s="3" t="n">
        <f aca="false">IF(AND(LEFT(A3785,1)&lt;&gt;"C",D3785&gt;0,F3785&gt;0),1,0)</f>
        <v>1</v>
      </c>
      <c r="K3785" s="3" t="n">
        <f aca="false">IF(AND(H3785="United Kingdom",G3785&lt;&gt;"",COUNTIFS($G$2:G3785,G3785,$H$2:H3785,"United Kingdom")=1),1,0)</f>
        <v>0</v>
      </c>
    </row>
    <row r="3786" customFormat="false" ht="15" hidden="false" customHeight="false" outlineLevel="0" collapsed="false">
      <c r="A3786" s="0" t="s">
        <v>778</v>
      </c>
      <c r="B3786" s="0" t="s">
        <v>65</v>
      </c>
      <c r="C3786" s="0" t="s">
        <v>66</v>
      </c>
      <c r="D3786" s="0" t="n">
        <v>12</v>
      </c>
      <c r="E3786" s="2" t="n">
        <v>40863.4416666667</v>
      </c>
      <c r="F3786" s="0" t="n">
        <v>4.75</v>
      </c>
      <c r="G3786" s="0" t="n">
        <v>16395</v>
      </c>
      <c r="H3786" s="3" t="s">
        <v>14</v>
      </c>
      <c r="I3786" s="4" t="n">
        <f aca="false">D3786*F3786</f>
        <v>57</v>
      </c>
      <c r="J3786" s="3" t="n">
        <f aca="false">IF(AND(LEFT(A3786,1)&lt;&gt;"C",D3786&gt;0,F3786&gt;0),1,0)</f>
        <v>1</v>
      </c>
      <c r="K3786" s="3" t="n">
        <f aca="false">IF(AND(H3786="United Kingdom",G3786&lt;&gt;"",COUNTIFS($G$2:G3786,G3786,$H$2:H3786,"United Kingdom")=1),1,0)</f>
        <v>0</v>
      </c>
    </row>
    <row r="3787" customFormat="false" ht="15" hidden="false" customHeight="false" outlineLevel="0" collapsed="false">
      <c r="A3787" s="0" t="s">
        <v>778</v>
      </c>
      <c r="B3787" s="0" t="s">
        <v>34</v>
      </c>
      <c r="C3787" s="0" t="s">
        <v>35</v>
      </c>
      <c r="D3787" s="0" t="n">
        <v>1</v>
      </c>
      <c r="E3787" s="2" t="n">
        <v>40863.4416666667</v>
      </c>
      <c r="F3787" s="0" t="n">
        <v>2.38</v>
      </c>
      <c r="G3787" s="0" t="n">
        <v>16395</v>
      </c>
      <c r="H3787" s="3" t="s">
        <v>14</v>
      </c>
      <c r="I3787" s="4" t="n">
        <f aca="false">D3787*F3787</f>
        <v>2.38</v>
      </c>
      <c r="J3787" s="3" t="n">
        <f aca="false">IF(AND(LEFT(A3787,1)&lt;&gt;"C",D3787&gt;0,F3787&gt;0),1,0)</f>
        <v>1</v>
      </c>
      <c r="K3787" s="3" t="n">
        <f aca="false">IF(AND(H3787="United Kingdom",G3787&lt;&gt;"",COUNTIFS($G$2:G3787,G3787,$H$2:H3787,"United Kingdom")=1),1,0)</f>
        <v>0</v>
      </c>
    </row>
    <row r="3788" customFormat="false" ht="15" hidden="false" customHeight="false" outlineLevel="0" collapsed="false">
      <c r="A3788" s="0" t="s">
        <v>778</v>
      </c>
      <c r="B3788" s="0" t="s">
        <v>32</v>
      </c>
      <c r="C3788" s="0" t="s">
        <v>33</v>
      </c>
      <c r="D3788" s="0" t="n">
        <v>1</v>
      </c>
      <c r="E3788" s="2" t="n">
        <v>40863.4416666667</v>
      </c>
      <c r="F3788" s="0" t="n">
        <v>1.19</v>
      </c>
      <c r="G3788" s="0" t="n">
        <v>16395</v>
      </c>
      <c r="H3788" s="3" t="s">
        <v>14</v>
      </c>
      <c r="I3788" s="4" t="n">
        <f aca="false">D3788*F3788</f>
        <v>1.19</v>
      </c>
      <c r="J3788" s="3" t="n">
        <f aca="false">IF(AND(LEFT(A3788,1)&lt;&gt;"C",D3788&gt;0,F3788&gt;0),1,0)</f>
        <v>1</v>
      </c>
      <c r="K3788" s="3" t="n">
        <f aca="false">IF(AND(H3788="United Kingdom",G3788&lt;&gt;"",COUNTIFS($G$2:G3788,G3788,$H$2:H3788,"United Kingdom")=1),1,0)</f>
        <v>0</v>
      </c>
    </row>
    <row r="3789" customFormat="false" ht="15" hidden="false" customHeight="false" outlineLevel="0" collapsed="false">
      <c r="A3789" s="0" t="s">
        <v>778</v>
      </c>
      <c r="B3789" s="0" t="s">
        <v>48</v>
      </c>
      <c r="C3789" s="0" t="s">
        <v>49</v>
      </c>
      <c r="D3789" s="0" t="n">
        <v>12</v>
      </c>
      <c r="E3789" s="2" t="n">
        <v>40863.4416666667</v>
      </c>
      <c r="F3789" s="0" t="n">
        <v>1.35</v>
      </c>
      <c r="G3789" s="0" t="n">
        <v>16395</v>
      </c>
      <c r="H3789" s="3" t="s">
        <v>14</v>
      </c>
      <c r="I3789" s="4" t="n">
        <f aca="false">D3789*F3789</f>
        <v>16.2</v>
      </c>
      <c r="J3789" s="3" t="n">
        <f aca="false">IF(AND(LEFT(A3789,1)&lt;&gt;"C",D3789&gt;0,F3789&gt;0),1,0)</f>
        <v>1</v>
      </c>
      <c r="K3789" s="3" t="n">
        <f aca="false">IF(AND(H3789="United Kingdom",G3789&lt;&gt;"",COUNTIFS($G$2:G3789,G3789,$H$2:H3789,"United Kingdom")=1),1,0)</f>
        <v>0</v>
      </c>
    </row>
    <row r="3790" customFormat="false" ht="15" hidden="false" customHeight="false" outlineLevel="0" collapsed="false">
      <c r="A3790" s="0" t="s">
        <v>778</v>
      </c>
      <c r="B3790" s="0" t="s">
        <v>50</v>
      </c>
      <c r="C3790" s="0" t="s">
        <v>51</v>
      </c>
      <c r="D3790" s="0" t="n">
        <v>1</v>
      </c>
      <c r="E3790" s="2" t="n">
        <v>40863.4416666667</v>
      </c>
      <c r="F3790" s="0" t="n">
        <v>5.41</v>
      </c>
      <c r="G3790" s="0" t="n">
        <v>16395</v>
      </c>
      <c r="H3790" s="3" t="s">
        <v>14</v>
      </c>
      <c r="I3790" s="4" t="n">
        <f aca="false">D3790*F3790</f>
        <v>5.41</v>
      </c>
      <c r="J3790" s="3" t="n">
        <f aca="false">IF(AND(LEFT(A3790,1)&lt;&gt;"C",D3790&gt;0,F3790&gt;0),1,0)</f>
        <v>1</v>
      </c>
      <c r="K3790" s="3" t="n">
        <f aca="false">IF(AND(H3790="United Kingdom",G3790&lt;&gt;"",COUNTIFS($G$2:G3790,G3790,$H$2:H3790,"United Kingdom")=1),1,0)</f>
        <v>0</v>
      </c>
    </row>
    <row r="3791" customFormat="false" ht="15" hidden="false" customHeight="false" outlineLevel="0" collapsed="false">
      <c r="A3791" s="0" t="s">
        <v>778</v>
      </c>
      <c r="B3791" s="0" t="s">
        <v>68</v>
      </c>
      <c r="C3791" s="0" t="s">
        <v>69</v>
      </c>
      <c r="D3791" s="0" t="n">
        <v>4</v>
      </c>
      <c r="E3791" s="2" t="n">
        <v>40863.4416666667</v>
      </c>
      <c r="F3791" s="0" t="n">
        <v>1.26</v>
      </c>
      <c r="G3791" s="0" t="n">
        <v>16395</v>
      </c>
      <c r="H3791" s="3" t="s">
        <v>14</v>
      </c>
      <c r="I3791" s="4" t="n">
        <f aca="false">D3791*F3791</f>
        <v>5.04</v>
      </c>
      <c r="J3791" s="3" t="n">
        <f aca="false">IF(AND(LEFT(A3791,1)&lt;&gt;"C",D3791&gt;0,F3791&gt;0),1,0)</f>
        <v>1</v>
      </c>
      <c r="K3791" s="3" t="n">
        <f aca="false">IF(AND(H3791="United Kingdom",G3791&lt;&gt;"",COUNTIFS($G$2:G3791,G3791,$H$2:H3791,"United Kingdom")=1),1,0)</f>
        <v>0</v>
      </c>
    </row>
    <row r="3792" customFormat="false" ht="15" hidden="false" customHeight="false" outlineLevel="0" collapsed="false">
      <c r="A3792" s="0" t="s">
        <v>778</v>
      </c>
      <c r="B3792" s="0" t="s">
        <v>75</v>
      </c>
      <c r="C3792" s="0" t="s">
        <v>76</v>
      </c>
      <c r="D3792" s="0" t="n">
        <v>4</v>
      </c>
      <c r="E3792" s="2" t="n">
        <v>40863.4416666667</v>
      </c>
      <c r="F3792" s="0" t="n">
        <v>1.97</v>
      </c>
      <c r="G3792" s="0" t="n">
        <v>16395</v>
      </c>
      <c r="H3792" s="3" t="s">
        <v>14</v>
      </c>
      <c r="I3792" s="4" t="n">
        <f aca="false">D3792*F3792</f>
        <v>7.88</v>
      </c>
      <c r="J3792" s="3" t="n">
        <f aca="false">IF(AND(LEFT(A3792,1)&lt;&gt;"C",D3792&gt;0,F3792&gt;0),1,0)</f>
        <v>1</v>
      </c>
      <c r="K3792" s="3" t="n">
        <f aca="false">IF(AND(H3792="United Kingdom",G3792&lt;&gt;"",COUNTIFS($G$2:G3792,G3792,$H$2:H3792,"United Kingdom")=1),1,0)</f>
        <v>0</v>
      </c>
    </row>
    <row r="3793" customFormat="false" ht="15" hidden="false" customHeight="false" outlineLevel="0" collapsed="false">
      <c r="A3793" s="0" t="s">
        <v>778</v>
      </c>
      <c r="B3793" s="0" t="s">
        <v>58</v>
      </c>
      <c r="C3793" s="0" t="s">
        <v>59</v>
      </c>
      <c r="D3793" s="0" t="n">
        <v>1</v>
      </c>
      <c r="E3793" s="2" t="n">
        <v>40863.4416666667</v>
      </c>
      <c r="F3793" s="0" t="n">
        <v>2.16</v>
      </c>
      <c r="G3793" s="0" t="n">
        <v>16395</v>
      </c>
      <c r="H3793" s="3" t="s">
        <v>14</v>
      </c>
      <c r="I3793" s="4" t="n">
        <f aca="false">D3793*F3793</f>
        <v>2.16</v>
      </c>
      <c r="J3793" s="3" t="n">
        <f aca="false">IF(AND(LEFT(A3793,1)&lt;&gt;"C",D3793&gt;0,F3793&gt;0),1,0)</f>
        <v>1</v>
      </c>
      <c r="K3793" s="3" t="n">
        <f aca="false">IF(AND(H3793="United Kingdom",G3793&lt;&gt;"",COUNTIFS($G$2:G3793,G3793,$H$2:H3793,"United Kingdom")=1),1,0)</f>
        <v>0</v>
      </c>
    </row>
    <row r="3794" customFormat="false" ht="15" hidden="false" customHeight="false" outlineLevel="0" collapsed="false">
      <c r="A3794" s="0" t="s">
        <v>779</v>
      </c>
      <c r="B3794" s="0" t="s">
        <v>65</v>
      </c>
      <c r="C3794" s="0" t="s">
        <v>66</v>
      </c>
      <c r="D3794" s="0" t="n">
        <v>3</v>
      </c>
      <c r="E3794" s="2" t="n">
        <v>40864.4298611111</v>
      </c>
      <c r="F3794" s="0" t="n">
        <v>4.75</v>
      </c>
      <c r="G3794" s="0" t="n">
        <v>17953</v>
      </c>
      <c r="H3794" s="3" t="s">
        <v>14</v>
      </c>
      <c r="I3794" s="4" t="n">
        <f aca="false">D3794*F3794</f>
        <v>14.25</v>
      </c>
      <c r="J3794" s="3" t="n">
        <f aca="false">IF(AND(LEFT(A3794,1)&lt;&gt;"C",D3794&gt;0,F3794&gt;0),1,0)</f>
        <v>1</v>
      </c>
      <c r="K3794" s="3" t="n">
        <f aca="false">IF(AND(H3794="United Kingdom",G3794&lt;&gt;"",COUNTIFS($G$2:G3794,G3794,$H$2:H3794,"United Kingdom")=1),1,0)</f>
        <v>0</v>
      </c>
    </row>
    <row r="3795" customFormat="false" ht="15" hidden="false" customHeight="false" outlineLevel="0" collapsed="false">
      <c r="A3795" s="0" t="s">
        <v>779</v>
      </c>
      <c r="B3795" s="0" t="s">
        <v>32</v>
      </c>
      <c r="C3795" s="0" t="s">
        <v>33</v>
      </c>
      <c r="D3795" s="0" t="n">
        <v>24</v>
      </c>
      <c r="E3795" s="2" t="n">
        <v>40864.4298611111</v>
      </c>
      <c r="F3795" s="0" t="n">
        <v>1.19</v>
      </c>
      <c r="G3795" s="0" t="n">
        <v>17953</v>
      </c>
      <c r="H3795" s="3" t="s">
        <v>14</v>
      </c>
      <c r="I3795" s="4" t="n">
        <f aca="false">D3795*F3795</f>
        <v>28.56</v>
      </c>
      <c r="J3795" s="3" t="n">
        <f aca="false">IF(AND(LEFT(A3795,1)&lt;&gt;"C",D3795&gt;0,F3795&gt;0),1,0)</f>
        <v>1</v>
      </c>
      <c r="K3795" s="3" t="n">
        <f aca="false">IF(AND(H3795="United Kingdom",G3795&lt;&gt;"",COUNTIFS($G$2:G3795,G3795,$H$2:H3795,"United Kingdom")=1),1,0)</f>
        <v>0</v>
      </c>
    </row>
    <row r="3796" customFormat="false" ht="15" hidden="false" customHeight="false" outlineLevel="0" collapsed="false">
      <c r="A3796" s="0" t="s">
        <v>780</v>
      </c>
      <c r="B3796" s="0" t="s">
        <v>15</v>
      </c>
      <c r="C3796" s="0" t="s">
        <v>16</v>
      </c>
      <c r="D3796" s="0" t="n">
        <v>4</v>
      </c>
      <c r="E3796" s="2" t="n">
        <v>40865.3847222222</v>
      </c>
      <c r="F3796" s="0" t="n">
        <v>3.18</v>
      </c>
      <c r="G3796" s="0" t="n">
        <v>16661</v>
      </c>
      <c r="H3796" s="3" t="s">
        <v>14</v>
      </c>
      <c r="I3796" s="4" t="n">
        <f aca="false">D3796*F3796</f>
        <v>12.72</v>
      </c>
      <c r="J3796" s="3" t="n">
        <f aca="false">IF(AND(LEFT(A3796,1)&lt;&gt;"C",D3796&gt;0,F3796&gt;0),1,0)</f>
        <v>1</v>
      </c>
      <c r="K3796" s="3" t="n">
        <f aca="false">IF(AND(H3796="United Kingdom",G3796&lt;&gt;"",COUNTIFS($G$2:G3796,G3796,$H$2:H3796,"United Kingdom")=1),1,0)</f>
        <v>0</v>
      </c>
    </row>
    <row r="3797" customFormat="false" ht="15" hidden="false" customHeight="false" outlineLevel="0" collapsed="false">
      <c r="A3797" s="0" t="s">
        <v>781</v>
      </c>
      <c r="B3797" s="0" t="s">
        <v>75</v>
      </c>
      <c r="C3797" s="0" t="s">
        <v>76</v>
      </c>
      <c r="D3797" s="0" t="n">
        <v>12</v>
      </c>
      <c r="E3797" s="2" t="n">
        <v>40865.7319444444</v>
      </c>
      <c r="F3797" s="0" t="n">
        <v>1.97</v>
      </c>
      <c r="G3797" s="0" t="n">
        <v>13089</v>
      </c>
      <c r="H3797" s="3" t="s">
        <v>14</v>
      </c>
      <c r="I3797" s="4" t="n">
        <f aca="false">D3797*F3797</f>
        <v>23.64</v>
      </c>
      <c r="J3797" s="3" t="n">
        <f aca="false">IF(AND(LEFT(A3797,1)&lt;&gt;"C",D3797&gt;0,F3797&gt;0),1,0)</f>
        <v>1</v>
      </c>
      <c r="K3797" s="3" t="n">
        <f aca="false">IF(AND(H3797="United Kingdom",G3797&lt;&gt;"",COUNTIFS($G$2:G3797,G3797,$H$2:H3797,"United Kingdom")=1),1,0)</f>
        <v>0</v>
      </c>
    </row>
    <row r="3798" customFormat="false" ht="15" hidden="false" customHeight="false" outlineLevel="0" collapsed="false">
      <c r="A3798" s="0" t="s">
        <v>781</v>
      </c>
      <c r="B3798" s="0" t="s">
        <v>12</v>
      </c>
      <c r="C3798" s="0" t="s">
        <v>13</v>
      </c>
      <c r="D3798" s="0" t="n">
        <v>12</v>
      </c>
      <c r="E3798" s="2" t="n">
        <v>40865.7319444444</v>
      </c>
      <c r="F3798" s="0" t="n">
        <v>3.33</v>
      </c>
      <c r="G3798" s="0" t="n">
        <v>13089</v>
      </c>
      <c r="H3798" s="3" t="s">
        <v>14</v>
      </c>
      <c r="I3798" s="4" t="n">
        <f aca="false">D3798*F3798</f>
        <v>39.96</v>
      </c>
      <c r="J3798" s="3" t="n">
        <f aca="false">IF(AND(LEFT(A3798,1)&lt;&gt;"C",D3798&gt;0,F3798&gt;0),1,0)</f>
        <v>1</v>
      </c>
      <c r="K3798" s="3" t="n">
        <f aca="false">IF(AND(H3798="United Kingdom",G3798&lt;&gt;"",COUNTIFS($G$2:G3798,G3798,$H$2:H3798,"United Kingdom")=1),1,0)</f>
        <v>0</v>
      </c>
    </row>
    <row r="3799" customFormat="false" ht="15" hidden="false" customHeight="false" outlineLevel="0" collapsed="false">
      <c r="A3799" s="0" t="s">
        <v>781</v>
      </c>
      <c r="B3799" s="0" t="s">
        <v>45</v>
      </c>
      <c r="C3799" s="0" t="s">
        <v>46</v>
      </c>
      <c r="D3799" s="0" t="n">
        <v>12</v>
      </c>
      <c r="E3799" s="2" t="n">
        <v>40865.7319444444</v>
      </c>
      <c r="F3799" s="0" t="n">
        <v>4.55</v>
      </c>
      <c r="G3799" s="0" t="n">
        <v>13089</v>
      </c>
      <c r="H3799" s="3" t="s">
        <v>14</v>
      </c>
      <c r="I3799" s="4" t="n">
        <f aca="false">D3799*F3799</f>
        <v>54.6</v>
      </c>
      <c r="J3799" s="3" t="n">
        <f aca="false">IF(AND(LEFT(A3799,1)&lt;&gt;"C",D3799&gt;0,F3799&gt;0),1,0)</f>
        <v>1</v>
      </c>
      <c r="K3799" s="3" t="n">
        <f aca="false">IF(AND(H3799="United Kingdom",G3799&lt;&gt;"",COUNTIFS($G$2:G3799,G3799,$H$2:H3799,"United Kingdom")=1),1,0)</f>
        <v>0</v>
      </c>
    </row>
    <row r="3800" customFormat="false" ht="15" hidden="false" customHeight="false" outlineLevel="0" collapsed="false">
      <c r="A3800" s="0" t="s">
        <v>782</v>
      </c>
      <c r="B3800" s="0" t="s">
        <v>32</v>
      </c>
      <c r="C3800" s="0" t="s">
        <v>33</v>
      </c>
      <c r="D3800" s="0" t="n">
        <v>12</v>
      </c>
      <c r="E3800" s="2" t="n">
        <v>40865.8236111111</v>
      </c>
      <c r="F3800" s="0" t="n">
        <v>1.19</v>
      </c>
      <c r="G3800" s="0" t="n">
        <v>15321</v>
      </c>
      <c r="H3800" s="3" t="s">
        <v>14</v>
      </c>
      <c r="I3800" s="4" t="n">
        <f aca="false">D3800*F3800</f>
        <v>14.28</v>
      </c>
      <c r="J3800" s="3" t="n">
        <f aca="false">IF(AND(LEFT(A3800,1)&lt;&gt;"C",D3800&gt;0,F3800&gt;0),1,0)</f>
        <v>1</v>
      </c>
      <c r="K3800" s="3" t="n">
        <f aca="false">IF(AND(H3800="United Kingdom",G3800&lt;&gt;"",COUNTIFS($G$2:G3800,G3800,$H$2:H3800,"United Kingdom")=1),1,0)</f>
        <v>0</v>
      </c>
    </row>
    <row r="3801" customFormat="false" ht="15" hidden="false" customHeight="false" outlineLevel="0" collapsed="false">
      <c r="A3801" s="0" t="s">
        <v>782</v>
      </c>
      <c r="B3801" s="0" t="s">
        <v>80</v>
      </c>
      <c r="C3801" s="0" t="s">
        <v>81</v>
      </c>
      <c r="D3801" s="0" t="n">
        <v>3</v>
      </c>
      <c r="E3801" s="2" t="n">
        <v>40865.8236111111</v>
      </c>
      <c r="F3801" s="0" t="n">
        <v>1.53</v>
      </c>
      <c r="G3801" s="0" t="n">
        <v>15321</v>
      </c>
      <c r="H3801" s="3" t="s">
        <v>14</v>
      </c>
      <c r="I3801" s="4" t="n">
        <f aca="false">D3801*F3801</f>
        <v>4.59</v>
      </c>
      <c r="J3801" s="3" t="n">
        <f aca="false">IF(AND(LEFT(A3801,1)&lt;&gt;"C",D3801&gt;0,F3801&gt;0),1,0)</f>
        <v>1</v>
      </c>
      <c r="K3801" s="3" t="n">
        <f aca="false">IF(AND(H3801="United Kingdom",G3801&lt;&gt;"",COUNTIFS($G$2:G3801,G3801,$H$2:H3801,"United Kingdom")=1),1,0)</f>
        <v>0</v>
      </c>
    </row>
    <row r="3802" customFormat="false" ht="15" hidden="false" customHeight="false" outlineLevel="0" collapsed="false">
      <c r="A3802" s="0" t="s">
        <v>782</v>
      </c>
      <c r="B3802" s="0" t="s">
        <v>113</v>
      </c>
      <c r="C3802" s="0" t="s">
        <v>114</v>
      </c>
      <c r="D3802" s="0" t="n">
        <v>6</v>
      </c>
      <c r="E3802" s="2" t="n">
        <v>40865.8236111111</v>
      </c>
      <c r="F3802" s="0" t="n">
        <v>3.57</v>
      </c>
      <c r="G3802" s="0" t="n">
        <v>15321</v>
      </c>
      <c r="H3802" s="3" t="s">
        <v>14</v>
      </c>
      <c r="I3802" s="4" t="n">
        <f aca="false">D3802*F3802</f>
        <v>21.42</v>
      </c>
      <c r="J3802" s="3" t="n">
        <f aca="false">IF(AND(LEFT(A3802,1)&lt;&gt;"C",D3802&gt;0,F3802&gt;0),1,0)</f>
        <v>1</v>
      </c>
      <c r="K3802" s="3" t="n">
        <f aca="false">IF(AND(H3802="United Kingdom",G3802&lt;&gt;"",COUNTIFS($G$2:G3802,G3802,$H$2:H3802,"United Kingdom")=1),1,0)</f>
        <v>0</v>
      </c>
    </row>
    <row r="3803" customFormat="false" ht="15" hidden="false" customHeight="false" outlineLevel="0" collapsed="false">
      <c r="A3803" s="0" t="s">
        <v>783</v>
      </c>
      <c r="B3803" s="0" t="s">
        <v>27</v>
      </c>
      <c r="C3803" s="0" t="s">
        <v>28</v>
      </c>
      <c r="D3803" s="0" t="n">
        <v>19</v>
      </c>
      <c r="E3803" s="2" t="n">
        <v>40866.7659722222</v>
      </c>
      <c r="F3803" s="0" t="n">
        <v>4.55</v>
      </c>
      <c r="G3803" s="0" t="n">
        <v>15427</v>
      </c>
      <c r="H3803" s="3" t="s">
        <v>57</v>
      </c>
      <c r="I3803" s="4" t="n">
        <f aca="false">D3803*F3803</f>
        <v>86.45</v>
      </c>
      <c r="J3803" s="3" t="n">
        <f aca="false">IF(AND(LEFT(A3803,1)&lt;&gt;"C",D3803&gt;0,F3803&gt;0),1,0)</f>
        <v>1</v>
      </c>
      <c r="K3803" s="3" t="n">
        <f aca="false">IF(AND(H3803="United Kingdom",G3803&lt;&gt;"",COUNTIFS($G$2:G3803,G3803,$H$2:H3803,"United Kingdom")=1),1,0)</f>
        <v>0</v>
      </c>
    </row>
    <row r="3804" customFormat="false" ht="15" hidden="false" customHeight="false" outlineLevel="0" collapsed="false">
      <c r="A3804" s="0" t="s">
        <v>783</v>
      </c>
      <c r="B3804" s="0" t="s">
        <v>58</v>
      </c>
      <c r="C3804" s="0" t="s">
        <v>59</v>
      </c>
      <c r="D3804" s="0" t="n">
        <v>9</v>
      </c>
      <c r="E3804" s="2" t="n">
        <v>40866.7659722222</v>
      </c>
      <c r="F3804" s="0" t="n">
        <v>2.16</v>
      </c>
      <c r="G3804" s="0" t="n">
        <v>15427</v>
      </c>
      <c r="H3804" s="3" t="s">
        <v>57</v>
      </c>
      <c r="I3804" s="4" t="n">
        <f aca="false">D3804*F3804</f>
        <v>19.44</v>
      </c>
      <c r="J3804" s="3" t="n">
        <f aca="false">IF(AND(LEFT(A3804,1)&lt;&gt;"C",D3804&gt;0,F3804&gt;0),1,0)</f>
        <v>1</v>
      </c>
      <c r="K3804" s="3" t="n">
        <f aca="false">IF(AND(H3804="United Kingdom",G3804&lt;&gt;"",COUNTIFS($G$2:G3804,G3804,$H$2:H3804,"United Kingdom")=1),1,0)</f>
        <v>0</v>
      </c>
    </row>
    <row r="3805" customFormat="false" ht="15" hidden="false" customHeight="false" outlineLevel="0" collapsed="false">
      <c r="A3805" s="0" t="s">
        <v>783</v>
      </c>
      <c r="B3805" s="0" t="s">
        <v>90</v>
      </c>
      <c r="C3805" s="0" t="s">
        <v>91</v>
      </c>
      <c r="D3805" s="0" t="n">
        <v>6</v>
      </c>
      <c r="E3805" s="2" t="n">
        <v>40866.7659722222</v>
      </c>
      <c r="F3805" s="0" t="n">
        <v>3.04</v>
      </c>
      <c r="G3805" s="0" t="n">
        <v>15427</v>
      </c>
      <c r="H3805" s="3" t="s">
        <v>57</v>
      </c>
      <c r="I3805" s="4" t="n">
        <f aca="false">D3805*F3805</f>
        <v>18.24</v>
      </c>
      <c r="J3805" s="3" t="n">
        <f aca="false">IF(AND(LEFT(A3805,1)&lt;&gt;"C",D3805&gt;0,F3805&gt;0),1,0)</f>
        <v>1</v>
      </c>
      <c r="K3805" s="3" t="n">
        <f aca="false">IF(AND(H3805="United Kingdom",G3805&lt;&gt;"",COUNTIFS($G$2:G3805,G3805,$H$2:H3805,"United Kingdom")=1),1,0)</f>
        <v>0</v>
      </c>
    </row>
    <row r="3806" customFormat="false" ht="15" hidden="false" customHeight="false" outlineLevel="0" collapsed="false">
      <c r="A3806" s="0" t="s">
        <v>784</v>
      </c>
      <c r="B3806" s="0" t="s">
        <v>41</v>
      </c>
      <c r="C3806" s="0" t="s">
        <v>42</v>
      </c>
      <c r="D3806" s="0" t="n">
        <v>-2</v>
      </c>
      <c r="E3806" s="2" t="n">
        <v>40866.7909722222</v>
      </c>
      <c r="F3806" s="0" t="n">
        <v>3.28</v>
      </c>
      <c r="G3806" s="0" t="n">
        <v>14601</v>
      </c>
      <c r="H3806" s="3" t="s">
        <v>14</v>
      </c>
      <c r="I3806" s="4" t="n">
        <f aca="false">D3806*F3806</f>
        <v>-6.56</v>
      </c>
      <c r="J3806" s="3" t="n">
        <f aca="false">IF(AND(LEFT(A3806,1)&lt;&gt;"C",D3806&gt;0,F3806&gt;0),1,0)</f>
        <v>0</v>
      </c>
      <c r="K3806" s="3" t="n">
        <f aca="false">IF(AND(H3806="United Kingdom",G3806&lt;&gt;"",COUNTIFS($G$2:G3806,G3806,$H$2:H3806,"United Kingdom")=1),1,0)</f>
        <v>0</v>
      </c>
    </row>
    <row r="3807" customFormat="false" ht="15" hidden="false" customHeight="false" outlineLevel="0" collapsed="false">
      <c r="A3807" s="0" t="s">
        <v>785</v>
      </c>
      <c r="B3807" s="0" t="s">
        <v>68</v>
      </c>
      <c r="C3807" s="0" t="s">
        <v>69</v>
      </c>
      <c r="D3807" s="0" t="n">
        <v>4</v>
      </c>
      <c r="E3807" s="2" t="n">
        <v>40867.3486111111</v>
      </c>
      <c r="F3807" s="0" t="n">
        <v>1.26</v>
      </c>
      <c r="G3807" s="0" t="n">
        <v>13163</v>
      </c>
      <c r="H3807" s="3" t="s">
        <v>14</v>
      </c>
      <c r="I3807" s="4" t="n">
        <f aca="false">D3807*F3807</f>
        <v>5.04</v>
      </c>
      <c r="J3807" s="3" t="n">
        <f aca="false">IF(AND(LEFT(A3807,1)&lt;&gt;"C",D3807&gt;0,F3807&gt;0),1,0)</f>
        <v>1</v>
      </c>
      <c r="K3807" s="3" t="n">
        <f aca="false">IF(AND(H3807="United Kingdom",G3807&lt;&gt;"",COUNTIFS($G$2:G3807,G3807,$H$2:H3807,"United Kingdom")=1),1,0)</f>
        <v>0</v>
      </c>
    </row>
    <row r="3808" customFormat="false" ht="15" hidden="false" customHeight="false" outlineLevel="0" collapsed="false">
      <c r="A3808" s="0" t="s">
        <v>786</v>
      </c>
      <c r="B3808" s="0" t="s">
        <v>60</v>
      </c>
      <c r="C3808" s="0" t="s">
        <v>61</v>
      </c>
      <c r="D3808" s="0" t="n">
        <v>4</v>
      </c>
      <c r="E3808" s="2" t="n">
        <v>40867.5125</v>
      </c>
      <c r="F3808" s="0" t="n">
        <v>0.63</v>
      </c>
      <c r="G3808" s="0" t="n">
        <v>13911</v>
      </c>
      <c r="H3808" s="3" t="s">
        <v>14</v>
      </c>
      <c r="I3808" s="4" t="n">
        <f aca="false">D3808*F3808</f>
        <v>2.52</v>
      </c>
      <c r="J3808" s="3" t="n">
        <f aca="false">IF(AND(LEFT(A3808,1)&lt;&gt;"C",D3808&gt;0,F3808&gt;0),1,0)</f>
        <v>1</v>
      </c>
      <c r="K3808" s="3" t="n">
        <f aca="false">IF(AND(H3808="United Kingdom",G3808&lt;&gt;"",COUNTIFS($G$2:G3808,G3808,$H$2:H3808,"United Kingdom")=1),1,0)</f>
        <v>0</v>
      </c>
    </row>
    <row r="3809" customFormat="false" ht="15" hidden="false" customHeight="false" outlineLevel="0" collapsed="false">
      <c r="A3809" s="0" t="s">
        <v>786</v>
      </c>
      <c r="B3809" s="0" t="s">
        <v>65</v>
      </c>
      <c r="C3809" s="0" t="s">
        <v>66</v>
      </c>
      <c r="D3809" s="0" t="n">
        <v>2</v>
      </c>
      <c r="E3809" s="2" t="n">
        <v>40867.5125</v>
      </c>
      <c r="F3809" s="0" t="n">
        <v>4.75</v>
      </c>
      <c r="G3809" s="0" t="n">
        <v>13911</v>
      </c>
      <c r="H3809" s="3" t="s">
        <v>14</v>
      </c>
      <c r="I3809" s="4" t="n">
        <f aca="false">D3809*F3809</f>
        <v>9.5</v>
      </c>
      <c r="J3809" s="3" t="n">
        <f aca="false">IF(AND(LEFT(A3809,1)&lt;&gt;"C",D3809&gt;0,F3809&gt;0),1,0)</f>
        <v>1</v>
      </c>
      <c r="K3809" s="3" t="n">
        <f aca="false">IF(AND(H3809="United Kingdom",G3809&lt;&gt;"",COUNTIFS($G$2:G3809,G3809,$H$2:H3809,"United Kingdom")=1),1,0)</f>
        <v>0</v>
      </c>
    </row>
    <row r="3810" customFormat="false" ht="15" hidden="false" customHeight="false" outlineLevel="0" collapsed="false">
      <c r="A3810" s="0" t="s">
        <v>786</v>
      </c>
      <c r="B3810" s="0" t="s">
        <v>72</v>
      </c>
      <c r="C3810" s="0" t="s">
        <v>73</v>
      </c>
      <c r="D3810" s="0" t="n">
        <v>1</v>
      </c>
      <c r="E3810" s="2" t="n">
        <v>40867.5125</v>
      </c>
      <c r="F3810" s="0" t="n">
        <v>2.69</v>
      </c>
      <c r="G3810" s="0" t="n">
        <v>13911</v>
      </c>
      <c r="H3810" s="3" t="s">
        <v>14</v>
      </c>
      <c r="I3810" s="4" t="n">
        <f aca="false">D3810*F3810</f>
        <v>2.69</v>
      </c>
      <c r="J3810" s="3" t="n">
        <f aca="false">IF(AND(LEFT(A3810,1)&lt;&gt;"C",D3810&gt;0,F3810&gt;0),1,0)</f>
        <v>1</v>
      </c>
      <c r="K3810" s="3" t="n">
        <f aca="false">IF(AND(H3810="United Kingdom",G3810&lt;&gt;"",COUNTIFS($G$2:G3810,G3810,$H$2:H3810,"United Kingdom")=1),1,0)</f>
        <v>0</v>
      </c>
    </row>
    <row r="3811" customFormat="false" ht="15" hidden="false" customHeight="false" outlineLevel="0" collapsed="false">
      <c r="A3811" s="0" t="s">
        <v>786</v>
      </c>
      <c r="B3811" s="0" t="s">
        <v>43</v>
      </c>
      <c r="C3811" s="0" t="s">
        <v>44</v>
      </c>
      <c r="D3811" s="0" t="n">
        <v>12</v>
      </c>
      <c r="E3811" s="2" t="n">
        <v>40867.5125</v>
      </c>
      <c r="F3811" s="0" t="n">
        <v>1.35</v>
      </c>
      <c r="G3811" s="0" t="n">
        <v>13911</v>
      </c>
      <c r="H3811" s="3" t="s">
        <v>14</v>
      </c>
      <c r="I3811" s="4" t="n">
        <f aca="false">D3811*F3811</f>
        <v>16.2</v>
      </c>
      <c r="J3811" s="3" t="n">
        <f aca="false">IF(AND(LEFT(A3811,1)&lt;&gt;"C",D3811&gt;0,F3811&gt;0),1,0)</f>
        <v>1</v>
      </c>
      <c r="K3811" s="3" t="n">
        <f aca="false">IF(AND(H3811="United Kingdom",G3811&lt;&gt;"",COUNTIFS($G$2:G3811,G3811,$H$2:H3811,"United Kingdom")=1),1,0)</f>
        <v>0</v>
      </c>
    </row>
    <row r="3812" customFormat="false" ht="15" hidden="false" customHeight="false" outlineLevel="0" collapsed="false">
      <c r="A3812" s="0" t="s">
        <v>786</v>
      </c>
      <c r="B3812" s="0" t="s">
        <v>32</v>
      </c>
      <c r="C3812" s="0" t="s">
        <v>33</v>
      </c>
      <c r="D3812" s="0" t="n">
        <v>4</v>
      </c>
      <c r="E3812" s="2" t="n">
        <v>40867.5125</v>
      </c>
      <c r="F3812" s="0" t="n">
        <v>1.19</v>
      </c>
      <c r="G3812" s="0" t="n">
        <v>13911</v>
      </c>
      <c r="H3812" s="3" t="s">
        <v>14</v>
      </c>
      <c r="I3812" s="4" t="n">
        <f aca="false">D3812*F3812</f>
        <v>4.76</v>
      </c>
      <c r="J3812" s="3" t="n">
        <f aca="false">IF(AND(LEFT(A3812,1)&lt;&gt;"C",D3812&gt;0,F3812&gt;0),1,0)</f>
        <v>1</v>
      </c>
      <c r="K3812" s="3" t="n">
        <f aca="false">IF(AND(H3812="United Kingdom",G3812&lt;&gt;"",COUNTIFS($G$2:G3812,G3812,$H$2:H3812,"United Kingdom")=1),1,0)</f>
        <v>0</v>
      </c>
    </row>
    <row r="3813" customFormat="false" ht="15" hidden="false" customHeight="false" outlineLevel="0" collapsed="false">
      <c r="A3813" s="0" t="s">
        <v>786</v>
      </c>
      <c r="B3813" s="0" t="s">
        <v>58</v>
      </c>
      <c r="C3813" s="0" t="s">
        <v>59</v>
      </c>
      <c r="D3813" s="0" t="n">
        <v>1</v>
      </c>
      <c r="E3813" s="2" t="n">
        <v>40867.5125</v>
      </c>
      <c r="F3813" s="0" t="n">
        <v>2.16</v>
      </c>
      <c r="G3813" s="0" t="n">
        <v>13911</v>
      </c>
      <c r="H3813" s="3" t="s">
        <v>14</v>
      </c>
      <c r="I3813" s="4" t="n">
        <f aca="false">D3813*F3813</f>
        <v>2.16</v>
      </c>
      <c r="J3813" s="3" t="n">
        <f aca="false">IF(AND(LEFT(A3813,1)&lt;&gt;"C",D3813&gt;0,F3813&gt;0),1,0)</f>
        <v>1</v>
      </c>
      <c r="K3813" s="3" t="n">
        <f aca="false">IF(AND(H3813="United Kingdom",G3813&lt;&gt;"",COUNTIFS($G$2:G3813,G3813,$H$2:H3813,"United Kingdom")=1),1,0)</f>
        <v>0</v>
      </c>
    </row>
    <row r="3814" customFormat="false" ht="15" hidden="false" customHeight="false" outlineLevel="0" collapsed="false">
      <c r="A3814" s="0" t="s">
        <v>786</v>
      </c>
      <c r="B3814" s="0" t="s">
        <v>25</v>
      </c>
      <c r="C3814" s="0" t="s">
        <v>26</v>
      </c>
      <c r="D3814" s="0" t="n">
        <v>6</v>
      </c>
      <c r="E3814" s="2" t="n">
        <v>40867.5125</v>
      </c>
      <c r="F3814" s="0" t="n">
        <v>2.21</v>
      </c>
      <c r="G3814" s="0" t="n">
        <v>13911</v>
      </c>
      <c r="H3814" s="3" t="s">
        <v>14</v>
      </c>
      <c r="I3814" s="4" t="n">
        <f aca="false">D3814*F3814</f>
        <v>13.26</v>
      </c>
      <c r="J3814" s="3" t="n">
        <f aca="false">IF(AND(LEFT(A3814,1)&lt;&gt;"C",D3814&gt;0,F3814&gt;0),1,0)</f>
        <v>1</v>
      </c>
      <c r="K3814" s="3" t="n">
        <f aca="false">IF(AND(H3814="United Kingdom",G3814&lt;&gt;"",COUNTIFS($G$2:G3814,G3814,$H$2:H3814,"United Kingdom")=1),1,0)</f>
        <v>0</v>
      </c>
    </row>
    <row r="3815" customFormat="false" ht="15" hidden="false" customHeight="false" outlineLevel="0" collapsed="false">
      <c r="A3815" s="0" t="s">
        <v>786</v>
      </c>
      <c r="B3815" s="0" t="s">
        <v>77</v>
      </c>
      <c r="C3815" s="0" t="s">
        <v>78</v>
      </c>
      <c r="D3815" s="0" t="n">
        <v>16</v>
      </c>
      <c r="E3815" s="2" t="n">
        <v>40867.5125</v>
      </c>
      <c r="F3815" s="0" t="n">
        <v>3.41</v>
      </c>
      <c r="G3815" s="0" t="n">
        <v>13911</v>
      </c>
      <c r="H3815" s="3" t="s">
        <v>14</v>
      </c>
      <c r="I3815" s="4" t="n">
        <f aca="false">D3815*F3815</f>
        <v>54.56</v>
      </c>
      <c r="J3815" s="3" t="n">
        <f aca="false">IF(AND(LEFT(A3815,1)&lt;&gt;"C",D3815&gt;0,F3815&gt;0),1,0)</f>
        <v>1</v>
      </c>
      <c r="K3815" s="3" t="n">
        <f aca="false">IF(AND(H3815="United Kingdom",G3815&lt;&gt;"",COUNTIFS($G$2:G3815,G3815,$H$2:H3815,"United Kingdom")=1),1,0)</f>
        <v>0</v>
      </c>
    </row>
    <row r="3816" customFormat="false" ht="15" hidden="false" customHeight="false" outlineLevel="0" collapsed="false">
      <c r="A3816" s="0" t="s">
        <v>786</v>
      </c>
      <c r="B3816" s="0" t="s">
        <v>75</v>
      </c>
      <c r="C3816" s="0" t="s">
        <v>76</v>
      </c>
      <c r="D3816" s="0" t="n">
        <v>12</v>
      </c>
      <c r="E3816" s="2" t="n">
        <v>40867.5125</v>
      </c>
      <c r="F3816" s="0" t="n">
        <v>1.97</v>
      </c>
      <c r="G3816" s="0" t="n">
        <v>13911</v>
      </c>
      <c r="H3816" s="3" t="s">
        <v>14</v>
      </c>
      <c r="I3816" s="4" t="n">
        <f aca="false">D3816*F3816</f>
        <v>23.64</v>
      </c>
      <c r="J3816" s="3" t="n">
        <f aca="false">IF(AND(LEFT(A3816,1)&lt;&gt;"C",D3816&gt;0,F3816&gt;0),1,0)</f>
        <v>1</v>
      </c>
      <c r="K3816" s="3" t="n">
        <f aca="false">IF(AND(H3816="United Kingdom",G3816&lt;&gt;"",COUNTIFS($G$2:G3816,G3816,$H$2:H3816,"United Kingdom")=1),1,0)</f>
        <v>0</v>
      </c>
    </row>
    <row r="3817" customFormat="false" ht="15" hidden="false" customHeight="false" outlineLevel="0" collapsed="false">
      <c r="A3817" s="0" t="s">
        <v>786</v>
      </c>
      <c r="B3817" s="0" t="s">
        <v>68</v>
      </c>
      <c r="C3817" s="0" t="s">
        <v>69</v>
      </c>
      <c r="D3817" s="0" t="n">
        <v>4</v>
      </c>
      <c r="E3817" s="2" t="n">
        <v>40867.5125</v>
      </c>
      <c r="F3817" s="0" t="n">
        <v>1.26</v>
      </c>
      <c r="G3817" s="0" t="n">
        <v>13911</v>
      </c>
      <c r="H3817" s="3" t="s">
        <v>14</v>
      </c>
      <c r="I3817" s="4" t="n">
        <f aca="false">D3817*F3817</f>
        <v>5.04</v>
      </c>
      <c r="J3817" s="3" t="n">
        <f aca="false">IF(AND(LEFT(A3817,1)&lt;&gt;"C",D3817&gt;0,F3817&gt;0),1,0)</f>
        <v>1</v>
      </c>
      <c r="K3817" s="3" t="n">
        <f aca="false">IF(AND(H3817="United Kingdom",G3817&lt;&gt;"",COUNTIFS($G$2:G3817,G3817,$H$2:H3817,"United Kingdom")=1),1,0)</f>
        <v>0</v>
      </c>
    </row>
    <row r="3818" customFormat="false" ht="15" hidden="false" customHeight="false" outlineLevel="0" collapsed="false">
      <c r="A3818" s="0" t="s">
        <v>787</v>
      </c>
      <c r="B3818" s="0" t="s">
        <v>22</v>
      </c>
      <c r="C3818" s="0" t="s">
        <v>23</v>
      </c>
      <c r="D3818" s="0" t="n">
        <v>2</v>
      </c>
      <c r="E3818" s="2" t="n">
        <v>40867.6215277778</v>
      </c>
      <c r="F3818" s="0" t="n">
        <v>3.18</v>
      </c>
      <c r="G3818" s="0" t="n">
        <v>17191</v>
      </c>
      <c r="H3818" s="3" t="s">
        <v>14</v>
      </c>
      <c r="I3818" s="4" t="n">
        <f aca="false">D3818*F3818</f>
        <v>6.36</v>
      </c>
      <c r="J3818" s="3" t="n">
        <f aca="false">IF(AND(LEFT(A3818,1)&lt;&gt;"C",D3818&gt;0,F3818&gt;0),1,0)</f>
        <v>1</v>
      </c>
      <c r="K3818" s="3" t="n">
        <f aca="false">IF(AND(H3818="United Kingdom",G3818&lt;&gt;"",COUNTIFS($G$2:G3818,G3818,$H$2:H3818,"United Kingdom")=1),1,0)</f>
        <v>0</v>
      </c>
    </row>
    <row r="3819" customFormat="false" ht="15" hidden="false" customHeight="false" outlineLevel="0" collapsed="false">
      <c r="A3819" s="0" t="s">
        <v>787</v>
      </c>
      <c r="B3819" s="0" t="s">
        <v>58</v>
      </c>
      <c r="C3819" s="0" t="s">
        <v>59</v>
      </c>
      <c r="D3819" s="0" t="n">
        <v>8</v>
      </c>
      <c r="E3819" s="2" t="n">
        <v>40867.6215277778</v>
      </c>
      <c r="F3819" s="0" t="n">
        <v>2.16</v>
      </c>
      <c r="G3819" s="0" t="n">
        <v>17191</v>
      </c>
      <c r="H3819" s="3" t="s">
        <v>14</v>
      </c>
      <c r="I3819" s="4" t="n">
        <f aca="false">D3819*F3819</f>
        <v>17.28</v>
      </c>
      <c r="J3819" s="3" t="n">
        <f aca="false">IF(AND(LEFT(A3819,1)&lt;&gt;"C",D3819&gt;0,F3819&gt;0),1,0)</f>
        <v>1</v>
      </c>
      <c r="K3819" s="3" t="n">
        <f aca="false">IF(AND(H3819="United Kingdom",G3819&lt;&gt;"",COUNTIFS($G$2:G3819,G3819,$H$2:H3819,"United Kingdom")=1),1,0)</f>
        <v>0</v>
      </c>
    </row>
    <row r="3820" customFormat="false" ht="15" hidden="false" customHeight="false" outlineLevel="0" collapsed="false">
      <c r="A3820" s="0" t="s">
        <v>787</v>
      </c>
      <c r="B3820" s="0" t="s">
        <v>80</v>
      </c>
      <c r="C3820" s="0" t="s">
        <v>81</v>
      </c>
      <c r="D3820" s="0" t="n">
        <v>4</v>
      </c>
      <c r="E3820" s="2" t="n">
        <v>40867.6215277778</v>
      </c>
      <c r="F3820" s="0" t="n">
        <v>1.53</v>
      </c>
      <c r="G3820" s="0" t="n">
        <v>17191</v>
      </c>
      <c r="H3820" s="3" t="s">
        <v>14</v>
      </c>
      <c r="I3820" s="4" t="n">
        <f aca="false">D3820*F3820</f>
        <v>6.12</v>
      </c>
      <c r="J3820" s="3" t="n">
        <f aca="false">IF(AND(LEFT(A3820,1)&lt;&gt;"C",D3820&gt;0,F3820&gt;0),1,0)</f>
        <v>1</v>
      </c>
      <c r="K3820" s="3" t="n">
        <f aca="false">IF(AND(H3820="United Kingdom",G3820&lt;&gt;"",COUNTIFS($G$2:G3820,G3820,$H$2:H3820,"United Kingdom")=1),1,0)</f>
        <v>0</v>
      </c>
    </row>
    <row r="3821" customFormat="false" ht="15" hidden="false" customHeight="false" outlineLevel="0" collapsed="false">
      <c r="A3821" s="0" t="s">
        <v>787</v>
      </c>
      <c r="B3821" s="0" t="s">
        <v>75</v>
      </c>
      <c r="C3821" s="0" t="s">
        <v>76</v>
      </c>
      <c r="D3821" s="0" t="n">
        <v>1</v>
      </c>
      <c r="E3821" s="2" t="n">
        <v>40867.6215277778</v>
      </c>
      <c r="F3821" s="0" t="n">
        <v>1.97</v>
      </c>
      <c r="G3821" s="0" t="n">
        <v>17191</v>
      </c>
      <c r="H3821" s="3" t="s">
        <v>14</v>
      </c>
      <c r="I3821" s="4" t="n">
        <f aca="false">D3821*F3821</f>
        <v>1.97</v>
      </c>
      <c r="J3821" s="3" t="n">
        <f aca="false">IF(AND(LEFT(A3821,1)&lt;&gt;"C",D3821&gt;0,F3821&gt;0),1,0)</f>
        <v>1</v>
      </c>
      <c r="K3821" s="3" t="n">
        <f aca="false">IF(AND(H3821="United Kingdom",G3821&lt;&gt;"",COUNTIFS($G$2:G3821,G3821,$H$2:H3821,"United Kingdom")=1),1,0)</f>
        <v>0</v>
      </c>
    </row>
    <row r="3822" customFormat="false" ht="15" hidden="false" customHeight="false" outlineLevel="0" collapsed="false">
      <c r="A3822" s="0" t="s">
        <v>787</v>
      </c>
      <c r="B3822" s="0" t="s">
        <v>39</v>
      </c>
      <c r="C3822" s="0" t="s">
        <v>40</v>
      </c>
      <c r="D3822" s="0" t="n">
        <v>3</v>
      </c>
      <c r="E3822" s="2" t="n">
        <v>40867.6215277778</v>
      </c>
      <c r="F3822" s="0" t="n">
        <v>2.58</v>
      </c>
      <c r="G3822" s="0" t="n">
        <v>17191</v>
      </c>
      <c r="H3822" s="3" t="s">
        <v>14</v>
      </c>
      <c r="I3822" s="4" t="n">
        <f aca="false">D3822*F3822</f>
        <v>7.74</v>
      </c>
      <c r="J3822" s="3" t="n">
        <f aca="false">IF(AND(LEFT(A3822,1)&lt;&gt;"C",D3822&gt;0,F3822&gt;0),1,0)</f>
        <v>1</v>
      </c>
      <c r="K3822" s="3" t="n">
        <f aca="false">IF(AND(H3822="United Kingdom",G3822&lt;&gt;"",COUNTIFS($G$2:G3822,G3822,$H$2:H3822,"United Kingdom")=1),1,0)</f>
        <v>0</v>
      </c>
    </row>
    <row r="3823" customFormat="false" ht="15" hidden="false" customHeight="false" outlineLevel="0" collapsed="false">
      <c r="A3823" s="0" t="s">
        <v>787</v>
      </c>
      <c r="B3823" s="0" t="s">
        <v>25</v>
      </c>
      <c r="C3823" s="0" t="s">
        <v>26</v>
      </c>
      <c r="D3823" s="0" t="n">
        <v>6</v>
      </c>
      <c r="E3823" s="2" t="n">
        <v>40867.6215277778</v>
      </c>
      <c r="F3823" s="0" t="n">
        <v>2.21</v>
      </c>
      <c r="G3823" s="0" t="n">
        <v>17191</v>
      </c>
      <c r="H3823" s="3" t="s">
        <v>14</v>
      </c>
      <c r="I3823" s="4" t="n">
        <f aca="false">D3823*F3823</f>
        <v>13.26</v>
      </c>
      <c r="J3823" s="3" t="n">
        <f aca="false">IF(AND(LEFT(A3823,1)&lt;&gt;"C",D3823&gt;0,F3823&gt;0),1,0)</f>
        <v>1</v>
      </c>
      <c r="K3823" s="3" t="n">
        <f aca="false">IF(AND(H3823="United Kingdom",G3823&lt;&gt;"",COUNTIFS($G$2:G3823,G3823,$H$2:H3823,"United Kingdom")=1),1,0)</f>
        <v>0</v>
      </c>
    </row>
    <row r="3824" customFormat="false" ht="15" hidden="false" customHeight="false" outlineLevel="0" collapsed="false">
      <c r="A3824" s="0" t="s">
        <v>787</v>
      </c>
      <c r="B3824" s="0" t="s">
        <v>54</v>
      </c>
      <c r="C3824" s="0" t="s">
        <v>55</v>
      </c>
      <c r="D3824" s="0" t="n">
        <v>4</v>
      </c>
      <c r="E3824" s="2" t="n">
        <v>40867.6215277778</v>
      </c>
      <c r="F3824" s="0" t="n">
        <v>0.99</v>
      </c>
      <c r="G3824" s="0" t="n">
        <v>17191</v>
      </c>
      <c r="H3824" s="3" t="s">
        <v>14</v>
      </c>
      <c r="I3824" s="4" t="n">
        <f aca="false">D3824*F3824</f>
        <v>3.96</v>
      </c>
      <c r="J3824" s="3" t="n">
        <f aca="false">IF(AND(LEFT(A3824,1)&lt;&gt;"C",D3824&gt;0,F3824&gt;0),1,0)</f>
        <v>1</v>
      </c>
      <c r="K3824" s="3" t="n">
        <f aca="false">IF(AND(H3824="United Kingdom",G3824&lt;&gt;"",COUNTIFS($G$2:G3824,G3824,$H$2:H3824,"United Kingdom")=1),1,0)</f>
        <v>0</v>
      </c>
    </row>
    <row r="3825" customFormat="false" ht="15" hidden="false" customHeight="false" outlineLevel="0" collapsed="false">
      <c r="A3825" s="0" t="s">
        <v>787</v>
      </c>
      <c r="B3825" s="0" t="s">
        <v>37</v>
      </c>
      <c r="C3825" s="0" t="s">
        <v>38</v>
      </c>
      <c r="D3825" s="0" t="n">
        <v>2</v>
      </c>
      <c r="E3825" s="2" t="n">
        <v>40867.6215277778</v>
      </c>
      <c r="F3825" s="0" t="n">
        <v>1.82</v>
      </c>
      <c r="G3825" s="0" t="n">
        <v>17191</v>
      </c>
      <c r="H3825" s="3" t="s">
        <v>14</v>
      </c>
      <c r="I3825" s="4" t="n">
        <f aca="false">D3825*F3825</f>
        <v>3.64</v>
      </c>
      <c r="J3825" s="3" t="n">
        <f aca="false">IF(AND(LEFT(A3825,1)&lt;&gt;"C",D3825&gt;0,F3825&gt;0),1,0)</f>
        <v>1</v>
      </c>
      <c r="K3825" s="3" t="n">
        <f aca="false">IF(AND(H3825="United Kingdom",G3825&lt;&gt;"",COUNTIFS($G$2:G3825,G3825,$H$2:H3825,"United Kingdom")=1),1,0)</f>
        <v>0</v>
      </c>
    </row>
    <row r="3826" customFormat="false" ht="15" hidden="false" customHeight="false" outlineLevel="0" collapsed="false">
      <c r="A3826" s="0" t="s">
        <v>787</v>
      </c>
      <c r="B3826" s="0" t="s">
        <v>77</v>
      </c>
      <c r="C3826" s="0" t="s">
        <v>78</v>
      </c>
      <c r="D3826" s="0" t="n">
        <v>12</v>
      </c>
      <c r="E3826" s="2" t="n">
        <v>40867.6215277778</v>
      </c>
      <c r="F3826" s="0" t="n">
        <v>3.41</v>
      </c>
      <c r="G3826" s="0" t="n">
        <v>17191</v>
      </c>
      <c r="H3826" s="3" t="s">
        <v>14</v>
      </c>
      <c r="I3826" s="4" t="n">
        <f aca="false">D3826*F3826</f>
        <v>40.92</v>
      </c>
      <c r="J3826" s="3" t="n">
        <f aca="false">IF(AND(LEFT(A3826,1)&lt;&gt;"C",D3826&gt;0,F3826&gt;0),1,0)</f>
        <v>1</v>
      </c>
      <c r="K3826" s="3" t="n">
        <f aca="false">IF(AND(H3826="United Kingdom",G3826&lt;&gt;"",COUNTIFS($G$2:G3826,G3826,$H$2:H3826,"United Kingdom")=1),1,0)</f>
        <v>0</v>
      </c>
    </row>
    <row r="3827" customFormat="false" ht="15" hidden="false" customHeight="false" outlineLevel="0" collapsed="false">
      <c r="A3827" s="0" t="s">
        <v>787</v>
      </c>
      <c r="B3827" s="0" t="s">
        <v>90</v>
      </c>
      <c r="C3827" s="0" t="s">
        <v>91</v>
      </c>
      <c r="D3827" s="0" t="n">
        <v>6</v>
      </c>
      <c r="E3827" s="2" t="n">
        <v>40867.6215277778</v>
      </c>
      <c r="F3827" s="0" t="n">
        <v>3.04</v>
      </c>
      <c r="G3827" s="0" t="n">
        <v>17191</v>
      </c>
      <c r="H3827" s="3" t="s">
        <v>14</v>
      </c>
      <c r="I3827" s="4" t="n">
        <f aca="false">D3827*F3827</f>
        <v>18.24</v>
      </c>
      <c r="J3827" s="3" t="n">
        <f aca="false">IF(AND(LEFT(A3827,1)&lt;&gt;"C",D3827&gt;0,F3827&gt;0),1,0)</f>
        <v>1</v>
      </c>
      <c r="K3827" s="3" t="n">
        <f aca="false">IF(AND(H3827="United Kingdom",G3827&lt;&gt;"",COUNTIFS($G$2:G3827,G3827,$H$2:H3827,"United Kingdom")=1),1,0)</f>
        <v>0</v>
      </c>
    </row>
    <row r="3828" customFormat="false" ht="15" hidden="false" customHeight="false" outlineLevel="0" collapsed="false">
      <c r="A3828" s="0" t="s">
        <v>787</v>
      </c>
      <c r="B3828" s="0" t="s">
        <v>50</v>
      </c>
      <c r="C3828" s="0" t="s">
        <v>51</v>
      </c>
      <c r="D3828" s="0" t="n">
        <v>3</v>
      </c>
      <c r="E3828" s="2" t="n">
        <v>40867.6215277778</v>
      </c>
      <c r="F3828" s="0" t="n">
        <v>5.41</v>
      </c>
      <c r="G3828" s="0" t="n">
        <v>17191</v>
      </c>
      <c r="H3828" s="3" t="s">
        <v>14</v>
      </c>
      <c r="I3828" s="4" t="n">
        <f aca="false">D3828*F3828</f>
        <v>16.23</v>
      </c>
      <c r="J3828" s="3" t="n">
        <f aca="false">IF(AND(LEFT(A3828,1)&lt;&gt;"C",D3828&gt;0,F3828&gt;0),1,0)</f>
        <v>1</v>
      </c>
      <c r="K3828" s="3" t="n">
        <f aca="false">IF(AND(H3828="United Kingdom",G3828&lt;&gt;"",COUNTIFS($G$2:G3828,G3828,$H$2:H3828,"United Kingdom")=1),1,0)</f>
        <v>0</v>
      </c>
    </row>
    <row r="3829" customFormat="false" ht="15" hidden="false" customHeight="false" outlineLevel="0" collapsed="false">
      <c r="A3829" s="0" t="s">
        <v>787</v>
      </c>
      <c r="B3829" s="0" t="s">
        <v>60</v>
      </c>
      <c r="C3829" s="0" t="s">
        <v>61</v>
      </c>
      <c r="D3829" s="0" t="n">
        <v>1</v>
      </c>
      <c r="E3829" s="2" t="n">
        <v>40867.6215277778</v>
      </c>
      <c r="F3829" s="0" t="n">
        <v>0.63</v>
      </c>
      <c r="G3829" s="0" t="n">
        <v>17191</v>
      </c>
      <c r="H3829" s="3" t="s">
        <v>14</v>
      </c>
      <c r="I3829" s="4" t="n">
        <f aca="false">D3829*F3829</f>
        <v>0.63</v>
      </c>
      <c r="J3829" s="3" t="n">
        <f aca="false">IF(AND(LEFT(A3829,1)&lt;&gt;"C",D3829&gt;0,F3829&gt;0),1,0)</f>
        <v>1</v>
      </c>
      <c r="K3829" s="3" t="n">
        <f aca="false">IF(AND(H3829="United Kingdom",G3829&lt;&gt;"",COUNTIFS($G$2:G3829,G3829,$H$2:H3829,"United Kingdom")=1),1,0)</f>
        <v>0</v>
      </c>
    </row>
    <row r="3830" customFormat="false" ht="15" hidden="false" customHeight="false" outlineLevel="0" collapsed="false">
      <c r="A3830" s="0" t="s">
        <v>787</v>
      </c>
      <c r="B3830" s="0" t="s">
        <v>72</v>
      </c>
      <c r="C3830" s="0" t="s">
        <v>73</v>
      </c>
      <c r="D3830" s="0" t="n">
        <v>2</v>
      </c>
      <c r="E3830" s="2" t="n">
        <v>40867.6215277778</v>
      </c>
      <c r="F3830" s="0" t="n">
        <v>2.69</v>
      </c>
      <c r="G3830" s="0" t="n">
        <v>17191</v>
      </c>
      <c r="H3830" s="3" t="s">
        <v>14</v>
      </c>
      <c r="I3830" s="4" t="n">
        <f aca="false">D3830*F3830</f>
        <v>5.38</v>
      </c>
      <c r="J3830" s="3" t="n">
        <f aca="false">IF(AND(LEFT(A3830,1)&lt;&gt;"C",D3830&gt;0,F3830&gt;0),1,0)</f>
        <v>1</v>
      </c>
      <c r="K3830" s="3" t="n">
        <f aca="false">IF(AND(H3830="United Kingdom",G3830&lt;&gt;"",COUNTIFS($G$2:G3830,G3830,$H$2:H3830,"United Kingdom")=1),1,0)</f>
        <v>0</v>
      </c>
    </row>
    <row r="3831" customFormat="false" ht="15" hidden="false" customHeight="false" outlineLevel="0" collapsed="false">
      <c r="A3831" s="0" t="s">
        <v>787</v>
      </c>
      <c r="B3831" s="0" t="s">
        <v>12</v>
      </c>
      <c r="C3831" s="0" t="s">
        <v>13</v>
      </c>
      <c r="D3831" s="0" t="n">
        <v>8</v>
      </c>
      <c r="E3831" s="2" t="n">
        <v>40867.6215277778</v>
      </c>
      <c r="F3831" s="0" t="n">
        <v>3.33</v>
      </c>
      <c r="G3831" s="0" t="n">
        <v>17191</v>
      </c>
      <c r="H3831" s="3" t="s">
        <v>14</v>
      </c>
      <c r="I3831" s="4" t="n">
        <f aca="false">D3831*F3831</f>
        <v>26.64</v>
      </c>
      <c r="J3831" s="3" t="n">
        <f aca="false">IF(AND(LEFT(A3831,1)&lt;&gt;"C",D3831&gt;0,F3831&gt;0),1,0)</f>
        <v>1</v>
      </c>
      <c r="K3831" s="3" t="n">
        <f aca="false">IF(AND(H3831="United Kingdom",G3831&lt;&gt;"",COUNTIFS($G$2:G3831,G3831,$H$2:H3831,"United Kingdom")=1),1,0)</f>
        <v>0</v>
      </c>
    </row>
    <row r="3832" customFormat="false" ht="15" hidden="false" customHeight="false" outlineLevel="0" collapsed="false">
      <c r="A3832" s="0" t="s">
        <v>787</v>
      </c>
      <c r="B3832" s="0" t="s">
        <v>29</v>
      </c>
      <c r="C3832" s="0" t="s">
        <v>30</v>
      </c>
      <c r="D3832" s="0" t="n">
        <v>6</v>
      </c>
      <c r="E3832" s="2" t="n">
        <v>40867.6215277778</v>
      </c>
      <c r="F3832" s="0" t="n">
        <v>5.79</v>
      </c>
      <c r="G3832" s="0" t="n">
        <v>17191</v>
      </c>
      <c r="H3832" s="3" t="s">
        <v>14</v>
      </c>
      <c r="I3832" s="4" t="n">
        <f aca="false">D3832*F3832</f>
        <v>34.74</v>
      </c>
      <c r="J3832" s="3" t="n">
        <f aca="false">IF(AND(LEFT(A3832,1)&lt;&gt;"C",D3832&gt;0,F3832&gt;0),1,0)</f>
        <v>1</v>
      </c>
      <c r="K3832" s="3" t="n">
        <f aca="false">IF(AND(H3832="United Kingdom",G3832&lt;&gt;"",COUNTIFS($G$2:G3832,G3832,$H$2:H3832,"United Kingdom")=1),1,0)</f>
        <v>0</v>
      </c>
    </row>
    <row r="3833" customFormat="false" ht="15" hidden="false" customHeight="false" outlineLevel="0" collapsed="false">
      <c r="A3833" s="0" t="s">
        <v>787</v>
      </c>
      <c r="B3833" s="0" t="s">
        <v>63</v>
      </c>
      <c r="C3833" s="0" t="s">
        <v>64</v>
      </c>
      <c r="D3833" s="0" t="n">
        <v>4</v>
      </c>
      <c r="E3833" s="2" t="n">
        <v>40867.6215277778</v>
      </c>
      <c r="F3833" s="0" t="n">
        <v>2.43</v>
      </c>
      <c r="G3833" s="0" t="n">
        <v>17191</v>
      </c>
      <c r="H3833" s="3" t="s">
        <v>14</v>
      </c>
      <c r="I3833" s="4" t="n">
        <f aca="false">D3833*F3833</f>
        <v>9.72</v>
      </c>
      <c r="J3833" s="3" t="n">
        <f aca="false">IF(AND(LEFT(A3833,1)&lt;&gt;"C",D3833&gt;0,F3833&gt;0),1,0)</f>
        <v>1</v>
      </c>
      <c r="K3833" s="3" t="n">
        <f aca="false">IF(AND(H3833="United Kingdom",G3833&lt;&gt;"",COUNTIFS($G$2:G3833,G3833,$H$2:H3833,"United Kingdom")=1),1,0)</f>
        <v>0</v>
      </c>
    </row>
    <row r="3834" customFormat="false" ht="15" hidden="false" customHeight="false" outlineLevel="0" collapsed="false">
      <c r="A3834" s="0" t="s">
        <v>787</v>
      </c>
      <c r="B3834" s="0" t="s">
        <v>43</v>
      </c>
      <c r="C3834" s="0" t="s">
        <v>44</v>
      </c>
      <c r="D3834" s="0" t="n">
        <v>8</v>
      </c>
      <c r="E3834" s="2" t="n">
        <v>40867.6215277778</v>
      </c>
      <c r="F3834" s="0" t="n">
        <v>1.35</v>
      </c>
      <c r="G3834" s="0" t="n">
        <v>17191</v>
      </c>
      <c r="H3834" s="3" t="s">
        <v>14</v>
      </c>
      <c r="I3834" s="4" t="n">
        <f aca="false">D3834*F3834</f>
        <v>10.8</v>
      </c>
      <c r="J3834" s="3" t="n">
        <f aca="false">IF(AND(LEFT(A3834,1)&lt;&gt;"C",D3834&gt;0,F3834&gt;0),1,0)</f>
        <v>1</v>
      </c>
      <c r="K3834" s="3" t="n">
        <f aca="false">IF(AND(H3834="United Kingdom",G3834&lt;&gt;"",COUNTIFS($G$2:G3834,G3834,$H$2:H3834,"United Kingdom")=1),1,0)</f>
        <v>0</v>
      </c>
    </row>
    <row r="3835" customFormat="false" ht="15" hidden="false" customHeight="false" outlineLevel="0" collapsed="false">
      <c r="A3835" s="0" t="s">
        <v>787</v>
      </c>
      <c r="B3835" s="0" t="s">
        <v>15</v>
      </c>
      <c r="C3835" s="0" t="s">
        <v>16</v>
      </c>
      <c r="D3835" s="0" t="n">
        <v>8</v>
      </c>
      <c r="E3835" s="2" t="n">
        <v>40867.6215277778</v>
      </c>
      <c r="F3835" s="0" t="n">
        <v>3.18</v>
      </c>
      <c r="G3835" s="0" t="n">
        <v>17191</v>
      </c>
      <c r="H3835" s="3" t="s">
        <v>14</v>
      </c>
      <c r="I3835" s="4" t="n">
        <f aca="false">D3835*F3835</f>
        <v>25.44</v>
      </c>
      <c r="J3835" s="3" t="n">
        <f aca="false">IF(AND(LEFT(A3835,1)&lt;&gt;"C",D3835&gt;0,F3835&gt;0),1,0)</f>
        <v>1</v>
      </c>
      <c r="K3835" s="3" t="n">
        <f aca="false">IF(AND(H3835="United Kingdom",G3835&lt;&gt;"",COUNTIFS($G$2:G3835,G3835,$H$2:H3835,"United Kingdom")=1),1,0)</f>
        <v>0</v>
      </c>
    </row>
    <row r="3836" customFormat="false" ht="15" hidden="false" customHeight="false" outlineLevel="0" collapsed="false">
      <c r="A3836" s="0" t="s">
        <v>787</v>
      </c>
      <c r="B3836" s="0" t="s">
        <v>113</v>
      </c>
      <c r="C3836" s="0" t="s">
        <v>114</v>
      </c>
      <c r="D3836" s="0" t="n">
        <v>1</v>
      </c>
      <c r="E3836" s="2" t="n">
        <v>40867.6215277778</v>
      </c>
      <c r="F3836" s="0" t="n">
        <v>3.57</v>
      </c>
      <c r="G3836" s="0" t="n">
        <v>17191</v>
      </c>
      <c r="H3836" s="3" t="s">
        <v>14</v>
      </c>
      <c r="I3836" s="4" t="n">
        <f aca="false">D3836*F3836</f>
        <v>3.57</v>
      </c>
      <c r="J3836" s="3" t="n">
        <f aca="false">IF(AND(LEFT(A3836,1)&lt;&gt;"C",D3836&gt;0,F3836&gt;0),1,0)</f>
        <v>1</v>
      </c>
      <c r="K3836" s="3" t="n">
        <f aca="false">IF(AND(H3836="United Kingdom",G3836&lt;&gt;"",COUNTIFS($G$2:G3836,G3836,$H$2:H3836,"United Kingdom")=1),1,0)</f>
        <v>0</v>
      </c>
    </row>
    <row r="3837" customFormat="false" ht="15" hidden="false" customHeight="false" outlineLevel="0" collapsed="false">
      <c r="A3837" s="0" t="s">
        <v>787</v>
      </c>
      <c r="B3837" s="0" t="s">
        <v>27</v>
      </c>
      <c r="C3837" s="0" t="s">
        <v>28</v>
      </c>
      <c r="D3837" s="0" t="n">
        <v>4</v>
      </c>
      <c r="E3837" s="2" t="n">
        <v>40867.6215277778</v>
      </c>
      <c r="F3837" s="0" t="n">
        <v>4.55</v>
      </c>
      <c r="G3837" s="0" t="n">
        <v>17191</v>
      </c>
      <c r="H3837" s="3" t="s">
        <v>14</v>
      </c>
      <c r="I3837" s="4" t="n">
        <f aca="false">D3837*F3837</f>
        <v>18.2</v>
      </c>
      <c r="J3837" s="3" t="n">
        <f aca="false">IF(AND(LEFT(A3837,1)&lt;&gt;"C",D3837&gt;0,F3837&gt;0),1,0)</f>
        <v>1</v>
      </c>
      <c r="K3837" s="3" t="n">
        <f aca="false">IF(AND(H3837="United Kingdom",G3837&lt;&gt;"",COUNTIFS($G$2:G3837,G3837,$H$2:H3837,"United Kingdom")=1),1,0)</f>
        <v>0</v>
      </c>
    </row>
    <row r="3838" customFormat="false" ht="15" hidden="false" customHeight="false" outlineLevel="0" collapsed="false">
      <c r="A3838" s="0" t="s">
        <v>787</v>
      </c>
      <c r="B3838" s="0" t="s">
        <v>41</v>
      </c>
      <c r="C3838" s="0" t="s">
        <v>42</v>
      </c>
      <c r="D3838" s="0" t="n">
        <v>8</v>
      </c>
      <c r="E3838" s="2" t="n">
        <v>40867.6215277778</v>
      </c>
      <c r="F3838" s="0" t="n">
        <v>3.28</v>
      </c>
      <c r="G3838" s="0" t="n">
        <v>17191</v>
      </c>
      <c r="H3838" s="3" t="s">
        <v>14</v>
      </c>
      <c r="I3838" s="4" t="n">
        <f aca="false">D3838*F3838</f>
        <v>26.24</v>
      </c>
      <c r="J3838" s="3" t="n">
        <f aca="false">IF(AND(LEFT(A3838,1)&lt;&gt;"C",D3838&gt;0,F3838&gt;0),1,0)</f>
        <v>1</v>
      </c>
      <c r="K3838" s="3" t="n">
        <f aca="false">IF(AND(H3838="United Kingdom",G3838&lt;&gt;"",COUNTIFS($G$2:G3838,G3838,$H$2:H3838,"United Kingdom")=1),1,0)</f>
        <v>0</v>
      </c>
    </row>
    <row r="3839" customFormat="false" ht="15" hidden="false" customHeight="false" outlineLevel="0" collapsed="false">
      <c r="A3839" s="0" t="s">
        <v>787</v>
      </c>
      <c r="B3839" s="0" t="s">
        <v>68</v>
      </c>
      <c r="C3839" s="0" t="s">
        <v>69</v>
      </c>
      <c r="D3839" s="0" t="n">
        <v>12</v>
      </c>
      <c r="E3839" s="2" t="n">
        <v>40867.6215277778</v>
      </c>
      <c r="F3839" s="0" t="n">
        <v>1.26</v>
      </c>
      <c r="G3839" s="0" t="n">
        <v>17191</v>
      </c>
      <c r="H3839" s="3" t="s">
        <v>14</v>
      </c>
      <c r="I3839" s="4" t="n">
        <f aca="false">D3839*F3839</f>
        <v>15.12</v>
      </c>
      <c r="J3839" s="3" t="n">
        <f aca="false">IF(AND(LEFT(A3839,1)&lt;&gt;"C",D3839&gt;0,F3839&gt;0),1,0)</f>
        <v>1</v>
      </c>
      <c r="K3839" s="3" t="n">
        <f aca="false">IF(AND(H3839="United Kingdom",G3839&lt;&gt;"",COUNTIFS($G$2:G3839,G3839,$H$2:H3839,"United Kingdom")=1),1,0)</f>
        <v>0</v>
      </c>
    </row>
    <row r="3840" customFormat="false" ht="15" hidden="false" customHeight="false" outlineLevel="0" collapsed="false">
      <c r="A3840" s="0" t="s">
        <v>787</v>
      </c>
      <c r="B3840" s="0" t="s">
        <v>17</v>
      </c>
      <c r="C3840" s="0" t="s">
        <v>18</v>
      </c>
      <c r="D3840" s="0" t="n">
        <v>12</v>
      </c>
      <c r="E3840" s="2" t="n">
        <v>40867.6215277778</v>
      </c>
      <c r="F3840" s="0" t="n">
        <v>1.92</v>
      </c>
      <c r="G3840" s="0" t="n">
        <v>17191</v>
      </c>
      <c r="H3840" s="3" t="s">
        <v>14</v>
      </c>
      <c r="I3840" s="4" t="n">
        <f aca="false">D3840*F3840</f>
        <v>23.04</v>
      </c>
      <c r="J3840" s="3" t="n">
        <f aca="false">IF(AND(LEFT(A3840,1)&lt;&gt;"C",D3840&gt;0,F3840&gt;0),1,0)</f>
        <v>1</v>
      </c>
      <c r="K3840" s="3" t="n">
        <f aca="false">IF(AND(H3840="United Kingdom",G3840&lt;&gt;"",COUNTIFS($G$2:G3840,G3840,$H$2:H3840,"United Kingdom")=1),1,0)</f>
        <v>0</v>
      </c>
    </row>
    <row r="3841" customFormat="false" ht="15" hidden="false" customHeight="false" outlineLevel="0" collapsed="false">
      <c r="A3841" s="0" t="s">
        <v>787</v>
      </c>
      <c r="B3841" s="0" t="s">
        <v>20</v>
      </c>
      <c r="C3841" s="0" t="s">
        <v>21</v>
      </c>
      <c r="D3841" s="0" t="n">
        <v>2</v>
      </c>
      <c r="E3841" s="2" t="n">
        <v>40867.6215277778</v>
      </c>
      <c r="F3841" s="0" t="n">
        <v>4.24</v>
      </c>
      <c r="G3841" s="0" t="n">
        <v>17191</v>
      </c>
      <c r="H3841" s="3" t="s">
        <v>14</v>
      </c>
      <c r="I3841" s="4" t="n">
        <f aca="false">D3841*F3841</f>
        <v>8.48</v>
      </c>
      <c r="J3841" s="3" t="n">
        <f aca="false">IF(AND(LEFT(A3841,1)&lt;&gt;"C",D3841&gt;0,F3841&gt;0),1,0)</f>
        <v>1</v>
      </c>
      <c r="K3841" s="3" t="n">
        <f aca="false">IF(AND(H3841="United Kingdom",G3841&lt;&gt;"",COUNTIFS($G$2:G3841,G3841,$H$2:H3841,"United Kingdom")=1),1,0)</f>
        <v>0</v>
      </c>
    </row>
    <row r="3842" customFormat="false" ht="15" hidden="false" customHeight="false" outlineLevel="0" collapsed="false">
      <c r="A3842" s="0" t="s">
        <v>788</v>
      </c>
      <c r="B3842" s="0" t="s">
        <v>45</v>
      </c>
      <c r="C3842" s="0" t="s">
        <v>46</v>
      </c>
      <c r="D3842" s="0" t="n">
        <v>3</v>
      </c>
      <c r="E3842" s="2" t="n">
        <v>40867.6277777778</v>
      </c>
      <c r="F3842" s="0" t="n">
        <v>4.55</v>
      </c>
      <c r="G3842" s="0" t="n">
        <v>14222</v>
      </c>
      <c r="H3842" s="3" t="s">
        <v>57</v>
      </c>
      <c r="I3842" s="4" t="n">
        <f aca="false">D3842*F3842</f>
        <v>13.65</v>
      </c>
      <c r="J3842" s="3" t="n">
        <f aca="false">IF(AND(LEFT(A3842,1)&lt;&gt;"C",D3842&gt;0,F3842&gt;0),1,0)</f>
        <v>1</v>
      </c>
      <c r="K3842" s="3" t="n">
        <f aca="false">IF(AND(H3842="United Kingdom",G3842&lt;&gt;"",COUNTIFS($G$2:G3842,G3842,$H$2:H3842,"United Kingdom")=1),1,0)</f>
        <v>0</v>
      </c>
    </row>
    <row r="3843" customFormat="false" ht="15" hidden="false" customHeight="false" outlineLevel="0" collapsed="false">
      <c r="A3843" s="0" t="s">
        <v>789</v>
      </c>
      <c r="B3843" s="0" t="s">
        <v>77</v>
      </c>
      <c r="C3843" s="0" t="s">
        <v>78</v>
      </c>
      <c r="D3843" s="0" t="n">
        <v>-1</v>
      </c>
      <c r="E3843" s="2" t="n">
        <v>40868.5125</v>
      </c>
      <c r="F3843" s="0" t="n">
        <v>3.41</v>
      </c>
      <c r="G3843" s="0" t="n">
        <v>13911</v>
      </c>
      <c r="H3843" s="3" t="s">
        <v>14</v>
      </c>
      <c r="I3843" s="4" t="n">
        <f aca="false">D3843*F3843</f>
        <v>-3.41</v>
      </c>
      <c r="J3843" s="3" t="n">
        <f aca="false">IF(AND(LEFT(A3843,1)&lt;&gt;"C",D3843&gt;0,F3843&gt;0),1,0)</f>
        <v>0</v>
      </c>
      <c r="K3843" s="3" t="n">
        <f aca="false">IF(AND(H3843="United Kingdom",G3843&lt;&gt;"",COUNTIFS($G$2:G3843,G3843,$H$2:H3843,"United Kingdom")=1),1,0)</f>
        <v>0</v>
      </c>
    </row>
    <row r="3844" customFormat="false" ht="15" hidden="false" customHeight="false" outlineLevel="0" collapsed="false">
      <c r="A3844" s="0" t="s">
        <v>790</v>
      </c>
      <c r="B3844" s="0" t="s">
        <v>80</v>
      </c>
      <c r="C3844" s="0" t="s">
        <v>81</v>
      </c>
      <c r="D3844" s="0" t="n">
        <v>16</v>
      </c>
      <c r="E3844" s="2" t="n">
        <v>40868.6666666667</v>
      </c>
      <c r="F3844" s="0" t="n">
        <v>1.53</v>
      </c>
      <c r="G3844" s="0" t="n">
        <v>14012</v>
      </c>
      <c r="H3844" s="3" t="s">
        <v>97</v>
      </c>
      <c r="I3844" s="4" t="n">
        <f aca="false">D3844*F3844</f>
        <v>24.48</v>
      </c>
      <c r="J3844" s="3" t="n">
        <f aca="false">IF(AND(LEFT(A3844,1)&lt;&gt;"C",D3844&gt;0,F3844&gt;0),1,0)</f>
        <v>1</v>
      </c>
      <c r="K3844" s="3" t="n">
        <f aca="false">IF(AND(H3844="United Kingdom",G3844&lt;&gt;"",COUNTIFS($G$2:G3844,G3844,$H$2:H3844,"United Kingdom")=1),1,0)</f>
        <v>0</v>
      </c>
    </row>
    <row r="3845" customFormat="false" ht="15" hidden="false" customHeight="false" outlineLevel="0" collapsed="false">
      <c r="A3845" s="0" t="s">
        <v>790</v>
      </c>
      <c r="B3845" s="0" t="s">
        <v>113</v>
      </c>
      <c r="C3845" s="0" t="s">
        <v>114</v>
      </c>
      <c r="D3845" s="0" t="n">
        <v>4</v>
      </c>
      <c r="E3845" s="2" t="n">
        <v>40868.6666666667</v>
      </c>
      <c r="F3845" s="0" t="n">
        <v>3.57</v>
      </c>
      <c r="G3845" s="0" t="n">
        <v>14012</v>
      </c>
      <c r="H3845" s="3" t="s">
        <v>97</v>
      </c>
      <c r="I3845" s="4" t="n">
        <f aca="false">D3845*F3845</f>
        <v>14.28</v>
      </c>
      <c r="J3845" s="3" t="n">
        <f aca="false">IF(AND(LEFT(A3845,1)&lt;&gt;"C",D3845&gt;0,F3845&gt;0),1,0)</f>
        <v>1</v>
      </c>
      <c r="K3845" s="3" t="n">
        <f aca="false">IF(AND(H3845="United Kingdom",G3845&lt;&gt;"",COUNTIFS($G$2:G3845,G3845,$H$2:H3845,"United Kingdom")=1),1,0)</f>
        <v>0</v>
      </c>
    </row>
    <row r="3846" customFormat="false" ht="15" hidden="false" customHeight="false" outlineLevel="0" collapsed="false">
      <c r="A3846" s="0" t="s">
        <v>790</v>
      </c>
      <c r="B3846" s="0" t="s">
        <v>45</v>
      </c>
      <c r="C3846" s="0" t="s">
        <v>46</v>
      </c>
      <c r="D3846" s="0" t="n">
        <v>24</v>
      </c>
      <c r="E3846" s="2" t="n">
        <v>40868.6666666667</v>
      </c>
      <c r="F3846" s="0" t="n">
        <v>4.55</v>
      </c>
      <c r="G3846" s="0" t="n">
        <v>14012</v>
      </c>
      <c r="H3846" s="3" t="s">
        <v>97</v>
      </c>
      <c r="I3846" s="4" t="n">
        <f aca="false">D3846*F3846</f>
        <v>109.2</v>
      </c>
      <c r="J3846" s="3" t="n">
        <f aca="false">IF(AND(LEFT(A3846,1)&lt;&gt;"C",D3846&gt;0,F3846&gt;0),1,0)</f>
        <v>1</v>
      </c>
      <c r="K3846" s="3" t="n">
        <f aca="false">IF(AND(H3846="United Kingdom",G3846&lt;&gt;"",COUNTIFS($G$2:G3846,G3846,$H$2:H3846,"United Kingdom")=1),1,0)</f>
        <v>0</v>
      </c>
    </row>
    <row r="3847" customFormat="false" ht="15" hidden="false" customHeight="false" outlineLevel="0" collapsed="false">
      <c r="A3847" s="0" t="s">
        <v>791</v>
      </c>
      <c r="B3847" s="0" t="s">
        <v>58</v>
      </c>
      <c r="C3847" s="0" t="s">
        <v>59</v>
      </c>
      <c r="D3847" s="0" t="n">
        <v>144</v>
      </c>
      <c r="E3847" s="2" t="n">
        <v>40869.5375</v>
      </c>
      <c r="F3847" s="0" t="n">
        <v>2.16</v>
      </c>
      <c r="G3847" s="0" t="n">
        <v>17191</v>
      </c>
      <c r="H3847" s="3" t="s">
        <v>14</v>
      </c>
      <c r="I3847" s="4" t="n">
        <f aca="false">D3847*F3847</f>
        <v>311.04</v>
      </c>
      <c r="J3847" s="3" t="n">
        <f aca="false">IF(AND(LEFT(A3847,1)&lt;&gt;"C",D3847&gt;0,F3847&gt;0),1,0)</f>
        <v>1</v>
      </c>
      <c r="K3847" s="3" t="n">
        <f aca="false">IF(AND(H3847="United Kingdom",G3847&lt;&gt;"",COUNTIFS($G$2:G3847,G3847,$H$2:H3847,"United Kingdom")=1),1,0)</f>
        <v>0</v>
      </c>
    </row>
    <row r="3848" customFormat="false" ht="15" hidden="false" customHeight="false" outlineLevel="0" collapsed="false">
      <c r="A3848" s="0" t="s">
        <v>791</v>
      </c>
      <c r="B3848" s="0" t="s">
        <v>65</v>
      </c>
      <c r="C3848" s="0" t="s">
        <v>66</v>
      </c>
      <c r="D3848" s="0" t="n">
        <v>48</v>
      </c>
      <c r="E3848" s="2" t="n">
        <v>40869.5375</v>
      </c>
      <c r="F3848" s="0" t="n">
        <v>4.75</v>
      </c>
      <c r="G3848" s="0" t="n">
        <v>17191</v>
      </c>
      <c r="H3848" s="3" t="s">
        <v>14</v>
      </c>
      <c r="I3848" s="4" t="n">
        <f aca="false">D3848*F3848</f>
        <v>228</v>
      </c>
      <c r="J3848" s="3" t="n">
        <f aca="false">IF(AND(LEFT(A3848,1)&lt;&gt;"C",D3848&gt;0,F3848&gt;0),1,0)</f>
        <v>1</v>
      </c>
      <c r="K3848" s="3" t="n">
        <f aca="false">IF(AND(H3848="United Kingdom",G3848&lt;&gt;"",COUNTIFS($G$2:G3848,G3848,$H$2:H3848,"United Kingdom")=1),1,0)</f>
        <v>0</v>
      </c>
    </row>
    <row r="3849" customFormat="false" ht="15" hidden="false" customHeight="false" outlineLevel="0" collapsed="false">
      <c r="A3849" s="0" t="s">
        <v>792</v>
      </c>
      <c r="B3849" s="0" t="s">
        <v>22</v>
      </c>
      <c r="C3849" s="0" t="s">
        <v>23</v>
      </c>
      <c r="D3849" s="0" t="n">
        <v>12</v>
      </c>
      <c r="E3849" s="2" t="n">
        <v>40870.5527777778</v>
      </c>
      <c r="F3849" s="0" t="n">
        <v>3.18</v>
      </c>
      <c r="G3849" s="0" t="n">
        <v>13606</v>
      </c>
      <c r="H3849" s="3" t="s">
        <v>14</v>
      </c>
      <c r="I3849" s="4" t="n">
        <f aca="false">D3849*F3849</f>
        <v>38.16</v>
      </c>
      <c r="J3849" s="3" t="n">
        <f aca="false">IF(AND(LEFT(A3849,1)&lt;&gt;"C",D3849&gt;0,F3849&gt;0),1,0)</f>
        <v>1</v>
      </c>
      <c r="K3849" s="3" t="n">
        <f aca="false">IF(AND(H3849="United Kingdom",G3849&lt;&gt;"",COUNTIFS($G$2:G3849,G3849,$H$2:H3849,"United Kingdom")=1),1,0)</f>
        <v>0</v>
      </c>
    </row>
    <row r="3850" customFormat="false" ht="15" hidden="false" customHeight="false" outlineLevel="0" collapsed="false">
      <c r="A3850" s="0" t="s">
        <v>792</v>
      </c>
      <c r="B3850" s="0" t="s">
        <v>60</v>
      </c>
      <c r="C3850" s="0" t="s">
        <v>61</v>
      </c>
      <c r="D3850" s="0" t="n">
        <v>3</v>
      </c>
      <c r="E3850" s="2" t="n">
        <v>40870.5527777778</v>
      </c>
      <c r="F3850" s="0" t="n">
        <v>0.63</v>
      </c>
      <c r="G3850" s="0" t="n">
        <v>13606</v>
      </c>
      <c r="H3850" s="3" t="s">
        <v>14</v>
      </c>
      <c r="I3850" s="4" t="n">
        <f aca="false">D3850*F3850</f>
        <v>1.89</v>
      </c>
      <c r="J3850" s="3" t="n">
        <f aca="false">IF(AND(LEFT(A3850,1)&lt;&gt;"C",D3850&gt;0,F3850&gt;0),1,0)</f>
        <v>1</v>
      </c>
      <c r="K3850" s="3" t="n">
        <f aca="false">IF(AND(H3850="United Kingdom",G3850&lt;&gt;"",COUNTIFS($G$2:G3850,G3850,$H$2:H3850,"United Kingdom")=1),1,0)</f>
        <v>0</v>
      </c>
    </row>
    <row r="3851" customFormat="false" ht="15" hidden="false" customHeight="false" outlineLevel="0" collapsed="false">
      <c r="A3851" s="0" t="s">
        <v>793</v>
      </c>
      <c r="B3851" s="0" t="s">
        <v>17</v>
      </c>
      <c r="C3851" s="0" t="s">
        <v>18</v>
      </c>
      <c r="D3851" s="0" t="n">
        <v>6</v>
      </c>
      <c r="E3851" s="2" t="n">
        <v>40872.5486111111</v>
      </c>
      <c r="F3851" s="0" t="n">
        <v>1.92</v>
      </c>
      <c r="G3851" s="0" t="n">
        <v>16973</v>
      </c>
      <c r="H3851" s="3" t="s">
        <v>14</v>
      </c>
      <c r="I3851" s="4" t="n">
        <f aca="false">D3851*F3851</f>
        <v>11.52</v>
      </c>
      <c r="J3851" s="3" t="n">
        <f aca="false">IF(AND(LEFT(A3851,1)&lt;&gt;"C",D3851&gt;0,F3851&gt;0),1,0)</f>
        <v>1</v>
      </c>
      <c r="K3851" s="3" t="n">
        <f aca="false">IF(AND(H3851="United Kingdom",G3851&lt;&gt;"",COUNTIFS($G$2:G3851,G3851,$H$2:H3851,"United Kingdom")=1),1,0)</f>
        <v>0</v>
      </c>
    </row>
    <row r="3852" customFormat="false" ht="15" hidden="false" customHeight="false" outlineLevel="0" collapsed="false">
      <c r="A3852" s="0" t="s">
        <v>793</v>
      </c>
      <c r="B3852" s="0" t="s">
        <v>41</v>
      </c>
      <c r="C3852" s="0" t="s">
        <v>42</v>
      </c>
      <c r="D3852" s="0" t="n">
        <v>3</v>
      </c>
      <c r="E3852" s="2" t="n">
        <v>40872.5486111111</v>
      </c>
      <c r="F3852" s="0" t="n">
        <v>3.28</v>
      </c>
      <c r="G3852" s="0" t="n">
        <v>16973</v>
      </c>
      <c r="H3852" s="3" t="s">
        <v>14</v>
      </c>
      <c r="I3852" s="4" t="n">
        <f aca="false">D3852*F3852</f>
        <v>9.84</v>
      </c>
      <c r="J3852" s="3" t="n">
        <f aca="false">IF(AND(LEFT(A3852,1)&lt;&gt;"C",D3852&gt;0,F3852&gt;0),1,0)</f>
        <v>1</v>
      </c>
      <c r="K3852" s="3" t="n">
        <f aca="false">IF(AND(H3852="United Kingdom",G3852&lt;&gt;"",COUNTIFS($G$2:G3852,G3852,$H$2:H3852,"United Kingdom")=1),1,0)</f>
        <v>0</v>
      </c>
    </row>
    <row r="3853" customFormat="false" ht="15" hidden="false" customHeight="false" outlineLevel="0" collapsed="false">
      <c r="A3853" s="0" t="s">
        <v>793</v>
      </c>
      <c r="B3853" s="0" t="s">
        <v>80</v>
      </c>
      <c r="C3853" s="0" t="s">
        <v>81</v>
      </c>
      <c r="D3853" s="0" t="n">
        <v>2</v>
      </c>
      <c r="E3853" s="2" t="n">
        <v>40872.5486111111</v>
      </c>
      <c r="F3853" s="0" t="n">
        <v>1.53</v>
      </c>
      <c r="G3853" s="0" t="n">
        <v>16973</v>
      </c>
      <c r="H3853" s="3" t="s">
        <v>14</v>
      </c>
      <c r="I3853" s="4" t="n">
        <f aca="false">D3853*F3853</f>
        <v>3.06</v>
      </c>
      <c r="J3853" s="3" t="n">
        <f aca="false">IF(AND(LEFT(A3853,1)&lt;&gt;"C",D3853&gt;0,F3853&gt;0),1,0)</f>
        <v>1</v>
      </c>
      <c r="K3853" s="3" t="n">
        <f aca="false">IF(AND(H3853="United Kingdom",G3853&lt;&gt;"",COUNTIFS($G$2:G3853,G3853,$H$2:H3853,"United Kingdom")=1),1,0)</f>
        <v>0</v>
      </c>
    </row>
    <row r="3854" customFormat="false" ht="15" hidden="false" customHeight="false" outlineLevel="0" collapsed="false">
      <c r="A3854" s="0" t="s">
        <v>793</v>
      </c>
      <c r="B3854" s="0" t="s">
        <v>58</v>
      </c>
      <c r="C3854" s="0" t="s">
        <v>59</v>
      </c>
      <c r="D3854" s="0" t="n">
        <v>2</v>
      </c>
      <c r="E3854" s="2" t="n">
        <v>40872.5486111111</v>
      </c>
      <c r="F3854" s="0" t="n">
        <v>2.16</v>
      </c>
      <c r="G3854" s="0" t="n">
        <v>16973</v>
      </c>
      <c r="H3854" s="3" t="s">
        <v>14</v>
      </c>
      <c r="I3854" s="4" t="n">
        <f aca="false">D3854*F3854</f>
        <v>4.32</v>
      </c>
      <c r="J3854" s="3" t="n">
        <f aca="false">IF(AND(LEFT(A3854,1)&lt;&gt;"C",D3854&gt;0,F3854&gt;0),1,0)</f>
        <v>1</v>
      </c>
      <c r="K3854" s="3" t="n">
        <f aca="false">IF(AND(H3854="United Kingdom",G3854&lt;&gt;"",COUNTIFS($G$2:G3854,G3854,$H$2:H3854,"United Kingdom")=1),1,0)</f>
        <v>0</v>
      </c>
    </row>
    <row r="3855" customFormat="false" ht="15" hidden="false" customHeight="false" outlineLevel="0" collapsed="false">
      <c r="A3855" s="0" t="s">
        <v>793</v>
      </c>
      <c r="B3855" s="0" t="s">
        <v>39</v>
      </c>
      <c r="C3855" s="0" t="s">
        <v>40</v>
      </c>
      <c r="D3855" s="0" t="n">
        <v>2</v>
      </c>
      <c r="E3855" s="2" t="n">
        <v>40872.5486111111</v>
      </c>
      <c r="F3855" s="0" t="n">
        <v>2.58</v>
      </c>
      <c r="G3855" s="0" t="n">
        <v>16973</v>
      </c>
      <c r="H3855" s="3" t="s">
        <v>14</v>
      </c>
      <c r="I3855" s="4" t="n">
        <f aca="false">D3855*F3855</f>
        <v>5.16</v>
      </c>
      <c r="J3855" s="3" t="n">
        <f aca="false">IF(AND(LEFT(A3855,1)&lt;&gt;"C",D3855&gt;0,F3855&gt;0),1,0)</f>
        <v>1</v>
      </c>
      <c r="K3855" s="3" t="n">
        <f aca="false">IF(AND(H3855="United Kingdom",G3855&lt;&gt;"",COUNTIFS($G$2:G3855,G3855,$H$2:H3855,"United Kingdom")=1),1,0)</f>
        <v>0</v>
      </c>
    </row>
    <row r="3856" customFormat="false" ht="15" hidden="false" customHeight="false" outlineLevel="0" collapsed="false">
      <c r="A3856" s="0" t="s">
        <v>793</v>
      </c>
      <c r="B3856" s="0" t="s">
        <v>90</v>
      </c>
      <c r="C3856" s="0" t="s">
        <v>91</v>
      </c>
      <c r="D3856" s="0" t="n">
        <v>12</v>
      </c>
      <c r="E3856" s="2" t="n">
        <v>40872.5486111111</v>
      </c>
      <c r="F3856" s="0" t="n">
        <v>3.04</v>
      </c>
      <c r="G3856" s="0" t="n">
        <v>16973</v>
      </c>
      <c r="H3856" s="3" t="s">
        <v>14</v>
      </c>
      <c r="I3856" s="4" t="n">
        <f aca="false">D3856*F3856</f>
        <v>36.48</v>
      </c>
      <c r="J3856" s="3" t="n">
        <f aca="false">IF(AND(LEFT(A3856,1)&lt;&gt;"C",D3856&gt;0,F3856&gt;0),1,0)</f>
        <v>1</v>
      </c>
      <c r="K3856" s="3" t="n">
        <f aca="false">IF(AND(H3856="United Kingdom",G3856&lt;&gt;"",COUNTIFS($G$2:G3856,G3856,$H$2:H3856,"United Kingdom")=1),1,0)</f>
        <v>0</v>
      </c>
    </row>
    <row r="3857" customFormat="false" ht="15" hidden="false" customHeight="false" outlineLevel="0" collapsed="false">
      <c r="A3857" s="0" t="s">
        <v>793</v>
      </c>
      <c r="B3857" s="0" t="s">
        <v>15</v>
      </c>
      <c r="C3857" s="0" t="s">
        <v>16</v>
      </c>
      <c r="D3857" s="0" t="n">
        <v>3</v>
      </c>
      <c r="E3857" s="2" t="n">
        <v>40872.5486111111</v>
      </c>
      <c r="F3857" s="0" t="n">
        <v>3.18</v>
      </c>
      <c r="G3857" s="0" t="n">
        <v>16973</v>
      </c>
      <c r="H3857" s="3" t="s">
        <v>14</v>
      </c>
      <c r="I3857" s="4" t="n">
        <f aca="false">D3857*F3857</f>
        <v>9.54</v>
      </c>
      <c r="J3857" s="3" t="n">
        <f aca="false">IF(AND(LEFT(A3857,1)&lt;&gt;"C",D3857&gt;0,F3857&gt;0),1,0)</f>
        <v>1</v>
      </c>
      <c r="K3857" s="3" t="n">
        <f aca="false">IF(AND(H3857="United Kingdom",G3857&lt;&gt;"",COUNTIFS($G$2:G3857,G3857,$H$2:H3857,"United Kingdom")=1),1,0)</f>
        <v>0</v>
      </c>
    </row>
    <row r="3858" customFormat="false" ht="15" hidden="false" customHeight="false" outlineLevel="0" collapsed="false">
      <c r="A3858" s="0" t="s">
        <v>793</v>
      </c>
      <c r="B3858" s="0" t="s">
        <v>68</v>
      </c>
      <c r="C3858" s="0" t="s">
        <v>69</v>
      </c>
      <c r="D3858" s="0" t="n">
        <v>2</v>
      </c>
      <c r="E3858" s="2" t="n">
        <v>40872.5486111111</v>
      </c>
      <c r="F3858" s="0" t="n">
        <v>1.26</v>
      </c>
      <c r="G3858" s="0" t="n">
        <v>16973</v>
      </c>
      <c r="H3858" s="3" t="s">
        <v>14</v>
      </c>
      <c r="I3858" s="4" t="n">
        <f aca="false">D3858*F3858</f>
        <v>2.52</v>
      </c>
      <c r="J3858" s="3" t="n">
        <f aca="false">IF(AND(LEFT(A3858,1)&lt;&gt;"C",D3858&gt;0,F3858&gt;0),1,0)</f>
        <v>1</v>
      </c>
      <c r="K3858" s="3" t="n">
        <f aca="false">IF(AND(H3858="United Kingdom",G3858&lt;&gt;"",COUNTIFS($G$2:G3858,G3858,$H$2:H3858,"United Kingdom")=1),1,0)</f>
        <v>0</v>
      </c>
    </row>
    <row r="3859" customFormat="false" ht="15" hidden="false" customHeight="false" outlineLevel="0" collapsed="false">
      <c r="A3859" s="0" t="s">
        <v>793</v>
      </c>
      <c r="B3859" s="0" t="s">
        <v>77</v>
      </c>
      <c r="C3859" s="0" t="s">
        <v>78</v>
      </c>
      <c r="D3859" s="0" t="n">
        <v>8</v>
      </c>
      <c r="E3859" s="2" t="n">
        <v>40872.5486111111</v>
      </c>
      <c r="F3859" s="0" t="n">
        <v>3.41</v>
      </c>
      <c r="G3859" s="0" t="n">
        <v>16973</v>
      </c>
      <c r="H3859" s="3" t="s">
        <v>14</v>
      </c>
      <c r="I3859" s="4" t="n">
        <f aca="false">D3859*F3859</f>
        <v>27.28</v>
      </c>
      <c r="J3859" s="3" t="n">
        <f aca="false">IF(AND(LEFT(A3859,1)&lt;&gt;"C",D3859&gt;0,F3859&gt;0),1,0)</f>
        <v>1</v>
      </c>
      <c r="K3859" s="3" t="n">
        <f aca="false">IF(AND(H3859="United Kingdom",G3859&lt;&gt;"",COUNTIFS($G$2:G3859,G3859,$H$2:H3859,"United Kingdom")=1),1,0)</f>
        <v>0</v>
      </c>
    </row>
    <row r="3860" customFormat="false" ht="15" hidden="false" customHeight="false" outlineLevel="0" collapsed="false">
      <c r="A3860" s="0" t="s">
        <v>793</v>
      </c>
      <c r="B3860" s="0" t="s">
        <v>50</v>
      </c>
      <c r="C3860" s="0" t="s">
        <v>51</v>
      </c>
      <c r="D3860" s="0" t="n">
        <v>12</v>
      </c>
      <c r="E3860" s="2" t="n">
        <v>40872.5486111111</v>
      </c>
      <c r="F3860" s="0" t="n">
        <v>5.41</v>
      </c>
      <c r="G3860" s="0" t="n">
        <v>16973</v>
      </c>
      <c r="H3860" s="3" t="s">
        <v>14</v>
      </c>
      <c r="I3860" s="4" t="n">
        <f aca="false">D3860*F3860</f>
        <v>64.92</v>
      </c>
      <c r="J3860" s="3" t="n">
        <f aca="false">IF(AND(LEFT(A3860,1)&lt;&gt;"C",D3860&gt;0,F3860&gt;0),1,0)</f>
        <v>1</v>
      </c>
      <c r="K3860" s="3" t="n">
        <f aca="false">IF(AND(H3860="United Kingdom",G3860&lt;&gt;"",COUNTIFS($G$2:G3860,G3860,$H$2:H3860,"United Kingdom")=1),1,0)</f>
        <v>0</v>
      </c>
    </row>
    <row r="3861" customFormat="false" ht="15" hidden="false" customHeight="false" outlineLevel="0" collapsed="false">
      <c r="A3861" s="0" t="s">
        <v>793</v>
      </c>
      <c r="B3861" s="0" t="s">
        <v>27</v>
      </c>
      <c r="C3861" s="0" t="s">
        <v>28</v>
      </c>
      <c r="D3861" s="0" t="n">
        <v>1</v>
      </c>
      <c r="E3861" s="2" t="n">
        <v>40872.5486111111</v>
      </c>
      <c r="F3861" s="0" t="n">
        <v>4.55</v>
      </c>
      <c r="G3861" s="0" t="n">
        <v>16973</v>
      </c>
      <c r="H3861" s="3" t="s">
        <v>14</v>
      </c>
      <c r="I3861" s="4" t="n">
        <f aca="false">D3861*F3861</f>
        <v>4.55</v>
      </c>
      <c r="J3861" s="3" t="n">
        <f aca="false">IF(AND(LEFT(A3861,1)&lt;&gt;"C",D3861&gt;0,F3861&gt;0),1,0)</f>
        <v>1</v>
      </c>
      <c r="K3861" s="3" t="n">
        <f aca="false">IF(AND(H3861="United Kingdom",G3861&lt;&gt;"",COUNTIFS($G$2:G3861,G3861,$H$2:H3861,"United Kingdom")=1),1,0)</f>
        <v>0</v>
      </c>
    </row>
    <row r="3862" customFormat="false" ht="15" hidden="false" customHeight="false" outlineLevel="0" collapsed="false">
      <c r="A3862" s="0" t="s">
        <v>793</v>
      </c>
      <c r="B3862" s="0" t="s">
        <v>52</v>
      </c>
      <c r="C3862" s="0" t="s">
        <v>53</v>
      </c>
      <c r="D3862" s="0" t="n">
        <v>1</v>
      </c>
      <c r="E3862" s="2" t="n">
        <v>40872.5486111111</v>
      </c>
      <c r="F3862" s="0" t="n">
        <v>4.16</v>
      </c>
      <c r="G3862" s="0" t="n">
        <v>16973</v>
      </c>
      <c r="H3862" s="3" t="s">
        <v>14</v>
      </c>
      <c r="I3862" s="4" t="n">
        <f aca="false">D3862*F3862</f>
        <v>4.16</v>
      </c>
      <c r="J3862" s="3" t="n">
        <f aca="false">IF(AND(LEFT(A3862,1)&lt;&gt;"C",D3862&gt;0,F3862&gt;0),1,0)</f>
        <v>1</v>
      </c>
      <c r="K3862" s="3" t="n">
        <f aca="false">IF(AND(H3862="United Kingdom",G3862&lt;&gt;"",COUNTIFS($G$2:G3862,G3862,$H$2:H3862,"United Kingdom")=1),1,0)</f>
        <v>0</v>
      </c>
    </row>
    <row r="3863" customFormat="false" ht="15" hidden="false" customHeight="false" outlineLevel="0" collapsed="false">
      <c r="A3863" s="0" t="s">
        <v>793</v>
      </c>
      <c r="B3863" s="0" t="s">
        <v>37</v>
      </c>
      <c r="C3863" s="0" t="s">
        <v>38</v>
      </c>
      <c r="D3863" s="0" t="n">
        <v>8</v>
      </c>
      <c r="E3863" s="2" t="n">
        <v>40872.5486111111</v>
      </c>
      <c r="F3863" s="0" t="n">
        <v>1.82</v>
      </c>
      <c r="G3863" s="0" t="n">
        <v>16973</v>
      </c>
      <c r="H3863" s="3" t="s">
        <v>14</v>
      </c>
      <c r="I3863" s="4" t="n">
        <f aca="false">D3863*F3863</f>
        <v>14.56</v>
      </c>
      <c r="J3863" s="3" t="n">
        <f aca="false">IF(AND(LEFT(A3863,1)&lt;&gt;"C",D3863&gt;0,F3863&gt;0),1,0)</f>
        <v>1</v>
      </c>
      <c r="K3863" s="3" t="n">
        <f aca="false">IF(AND(H3863="United Kingdom",G3863&lt;&gt;"",COUNTIFS($G$2:G3863,G3863,$H$2:H3863,"United Kingdom")=1),1,0)</f>
        <v>0</v>
      </c>
    </row>
    <row r="3864" customFormat="false" ht="15" hidden="false" customHeight="false" outlineLevel="0" collapsed="false">
      <c r="A3864" s="0" t="s">
        <v>793</v>
      </c>
      <c r="B3864" s="0" t="s">
        <v>48</v>
      </c>
      <c r="C3864" s="0" t="s">
        <v>49</v>
      </c>
      <c r="D3864" s="0" t="n">
        <v>12</v>
      </c>
      <c r="E3864" s="2" t="n">
        <v>40872.5486111111</v>
      </c>
      <c r="F3864" s="0" t="n">
        <v>1.35</v>
      </c>
      <c r="G3864" s="0" t="n">
        <v>16973</v>
      </c>
      <c r="H3864" s="3" t="s">
        <v>14</v>
      </c>
      <c r="I3864" s="4" t="n">
        <f aca="false">D3864*F3864</f>
        <v>16.2</v>
      </c>
      <c r="J3864" s="3" t="n">
        <f aca="false">IF(AND(LEFT(A3864,1)&lt;&gt;"C",D3864&gt;0,F3864&gt;0),1,0)</f>
        <v>1</v>
      </c>
      <c r="K3864" s="3" t="n">
        <f aca="false">IF(AND(H3864="United Kingdom",G3864&lt;&gt;"",COUNTIFS($G$2:G3864,G3864,$H$2:H3864,"United Kingdom")=1),1,0)</f>
        <v>0</v>
      </c>
    </row>
    <row r="3865" customFormat="false" ht="15" hidden="false" customHeight="false" outlineLevel="0" collapsed="false">
      <c r="A3865" s="0" t="s">
        <v>794</v>
      </c>
      <c r="B3865" s="0" t="s">
        <v>90</v>
      </c>
      <c r="C3865" s="0" t="s">
        <v>91</v>
      </c>
      <c r="D3865" s="0" t="n">
        <v>4</v>
      </c>
      <c r="E3865" s="2" t="n">
        <v>40876.6493055556</v>
      </c>
      <c r="F3865" s="0" t="n">
        <v>3.04</v>
      </c>
      <c r="G3865" s="0" t="n">
        <v>14823</v>
      </c>
      <c r="H3865" s="3" t="s">
        <v>88</v>
      </c>
      <c r="I3865" s="4" t="n">
        <f aca="false">D3865*F3865</f>
        <v>12.16</v>
      </c>
      <c r="J3865" s="3" t="n">
        <f aca="false">IF(AND(LEFT(A3865,1)&lt;&gt;"C",D3865&gt;0,F3865&gt;0),1,0)</f>
        <v>1</v>
      </c>
      <c r="K3865" s="3" t="n">
        <f aca="false">IF(AND(H3865="United Kingdom",G3865&lt;&gt;"",COUNTIFS($G$2:G3865,G3865,$H$2:H3865,"United Kingdom")=1),1,0)</f>
        <v>0</v>
      </c>
    </row>
    <row r="3866" customFormat="false" ht="15" hidden="false" customHeight="false" outlineLevel="0" collapsed="false">
      <c r="A3866" s="0" t="s">
        <v>794</v>
      </c>
      <c r="B3866" s="0" t="s">
        <v>27</v>
      </c>
      <c r="C3866" s="0" t="s">
        <v>28</v>
      </c>
      <c r="D3866" s="0" t="n">
        <v>6</v>
      </c>
      <c r="E3866" s="2" t="n">
        <v>40876.6493055556</v>
      </c>
      <c r="F3866" s="0" t="n">
        <v>4.55</v>
      </c>
      <c r="G3866" s="0" t="n">
        <v>14823</v>
      </c>
      <c r="H3866" s="3" t="s">
        <v>88</v>
      </c>
      <c r="I3866" s="4" t="n">
        <f aca="false">D3866*F3866</f>
        <v>27.3</v>
      </c>
      <c r="J3866" s="3" t="n">
        <f aca="false">IF(AND(LEFT(A3866,1)&lt;&gt;"C",D3866&gt;0,F3866&gt;0),1,0)</f>
        <v>1</v>
      </c>
      <c r="K3866" s="3" t="n">
        <f aca="false">IF(AND(H3866="United Kingdom",G3866&lt;&gt;"",COUNTIFS($G$2:G3866,G3866,$H$2:H3866,"United Kingdom")=1),1,0)</f>
        <v>0</v>
      </c>
    </row>
    <row r="3867" customFormat="false" ht="15" hidden="false" customHeight="false" outlineLevel="0" collapsed="false">
      <c r="A3867" s="0" t="s">
        <v>794</v>
      </c>
      <c r="B3867" s="0" t="s">
        <v>34</v>
      </c>
      <c r="C3867" s="0" t="s">
        <v>35</v>
      </c>
      <c r="D3867" s="0" t="n">
        <v>24</v>
      </c>
      <c r="E3867" s="2" t="n">
        <v>40876.6493055556</v>
      </c>
      <c r="F3867" s="0" t="n">
        <v>2.38</v>
      </c>
      <c r="G3867" s="0" t="n">
        <v>14823</v>
      </c>
      <c r="H3867" s="3" t="s">
        <v>88</v>
      </c>
      <c r="I3867" s="4" t="n">
        <f aca="false">D3867*F3867</f>
        <v>57.12</v>
      </c>
      <c r="J3867" s="3" t="n">
        <f aca="false">IF(AND(LEFT(A3867,1)&lt;&gt;"C",D3867&gt;0,F3867&gt;0),1,0)</f>
        <v>1</v>
      </c>
      <c r="K3867" s="3" t="n">
        <f aca="false">IF(AND(H3867="United Kingdom",G3867&lt;&gt;"",COUNTIFS($G$2:G3867,G3867,$H$2:H3867,"United Kingdom")=1),1,0)</f>
        <v>0</v>
      </c>
    </row>
    <row r="3868" customFormat="false" ht="15" hidden="false" customHeight="false" outlineLevel="0" collapsed="false">
      <c r="A3868" s="0" t="s">
        <v>794</v>
      </c>
      <c r="B3868" s="0" t="s">
        <v>17</v>
      </c>
      <c r="C3868" s="0" t="s">
        <v>18</v>
      </c>
      <c r="D3868" s="0" t="n">
        <v>4</v>
      </c>
      <c r="E3868" s="2" t="n">
        <v>40876.6493055556</v>
      </c>
      <c r="F3868" s="0" t="n">
        <v>1.92</v>
      </c>
      <c r="G3868" s="0" t="n">
        <v>14823</v>
      </c>
      <c r="H3868" s="3" t="s">
        <v>88</v>
      </c>
      <c r="I3868" s="4" t="n">
        <f aca="false">D3868*F3868</f>
        <v>7.68</v>
      </c>
      <c r="J3868" s="3" t="n">
        <f aca="false">IF(AND(LEFT(A3868,1)&lt;&gt;"C",D3868&gt;0,F3868&gt;0),1,0)</f>
        <v>1</v>
      </c>
      <c r="K3868" s="3" t="n">
        <f aca="false">IF(AND(H3868="United Kingdom",G3868&lt;&gt;"",COUNTIFS($G$2:G3868,G3868,$H$2:H3868,"United Kingdom")=1),1,0)</f>
        <v>0</v>
      </c>
    </row>
    <row r="3869" customFormat="false" ht="15" hidden="false" customHeight="false" outlineLevel="0" collapsed="false">
      <c r="A3869" s="0" t="s">
        <v>794</v>
      </c>
      <c r="B3869" s="0" t="s">
        <v>63</v>
      </c>
      <c r="C3869" s="0" t="s">
        <v>64</v>
      </c>
      <c r="D3869" s="0" t="n">
        <v>24</v>
      </c>
      <c r="E3869" s="2" t="n">
        <v>40876.6493055556</v>
      </c>
      <c r="F3869" s="0" t="n">
        <v>2.43</v>
      </c>
      <c r="G3869" s="0" t="n">
        <v>14823</v>
      </c>
      <c r="H3869" s="3" t="s">
        <v>88</v>
      </c>
      <c r="I3869" s="4" t="n">
        <f aca="false">D3869*F3869</f>
        <v>58.32</v>
      </c>
      <c r="J3869" s="3" t="n">
        <f aca="false">IF(AND(LEFT(A3869,1)&lt;&gt;"C",D3869&gt;0,F3869&gt;0),1,0)</f>
        <v>1</v>
      </c>
      <c r="K3869" s="3" t="n">
        <f aca="false">IF(AND(H3869="United Kingdom",G3869&lt;&gt;"",COUNTIFS($G$2:G3869,G3869,$H$2:H3869,"United Kingdom")=1),1,0)</f>
        <v>0</v>
      </c>
    </row>
    <row r="3870" customFormat="false" ht="15" hidden="false" customHeight="false" outlineLevel="0" collapsed="false">
      <c r="A3870" s="0" t="s">
        <v>794</v>
      </c>
      <c r="B3870" s="0" t="s">
        <v>80</v>
      </c>
      <c r="C3870" s="0" t="s">
        <v>81</v>
      </c>
      <c r="D3870" s="0" t="n">
        <v>16</v>
      </c>
      <c r="E3870" s="2" t="n">
        <v>40876.6493055556</v>
      </c>
      <c r="F3870" s="0" t="n">
        <v>1.53</v>
      </c>
      <c r="G3870" s="0" t="n">
        <v>14823</v>
      </c>
      <c r="H3870" s="3" t="s">
        <v>88</v>
      </c>
      <c r="I3870" s="4" t="n">
        <f aca="false">D3870*F3870</f>
        <v>24.48</v>
      </c>
      <c r="J3870" s="3" t="n">
        <f aca="false">IF(AND(LEFT(A3870,1)&lt;&gt;"C",D3870&gt;0,F3870&gt;0),1,0)</f>
        <v>1</v>
      </c>
      <c r="K3870" s="3" t="n">
        <f aca="false">IF(AND(H3870="United Kingdom",G3870&lt;&gt;"",COUNTIFS($G$2:G3870,G3870,$H$2:H3870,"United Kingdom")=1),1,0)</f>
        <v>0</v>
      </c>
    </row>
    <row r="3871" customFormat="false" ht="15" hidden="false" customHeight="false" outlineLevel="0" collapsed="false">
      <c r="A3871" s="0" t="s">
        <v>795</v>
      </c>
      <c r="B3871" s="0" t="s">
        <v>90</v>
      </c>
      <c r="C3871" s="0" t="s">
        <v>91</v>
      </c>
      <c r="D3871" s="0" t="n">
        <v>3</v>
      </c>
      <c r="E3871" s="2" t="n">
        <v>40876.7333333333</v>
      </c>
      <c r="F3871" s="0" t="n">
        <v>3.04</v>
      </c>
      <c r="G3871" s="0" t="n">
        <v>17354</v>
      </c>
      <c r="H3871" s="3" t="s">
        <v>14</v>
      </c>
      <c r="I3871" s="4" t="n">
        <f aca="false">D3871*F3871</f>
        <v>9.12</v>
      </c>
      <c r="J3871" s="3" t="n">
        <f aca="false">IF(AND(LEFT(A3871,1)&lt;&gt;"C",D3871&gt;0,F3871&gt;0),1,0)</f>
        <v>1</v>
      </c>
      <c r="K3871" s="3" t="n">
        <f aca="false">IF(AND(H3871="United Kingdom",G3871&lt;&gt;"",COUNTIFS($G$2:G3871,G3871,$H$2:H3871,"United Kingdom")=1),1,0)</f>
        <v>0</v>
      </c>
    </row>
    <row r="3872" customFormat="false" ht="15" hidden="false" customHeight="false" outlineLevel="0" collapsed="false">
      <c r="A3872" s="0" t="s">
        <v>796</v>
      </c>
      <c r="B3872" s="0" t="s">
        <v>17</v>
      </c>
      <c r="C3872" s="0" t="s">
        <v>18</v>
      </c>
      <c r="D3872" s="0" t="n">
        <v>3</v>
      </c>
      <c r="E3872" s="2" t="n">
        <v>40877.5222222222</v>
      </c>
      <c r="F3872" s="0" t="n">
        <v>1.92</v>
      </c>
      <c r="G3872" s="0" t="n">
        <v>16964</v>
      </c>
      <c r="H3872" s="3" t="s">
        <v>14</v>
      </c>
      <c r="I3872" s="4" t="n">
        <f aca="false">D3872*F3872</f>
        <v>5.76</v>
      </c>
      <c r="J3872" s="3" t="n">
        <f aca="false">IF(AND(LEFT(A3872,1)&lt;&gt;"C",D3872&gt;0,F3872&gt;0),1,0)</f>
        <v>1</v>
      </c>
      <c r="K3872" s="3" t="n">
        <f aca="false">IF(AND(H3872="United Kingdom",G3872&lt;&gt;"",COUNTIFS($G$2:G3872,G3872,$H$2:H3872,"United Kingdom")=1),1,0)</f>
        <v>0</v>
      </c>
    </row>
    <row r="3873" customFormat="false" ht="15" hidden="false" customHeight="false" outlineLevel="0" collapsed="false">
      <c r="A3873" s="0" t="s">
        <v>796</v>
      </c>
      <c r="B3873" s="0" t="s">
        <v>48</v>
      </c>
      <c r="C3873" s="0" t="s">
        <v>49</v>
      </c>
      <c r="D3873" s="0" t="n">
        <v>2</v>
      </c>
      <c r="E3873" s="2" t="n">
        <v>40877.5222222222</v>
      </c>
      <c r="F3873" s="0" t="n">
        <v>1.35</v>
      </c>
      <c r="G3873" s="0" t="n">
        <v>16964</v>
      </c>
      <c r="H3873" s="3" t="s">
        <v>14</v>
      </c>
      <c r="I3873" s="4" t="n">
        <f aca="false">D3873*F3873</f>
        <v>2.7</v>
      </c>
      <c r="J3873" s="3" t="n">
        <f aca="false">IF(AND(LEFT(A3873,1)&lt;&gt;"C",D3873&gt;0,F3873&gt;0),1,0)</f>
        <v>1</v>
      </c>
      <c r="K3873" s="3" t="n">
        <f aca="false">IF(AND(H3873="United Kingdom",G3873&lt;&gt;"",COUNTIFS($G$2:G3873,G3873,$H$2:H3873,"United Kingdom")=1),1,0)</f>
        <v>0</v>
      </c>
    </row>
    <row r="3874" customFormat="false" ht="15" hidden="false" customHeight="false" outlineLevel="0" collapsed="false">
      <c r="A3874" s="0" t="s">
        <v>796</v>
      </c>
      <c r="B3874" s="0" t="s">
        <v>34</v>
      </c>
      <c r="C3874" s="0" t="s">
        <v>35</v>
      </c>
      <c r="D3874" s="0" t="n">
        <v>6</v>
      </c>
      <c r="E3874" s="2" t="n">
        <v>40877.5222222222</v>
      </c>
      <c r="F3874" s="0" t="n">
        <v>2.38</v>
      </c>
      <c r="G3874" s="0" t="n">
        <v>16964</v>
      </c>
      <c r="H3874" s="3" t="s">
        <v>14</v>
      </c>
      <c r="I3874" s="4" t="n">
        <f aca="false">D3874*F3874</f>
        <v>14.28</v>
      </c>
      <c r="J3874" s="3" t="n">
        <f aca="false">IF(AND(LEFT(A3874,1)&lt;&gt;"C",D3874&gt;0,F3874&gt;0),1,0)</f>
        <v>1</v>
      </c>
      <c r="K3874" s="3" t="n">
        <f aca="false">IF(AND(H3874="United Kingdom",G3874&lt;&gt;"",COUNTIFS($G$2:G3874,G3874,$H$2:H3874,"United Kingdom")=1),1,0)</f>
        <v>0</v>
      </c>
    </row>
    <row r="3875" customFormat="false" ht="15" hidden="false" customHeight="false" outlineLevel="0" collapsed="false">
      <c r="A3875" s="0" t="s">
        <v>796</v>
      </c>
      <c r="B3875" s="0" t="s">
        <v>32</v>
      </c>
      <c r="C3875" s="0" t="s">
        <v>33</v>
      </c>
      <c r="D3875" s="0" t="n">
        <v>3</v>
      </c>
      <c r="E3875" s="2" t="n">
        <v>40877.5222222222</v>
      </c>
      <c r="F3875" s="0" t="n">
        <v>1.19</v>
      </c>
      <c r="G3875" s="0" t="n">
        <v>16964</v>
      </c>
      <c r="H3875" s="3" t="s">
        <v>14</v>
      </c>
      <c r="I3875" s="4" t="n">
        <f aca="false">D3875*F3875</f>
        <v>3.57</v>
      </c>
      <c r="J3875" s="3" t="n">
        <f aca="false">IF(AND(LEFT(A3875,1)&lt;&gt;"C",D3875&gt;0,F3875&gt;0),1,0)</f>
        <v>1</v>
      </c>
      <c r="K3875" s="3" t="n">
        <f aca="false">IF(AND(H3875="United Kingdom",G3875&lt;&gt;"",COUNTIFS($G$2:G3875,G3875,$H$2:H3875,"United Kingdom")=1),1,0)</f>
        <v>0</v>
      </c>
    </row>
    <row r="3876" customFormat="false" ht="15" hidden="false" customHeight="false" outlineLevel="0" collapsed="false">
      <c r="A3876" s="0" t="s">
        <v>796</v>
      </c>
      <c r="B3876" s="0" t="s">
        <v>12</v>
      </c>
      <c r="C3876" s="0" t="s">
        <v>13</v>
      </c>
      <c r="D3876" s="0" t="n">
        <v>2</v>
      </c>
      <c r="E3876" s="2" t="n">
        <v>40877.5222222222</v>
      </c>
      <c r="F3876" s="0" t="n">
        <v>3.33</v>
      </c>
      <c r="G3876" s="0" t="n">
        <v>16964</v>
      </c>
      <c r="H3876" s="3" t="s">
        <v>14</v>
      </c>
      <c r="I3876" s="4" t="n">
        <f aca="false">D3876*F3876</f>
        <v>6.66</v>
      </c>
      <c r="J3876" s="3" t="n">
        <f aca="false">IF(AND(LEFT(A3876,1)&lt;&gt;"C",D3876&gt;0,F3876&gt;0),1,0)</f>
        <v>1</v>
      </c>
      <c r="K3876" s="3" t="n">
        <f aca="false">IF(AND(H3876="United Kingdom",G3876&lt;&gt;"",COUNTIFS($G$2:G3876,G3876,$H$2:H3876,"United Kingdom")=1),1,0)</f>
        <v>0</v>
      </c>
    </row>
    <row r="3877" customFormat="false" ht="15" hidden="false" customHeight="false" outlineLevel="0" collapsed="false">
      <c r="A3877" s="0" t="s">
        <v>797</v>
      </c>
      <c r="B3877" s="0" t="s">
        <v>20</v>
      </c>
      <c r="C3877" s="0" t="s">
        <v>21</v>
      </c>
      <c r="D3877" s="0" t="n">
        <v>24</v>
      </c>
      <c r="E3877" s="2" t="n">
        <v>40877.7340277778</v>
      </c>
      <c r="F3877" s="0" t="n">
        <v>4.24</v>
      </c>
      <c r="G3877" s="0" t="n">
        <v>18179</v>
      </c>
      <c r="H3877" s="3" t="s">
        <v>14</v>
      </c>
      <c r="I3877" s="4" t="n">
        <f aca="false">D3877*F3877</f>
        <v>101.76</v>
      </c>
      <c r="J3877" s="3" t="n">
        <f aca="false">IF(AND(LEFT(A3877,1)&lt;&gt;"C",D3877&gt;0,F3877&gt;0),1,0)</f>
        <v>1</v>
      </c>
      <c r="K3877" s="3" t="n">
        <f aca="false">IF(AND(H3877="United Kingdom",G3877&lt;&gt;"",COUNTIFS($G$2:G3877,G3877,$H$2:H3877,"United Kingdom")=1),1,0)</f>
        <v>1</v>
      </c>
    </row>
    <row r="3878" customFormat="false" ht="15" hidden="false" customHeight="false" outlineLevel="0" collapsed="false">
      <c r="A3878" s="0" t="s">
        <v>797</v>
      </c>
      <c r="B3878" s="0" t="s">
        <v>43</v>
      </c>
      <c r="C3878" s="0" t="s">
        <v>44</v>
      </c>
      <c r="D3878" s="0" t="n">
        <v>2</v>
      </c>
      <c r="E3878" s="2" t="n">
        <v>40877.7340277778</v>
      </c>
      <c r="F3878" s="0" t="n">
        <v>1.35</v>
      </c>
      <c r="G3878" s="0" t="n">
        <v>18179</v>
      </c>
      <c r="H3878" s="3" t="s">
        <v>14</v>
      </c>
      <c r="I3878" s="4" t="n">
        <f aca="false">D3878*F3878</f>
        <v>2.7</v>
      </c>
      <c r="J3878" s="3" t="n">
        <f aca="false">IF(AND(LEFT(A3878,1)&lt;&gt;"C",D3878&gt;0,F3878&gt;0),1,0)</f>
        <v>1</v>
      </c>
      <c r="K3878" s="3" t="n">
        <f aca="false">IF(AND(H3878="United Kingdom",G3878&lt;&gt;"",COUNTIFS($G$2:G3878,G3878,$H$2:H3878,"United Kingdom")=1),1,0)</f>
        <v>0</v>
      </c>
    </row>
    <row r="3879" customFormat="false" ht="15" hidden="false" customHeight="false" outlineLevel="0" collapsed="false">
      <c r="A3879" s="0" t="s">
        <v>797</v>
      </c>
      <c r="B3879" s="0" t="s">
        <v>52</v>
      </c>
      <c r="C3879" s="0" t="s">
        <v>53</v>
      </c>
      <c r="D3879" s="0" t="n">
        <v>8</v>
      </c>
      <c r="E3879" s="2" t="n">
        <v>40877.7340277778</v>
      </c>
      <c r="F3879" s="0" t="n">
        <v>4.16</v>
      </c>
      <c r="G3879" s="0" t="n">
        <v>18179</v>
      </c>
      <c r="H3879" s="3" t="s">
        <v>14</v>
      </c>
      <c r="I3879" s="4" t="n">
        <f aca="false">D3879*F3879</f>
        <v>33.28</v>
      </c>
      <c r="J3879" s="3" t="n">
        <f aca="false">IF(AND(LEFT(A3879,1)&lt;&gt;"C",D3879&gt;0,F3879&gt;0),1,0)</f>
        <v>1</v>
      </c>
      <c r="K3879" s="3" t="n">
        <f aca="false">IF(AND(H3879="United Kingdom",G3879&lt;&gt;"",COUNTIFS($G$2:G3879,G3879,$H$2:H3879,"United Kingdom")=1),1,0)</f>
        <v>0</v>
      </c>
    </row>
    <row r="3880" customFormat="false" ht="15" hidden="false" customHeight="false" outlineLevel="0" collapsed="false">
      <c r="A3880" s="0" t="s">
        <v>797</v>
      </c>
      <c r="B3880" s="0" t="s">
        <v>75</v>
      </c>
      <c r="C3880" s="0" t="s">
        <v>76</v>
      </c>
      <c r="D3880" s="0" t="n">
        <v>24</v>
      </c>
      <c r="E3880" s="2" t="n">
        <v>40877.7340277778</v>
      </c>
      <c r="F3880" s="0" t="n">
        <v>1.97</v>
      </c>
      <c r="G3880" s="0" t="n">
        <v>18179</v>
      </c>
      <c r="H3880" s="3" t="s">
        <v>14</v>
      </c>
      <c r="I3880" s="4" t="n">
        <f aca="false">D3880*F3880</f>
        <v>47.28</v>
      </c>
      <c r="J3880" s="3" t="n">
        <f aca="false">IF(AND(LEFT(A3880,1)&lt;&gt;"C",D3880&gt;0,F3880&gt;0),1,0)</f>
        <v>1</v>
      </c>
      <c r="K3880" s="3" t="n">
        <f aca="false">IF(AND(H3880="United Kingdom",G3880&lt;&gt;"",COUNTIFS($G$2:G3880,G3880,$H$2:H3880,"United Kingdom")=1),1,0)</f>
        <v>0</v>
      </c>
    </row>
    <row r="3881" customFormat="false" ht="15" hidden="false" customHeight="false" outlineLevel="0" collapsed="false">
      <c r="A3881" s="0" t="s">
        <v>797</v>
      </c>
      <c r="B3881" s="0" t="s">
        <v>90</v>
      </c>
      <c r="C3881" s="0" t="s">
        <v>91</v>
      </c>
      <c r="D3881" s="0" t="n">
        <v>6</v>
      </c>
      <c r="E3881" s="2" t="n">
        <v>40877.7340277778</v>
      </c>
      <c r="F3881" s="0" t="n">
        <v>3.04</v>
      </c>
      <c r="G3881" s="0" t="n">
        <v>18179</v>
      </c>
      <c r="H3881" s="3" t="s">
        <v>14</v>
      </c>
      <c r="I3881" s="4" t="n">
        <f aca="false">D3881*F3881</f>
        <v>18.24</v>
      </c>
      <c r="J3881" s="3" t="n">
        <f aca="false">IF(AND(LEFT(A3881,1)&lt;&gt;"C",D3881&gt;0,F3881&gt;0),1,0)</f>
        <v>1</v>
      </c>
      <c r="K3881" s="3" t="n">
        <f aca="false">IF(AND(H3881="United Kingdom",G3881&lt;&gt;"",COUNTIFS($G$2:G3881,G3881,$H$2:H3881,"United Kingdom")=1),1,0)</f>
        <v>0</v>
      </c>
    </row>
    <row r="3882" customFormat="false" ht="15" hidden="false" customHeight="false" outlineLevel="0" collapsed="false">
      <c r="A3882" s="0" t="s">
        <v>797</v>
      </c>
      <c r="B3882" s="0" t="s">
        <v>45</v>
      </c>
      <c r="C3882" s="0" t="s">
        <v>46</v>
      </c>
      <c r="D3882" s="0" t="n">
        <v>12</v>
      </c>
      <c r="E3882" s="2" t="n">
        <v>40877.7340277778</v>
      </c>
      <c r="F3882" s="0" t="n">
        <v>4.55</v>
      </c>
      <c r="G3882" s="0" t="n">
        <v>18179</v>
      </c>
      <c r="H3882" s="3" t="s">
        <v>14</v>
      </c>
      <c r="I3882" s="4" t="n">
        <f aca="false">D3882*F3882</f>
        <v>54.6</v>
      </c>
      <c r="J3882" s="3" t="n">
        <f aca="false">IF(AND(LEFT(A3882,1)&lt;&gt;"C",D3882&gt;0,F3882&gt;0),1,0)</f>
        <v>1</v>
      </c>
      <c r="K3882" s="3" t="n">
        <f aca="false">IF(AND(H3882="United Kingdom",G3882&lt;&gt;"",COUNTIFS($G$2:G3882,G3882,$H$2:H3882,"United Kingdom")=1),1,0)</f>
        <v>0</v>
      </c>
    </row>
    <row r="3883" customFormat="false" ht="15" hidden="false" customHeight="false" outlineLevel="0" collapsed="false">
      <c r="A3883" s="0" t="s">
        <v>797</v>
      </c>
      <c r="B3883" s="0" t="s">
        <v>58</v>
      </c>
      <c r="C3883" s="0" t="s">
        <v>59</v>
      </c>
      <c r="D3883" s="0" t="n">
        <v>4</v>
      </c>
      <c r="E3883" s="2" t="n">
        <v>40877.7340277778</v>
      </c>
      <c r="F3883" s="0" t="n">
        <v>2.16</v>
      </c>
      <c r="G3883" s="0" t="n">
        <v>18179</v>
      </c>
      <c r="H3883" s="3" t="s">
        <v>14</v>
      </c>
      <c r="I3883" s="4" t="n">
        <f aca="false">D3883*F3883</f>
        <v>8.64</v>
      </c>
      <c r="J3883" s="3" t="n">
        <f aca="false">IF(AND(LEFT(A3883,1)&lt;&gt;"C",D3883&gt;0,F3883&gt;0),1,0)</f>
        <v>1</v>
      </c>
      <c r="K3883" s="3" t="n">
        <f aca="false">IF(AND(H3883="United Kingdom",G3883&lt;&gt;"",COUNTIFS($G$2:G3883,G3883,$H$2:H3883,"United Kingdom")=1),1,0)</f>
        <v>0</v>
      </c>
    </row>
    <row r="3884" customFormat="false" ht="15" hidden="false" customHeight="false" outlineLevel="0" collapsed="false">
      <c r="A3884" s="0" t="s">
        <v>797</v>
      </c>
      <c r="B3884" s="0" t="s">
        <v>68</v>
      </c>
      <c r="C3884" s="0" t="s">
        <v>69</v>
      </c>
      <c r="D3884" s="0" t="n">
        <v>6</v>
      </c>
      <c r="E3884" s="2" t="n">
        <v>40877.7340277778</v>
      </c>
      <c r="F3884" s="0" t="n">
        <v>1.26</v>
      </c>
      <c r="G3884" s="0" t="n">
        <v>18179</v>
      </c>
      <c r="H3884" s="3" t="s">
        <v>14</v>
      </c>
      <c r="I3884" s="4" t="n">
        <f aca="false">D3884*F3884</f>
        <v>7.56</v>
      </c>
      <c r="J3884" s="3" t="n">
        <f aca="false">IF(AND(LEFT(A3884,1)&lt;&gt;"C",D3884&gt;0,F3884&gt;0),1,0)</f>
        <v>1</v>
      </c>
      <c r="K3884" s="3" t="n">
        <f aca="false">IF(AND(H3884="United Kingdom",G3884&lt;&gt;"",COUNTIFS($G$2:G3884,G3884,$H$2:H3884,"United Kingdom")=1),1,0)</f>
        <v>0</v>
      </c>
    </row>
    <row r="3885" customFormat="false" ht="15" hidden="false" customHeight="false" outlineLevel="0" collapsed="false">
      <c r="A3885" s="0" t="s">
        <v>798</v>
      </c>
      <c r="B3885" s="0" t="s">
        <v>32</v>
      </c>
      <c r="C3885" s="0" t="s">
        <v>33</v>
      </c>
      <c r="D3885" s="0" t="n">
        <v>12</v>
      </c>
      <c r="E3885" s="2" t="n">
        <v>40877.7965277778</v>
      </c>
      <c r="F3885" s="0" t="n">
        <v>1.19</v>
      </c>
      <c r="G3885" s="0" t="n">
        <v>13445</v>
      </c>
      <c r="H3885" s="3" t="s">
        <v>14</v>
      </c>
      <c r="I3885" s="4" t="n">
        <f aca="false">D3885*F3885</f>
        <v>14.28</v>
      </c>
      <c r="J3885" s="3" t="n">
        <f aca="false">IF(AND(LEFT(A3885,1)&lt;&gt;"C",D3885&gt;0,F3885&gt;0),1,0)</f>
        <v>1</v>
      </c>
      <c r="K3885" s="3" t="n">
        <f aca="false">IF(AND(H3885="United Kingdom",G3885&lt;&gt;"",COUNTIFS($G$2:G3885,G3885,$H$2:H3885,"United Kingdom")=1),1,0)</f>
        <v>0</v>
      </c>
    </row>
    <row r="3886" customFormat="false" ht="15" hidden="false" customHeight="false" outlineLevel="0" collapsed="false">
      <c r="A3886" s="0" t="s">
        <v>798</v>
      </c>
      <c r="B3886" s="0" t="s">
        <v>17</v>
      </c>
      <c r="C3886" s="0" t="s">
        <v>18</v>
      </c>
      <c r="D3886" s="0" t="n">
        <v>2</v>
      </c>
      <c r="E3886" s="2" t="n">
        <v>40877.7965277778</v>
      </c>
      <c r="F3886" s="0" t="n">
        <v>1.92</v>
      </c>
      <c r="G3886" s="0" t="n">
        <v>13445</v>
      </c>
      <c r="H3886" s="3" t="s">
        <v>14</v>
      </c>
      <c r="I3886" s="4" t="n">
        <f aca="false">D3886*F3886</f>
        <v>3.84</v>
      </c>
      <c r="J3886" s="3" t="n">
        <f aca="false">IF(AND(LEFT(A3886,1)&lt;&gt;"C",D3886&gt;0,F3886&gt;0),1,0)</f>
        <v>1</v>
      </c>
      <c r="K3886" s="3" t="n">
        <f aca="false">IF(AND(H3886="United Kingdom",G3886&lt;&gt;"",COUNTIFS($G$2:G3886,G3886,$H$2:H3886,"United Kingdom")=1),1,0)</f>
        <v>0</v>
      </c>
    </row>
    <row r="3887" customFormat="false" ht="15" hidden="false" customHeight="false" outlineLevel="0" collapsed="false">
      <c r="A3887" s="0" t="s">
        <v>799</v>
      </c>
      <c r="B3887" s="0" t="s">
        <v>60</v>
      </c>
      <c r="C3887" s="0" t="s">
        <v>61</v>
      </c>
      <c r="D3887" s="0" t="n">
        <v>8</v>
      </c>
      <c r="E3887" s="2" t="n">
        <v>40878.5284722222</v>
      </c>
      <c r="F3887" s="0" t="n">
        <v>0.63</v>
      </c>
      <c r="G3887" s="0" t="n">
        <v>14810</v>
      </c>
      <c r="H3887" s="3" t="s">
        <v>14</v>
      </c>
      <c r="I3887" s="4" t="n">
        <f aca="false">D3887*F3887</f>
        <v>5.04</v>
      </c>
      <c r="J3887" s="3" t="n">
        <f aca="false">IF(AND(LEFT(A3887,1)&lt;&gt;"C",D3887&gt;0,F3887&gt;0),1,0)</f>
        <v>1</v>
      </c>
      <c r="K3887" s="3" t="n">
        <f aca="false">IF(AND(H3887="United Kingdom",G3887&lt;&gt;"",COUNTIFS($G$2:G3887,G3887,$H$2:H3887,"United Kingdom")=1),1,0)</f>
        <v>0</v>
      </c>
    </row>
    <row r="3888" customFormat="false" ht="15" hidden="false" customHeight="false" outlineLevel="0" collapsed="false">
      <c r="A3888" s="0" t="s">
        <v>800</v>
      </c>
      <c r="B3888" s="0" t="s">
        <v>27</v>
      </c>
      <c r="C3888" s="0" t="s">
        <v>28</v>
      </c>
      <c r="D3888" s="0" t="n">
        <v>8</v>
      </c>
      <c r="E3888" s="2" t="n">
        <v>40878.6979166667</v>
      </c>
      <c r="F3888" s="0" t="n">
        <v>4.55</v>
      </c>
      <c r="G3888" s="0" t="n">
        <v>13161</v>
      </c>
      <c r="H3888" s="3" t="s">
        <v>14</v>
      </c>
      <c r="I3888" s="4" t="n">
        <f aca="false">D3888*F3888</f>
        <v>36.4</v>
      </c>
      <c r="J3888" s="3" t="n">
        <f aca="false">IF(AND(LEFT(A3888,1)&lt;&gt;"C",D3888&gt;0,F3888&gt;0),1,0)</f>
        <v>1</v>
      </c>
      <c r="K3888" s="3" t="n">
        <f aca="false">IF(AND(H3888="United Kingdom",G3888&lt;&gt;"",COUNTIFS($G$2:G3888,G3888,$H$2:H3888,"United Kingdom")=1),1,0)</f>
        <v>0</v>
      </c>
    </row>
    <row r="3889" customFormat="false" ht="15" hidden="false" customHeight="false" outlineLevel="0" collapsed="false">
      <c r="A3889" s="0" t="s">
        <v>800</v>
      </c>
      <c r="B3889" s="0" t="s">
        <v>60</v>
      </c>
      <c r="C3889" s="0" t="s">
        <v>61</v>
      </c>
      <c r="D3889" s="0" t="n">
        <v>1</v>
      </c>
      <c r="E3889" s="2" t="n">
        <v>40878.6979166667</v>
      </c>
      <c r="F3889" s="0" t="n">
        <v>0.63</v>
      </c>
      <c r="G3889" s="0" t="n">
        <v>13161</v>
      </c>
      <c r="H3889" s="3" t="s">
        <v>14</v>
      </c>
      <c r="I3889" s="4" t="n">
        <f aca="false">D3889*F3889</f>
        <v>0.63</v>
      </c>
      <c r="J3889" s="3" t="n">
        <f aca="false">IF(AND(LEFT(A3889,1)&lt;&gt;"C",D3889&gt;0,F3889&gt;0),1,0)</f>
        <v>1</v>
      </c>
      <c r="K3889" s="3" t="n">
        <f aca="false">IF(AND(H3889="United Kingdom",G3889&lt;&gt;"",COUNTIFS($G$2:G3889,G3889,$H$2:H3889,"United Kingdom")=1),1,0)</f>
        <v>0</v>
      </c>
    </row>
    <row r="3890" customFormat="false" ht="15" hidden="false" customHeight="false" outlineLevel="0" collapsed="false">
      <c r="A3890" s="0" t="s">
        <v>801</v>
      </c>
      <c r="B3890" s="0" t="s">
        <v>41</v>
      </c>
      <c r="C3890" s="0" t="s">
        <v>42</v>
      </c>
      <c r="D3890" s="0" t="n">
        <v>8</v>
      </c>
      <c r="E3890" s="2" t="n">
        <v>40878.7993055556</v>
      </c>
      <c r="F3890" s="0" t="n">
        <v>3.28</v>
      </c>
      <c r="G3890" s="0" t="n">
        <v>13924</v>
      </c>
      <c r="H3890" s="3" t="s">
        <v>14</v>
      </c>
      <c r="I3890" s="4" t="n">
        <f aca="false">D3890*F3890</f>
        <v>26.24</v>
      </c>
      <c r="J3890" s="3" t="n">
        <f aca="false">IF(AND(LEFT(A3890,1)&lt;&gt;"C",D3890&gt;0,F3890&gt;0),1,0)</f>
        <v>1</v>
      </c>
      <c r="K3890" s="3" t="n">
        <f aca="false">IF(AND(H3890="United Kingdom",G3890&lt;&gt;"",COUNTIFS($G$2:G3890,G3890,$H$2:H3890,"United Kingdom")=1),1,0)</f>
        <v>0</v>
      </c>
    </row>
    <row r="3891" customFormat="false" ht="15" hidden="false" customHeight="false" outlineLevel="0" collapsed="false">
      <c r="A3891" s="0" t="s">
        <v>801</v>
      </c>
      <c r="B3891" s="0" t="s">
        <v>37</v>
      </c>
      <c r="C3891" s="0" t="s">
        <v>38</v>
      </c>
      <c r="D3891" s="0" t="n">
        <v>12</v>
      </c>
      <c r="E3891" s="2" t="n">
        <v>40878.7993055556</v>
      </c>
      <c r="F3891" s="0" t="n">
        <v>1.82</v>
      </c>
      <c r="G3891" s="0" t="n">
        <v>13924</v>
      </c>
      <c r="H3891" s="3" t="s">
        <v>14</v>
      </c>
      <c r="I3891" s="4" t="n">
        <f aca="false">D3891*F3891</f>
        <v>21.84</v>
      </c>
      <c r="J3891" s="3" t="n">
        <f aca="false">IF(AND(LEFT(A3891,1)&lt;&gt;"C",D3891&gt;0,F3891&gt;0),1,0)</f>
        <v>1</v>
      </c>
      <c r="K3891" s="3" t="n">
        <f aca="false">IF(AND(H3891="United Kingdom",G3891&lt;&gt;"",COUNTIFS($G$2:G3891,G3891,$H$2:H3891,"United Kingdom")=1),1,0)</f>
        <v>0</v>
      </c>
    </row>
    <row r="3892" customFormat="false" ht="15" hidden="false" customHeight="false" outlineLevel="0" collapsed="false">
      <c r="A3892" s="0" t="s">
        <v>801</v>
      </c>
      <c r="B3892" s="0" t="s">
        <v>72</v>
      </c>
      <c r="C3892" s="0" t="s">
        <v>73</v>
      </c>
      <c r="D3892" s="0" t="n">
        <v>6</v>
      </c>
      <c r="E3892" s="2" t="n">
        <v>40878.7993055556</v>
      </c>
      <c r="F3892" s="0" t="n">
        <v>2.69</v>
      </c>
      <c r="G3892" s="0" t="n">
        <v>13924</v>
      </c>
      <c r="H3892" s="3" t="s">
        <v>14</v>
      </c>
      <c r="I3892" s="4" t="n">
        <f aca="false">D3892*F3892</f>
        <v>16.14</v>
      </c>
      <c r="J3892" s="3" t="n">
        <f aca="false">IF(AND(LEFT(A3892,1)&lt;&gt;"C",D3892&gt;0,F3892&gt;0),1,0)</f>
        <v>1</v>
      </c>
      <c r="K3892" s="3" t="n">
        <f aca="false">IF(AND(H3892="United Kingdom",G3892&lt;&gt;"",COUNTIFS($G$2:G3892,G3892,$H$2:H3892,"United Kingdom")=1),1,0)</f>
        <v>0</v>
      </c>
    </row>
    <row r="3893" customFormat="false" ht="15" hidden="false" customHeight="false" outlineLevel="0" collapsed="false">
      <c r="A3893" s="0" t="s">
        <v>801</v>
      </c>
      <c r="B3893" s="0" t="s">
        <v>25</v>
      </c>
      <c r="C3893" s="0" t="s">
        <v>26</v>
      </c>
      <c r="D3893" s="0" t="n">
        <v>3</v>
      </c>
      <c r="E3893" s="2" t="n">
        <v>40878.7993055556</v>
      </c>
      <c r="F3893" s="0" t="n">
        <v>2.21</v>
      </c>
      <c r="G3893" s="0" t="n">
        <v>13924</v>
      </c>
      <c r="H3893" s="3" t="s">
        <v>14</v>
      </c>
      <c r="I3893" s="4" t="n">
        <f aca="false">D3893*F3893</f>
        <v>6.63</v>
      </c>
      <c r="J3893" s="3" t="n">
        <f aca="false">IF(AND(LEFT(A3893,1)&lt;&gt;"C",D3893&gt;0,F3893&gt;0),1,0)</f>
        <v>1</v>
      </c>
      <c r="K3893" s="3" t="n">
        <f aca="false">IF(AND(H3893="United Kingdom",G3893&lt;&gt;"",COUNTIFS($G$2:G3893,G3893,$H$2:H3893,"United Kingdom")=1),1,0)</f>
        <v>0</v>
      </c>
    </row>
    <row r="3894" customFormat="false" ht="15" hidden="false" customHeight="false" outlineLevel="0" collapsed="false">
      <c r="A3894" s="0" t="s">
        <v>801</v>
      </c>
      <c r="B3894" s="0" t="s">
        <v>48</v>
      </c>
      <c r="C3894" s="0" t="s">
        <v>49</v>
      </c>
      <c r="D3894" s="0" t="n">
        <v>8</v>
      </c>
      <c r="E3894" s="2" t="n">
        <v>40878.7993055556</v>
      </c>
      <c r="F3894" s="0" t="n">
        <v>1.35</v>
      </c>
      <c r="G3894" s="0" t="n">
        <v>13924</v>
      </c>
      <c r="H3894" s="3" t="s">
        <v>14</v>
      </c>
      <c r="I3894" s="4" t="n">
        <f aca="false">D3894*F3894</f>
        <v>10.8</v>
      </c>
      <c r="J3894" s="3" t="n">
        <f aca="false">IF(AND(LEFT(A3894,1)&lt;&gt;"C",D3894&gt;0,F3894&gt;0),1,0)</f>
        <v>1</v>
      </c>
      <c r="K3894" s="3" t="n">
        <f aca="false">IF(AND(H3894="United Kingdom",G3894&lt;&gt;"",COUNTIFS($G$2:G3894,G3894,$H$2:H3894,"United Kingdom")=1),1,0)</f>
        <v>0</v>
      </c>
    </row>
    <row r="3895" customFormat="false" ht="15" hidden="false" customHeight="false" outlineLevel="0" collapsed="false">
      <c r="A3895" s="0" t="s">
        <v>801</v>
      </c>
      <c r="B3895" s="0" t="s">
        <v>52</v>
      </c>
      <c r="C3895" s="0" t="s">
        <v>53</v>
      </c>
      <c r="D3895" s="0" t="n">
        <v>8</v>
      </c>
      <c r="E3895" s="2" t="n">
        <v>40878.7993055556</v>
      </c>
      <c r="F3895" s="0" t="n">
        <v>4.16</v>
      </c>
      <c r="G3895" s="0" t="n">
        <v>13924</v>
      </c>
      <c r="H3895" s="3" t="s">
        <v>14</v>
      </c>
      <c r="I3895" s="4" t="n">
        <f aca="false">D3895*F3895</f>
        <v>33.28</v>
      </c>
      <c r="J3895" s="3" t="n">
        <f aca="false">IF(AND(LEFT(A3895,1)&lt;&gt;"C",D3895&gt;0,F3895&gt;0),1,0)</f>
        <v>1</v>
      </c>
      <c r="K3895" s="3" t="n">
        <f aca="false">IF(AND(H3895="United Kingdom",G3895&lt;&gt;"",COUNTIFS($G$2:G3895,G3895,$H$2:H3895,"United Kingdom")=1),1,0)</f>
        <v>0</v>
      </c>
    </row>
    <row r="3896" customFormat="false" ht="15" hidden="false" customHeight="false" outlineLevel="0" collapsed="false">
      <c r="A3896" s="0" t="s">
        <v>801</v>
      </c>
      <c r="B3896" s="0" t="s">
        <v>77</v>
      </c>
      <c r="C3896" s="0" t="s">
        <v>78</v>
      </c>
      <c r="D3896" s="0" t="n">
        <v>2</v>
      </c>
      <c r="E3896" s="2" t="n">
        <v>40878.7993055556</v>
      </c>
      <c r="F3896" s="0" t="n">
        <v>3.41</v>
      </c>
      <c r="G3896" s="0" t="n">
        <v>13924</v>
      </c>
      <c r="H3896" s="3" t="s">
        <v>14</v>
      </c>
      <c r="I3896" s="4" t="n">
        <f aca="false">D3896*F3896</f>
        <v>6.82</v>
      </c>
      <c r="J3896" s="3" t="n">
        <f aca="false">IF(AND(LEFT(A3896,1)&lt;&gt;"C",D3896&gt;0,F3896&gt;0),1,0)</f>
        <v>1</v>
      </c>
      <c r="K3896" s="3" t="n">
        <f aca="false">IF(AND(H3896="United Kingdom",G3896&lt;&gt;"",COUNTIFS($G$2:G3896,G3896,$H$2:H3896,"United Kingdom")=1),1,0)</f>
        <v>0</v>
      </c>
    </row>
    <row r="3897" customFormat="false" ht="15" hidden="false" customHeight="false" outlineLevel="0" collapsed="false">
      <c r="A3897" s="0" t="s">
        <v>802</v>
      </c>
      <c r="B3897" s="0" t="s">
        <v>29</v>
      </c>
      <c r="C3897" s="0" t="s">
        <v>30</v>
      </c>
      <c r="D3897" s="0" t="n">
        <v>4</v>
      </c>
      <c r="E3897" s="2" t="n">
        <v>40879.46875</v>
      </c>
      <c r="F3897" s="0" t="n">
        <v>5.79</v>
      </c>
      <c r="G3897" s="0" t="n">
        <v>16228</v>
      </c>
      <c r="H3897" s="3" t="s">
        <v>14</v>
      </c>
      <c r="I3897" s="4" t="n">
        <f aca="false">D3897*F3897</f>
        <v>23.16</v>
      </c>
      <c r="J3897" s="3" t="n">
        <f aca="false">IF(AND(LEFT(A3897,1)&lt;&gt;"C",D3897&gt;0,F3897&gt;0),1,0)</f>
        <v>1</v>
      </c>
      <c r="K3897" s="3" t="n">
        <f aca="false">IF(AND(H3897="United Kingdom",G3897&lt;&gt;"",COUNTIFS($G$2:G3897,G3897,$H$2:H3897,"United Kingdom")=1),1,0)</f>
        <v>0</v>
      </c>
    </row>
    <row r="3898" customFormat="false" ht="15" hidden="false" customHeight="false" outlineLevel="0" collapsed="false">
      <c r="A3898" s="0" t="s">
        <v>803</v>
      </c>
      <c r="B3898" s="0" t="s">
        <v>41</v>
      </c>
      <c r="C3898" s="0" t="s">
        <v>42</v>
      </c>
      <c r="D3898" s="0" t="n">
        <v>2</v>
      </c>
      <c r="E3898" s="2" t="n">
        <v>40879.4979166667</v>
      </c>
      <c r="F3898" s="0" t="n">
        <v>3.28</v>
      </c>
      <c r="G3898" s="0" t="n">
        <v>12526</v>
      </c>
      <c r="H3898" s="3" t="s">
        <v>14</v>
      </c>
      <c r="I3898" s="4" t="n">
        <f aca="false">D3898*F3898</f>
        <v>6.56</v>
      </c>
      <c r="J3898" s="3" t="n">
        <f aca="false">IF(AND(LEFT(A3898,1)&lt;&gt;"C",D3898&gt;0,F3898&gt;0),1,0)</f>
        <v>1</v>
      </c>
      <c r="K3898" s="3" t="n">
        <f aca="false">IF(AND(H3898="United Kingdom",G3898&lt;&gt;"",COUNTIFS($G$2:G3898,G3898,$H$2:H3898,"United Kingdom")=1),1,0)</f>
        <v>0</v>
      </c>
    </row>
    <row r="3899" customFormat="false" ht="15" hidden="false" customHeight="false" outlineLevel="0" collapsed="false">
      <c r="A3899" s="0" t="s">
        <v>803</v>
      </c>
      <c r="B3899" s="0" t="s">
        <v>58</v>
      </c>
      <c r="C3899" s="0" t="s">
        <v>59</v>
      </c>
      <c r="D3899" s="0" t="n">
        <v>6</v>
      </c>
      <c r="E3899" s="2" t="n">
        <v>40879.4979166667</v>
      </c>
      <c r="F3899" s="0" t="n">
        <v>2.16</v>
      </c>
      <c r="G3899" s="0" t="n">
        <v>12526</v>
      </c>
      <c r="H3899" s="3" t="s">
        <v>14</v>
      </c>
      <c r="I3899" s="4" t="n">
        <f aca="false">D3899*F3899</f>
        <v>12.96</v>
      </c>
      <c r="J3899" s="3" t="n">
        <f aca="false">IF(AND(LEFT(A3899,1)&lt;&gt;"C",D3899&gt;0,F3899&gt;0),1,0)</f>
        <v>1</v>
      </c>
      <c r="K3899" s="3" t="n">
        <f aca="false">IF(AND(H3899="United Kingdom",G3899&lt;&gt;"",COUNTIFS($G$2:G3899,G3899,$H$2:H3899,"United Kingdom")=1),1,0)</f>
        <v>0</v>
      </c>
    </row>
    <row r="3900" customFormat="false" ht="15" hidden="false" customHeight="false" outlineLevel="0" collapsed="false">
      <c r="A3900" s="0" t="s">
        <v>803</v>
      </c>
      <c r="B3900" s="0" t="s">
        <v>72</v>
      </c>
      <c r="C3900" s="0" t="s">
        <v>73</v>
      </c>
      <c r="D3900" s="0" t="n">
        <v>1</v>
      </c>
      <c r="E3900" s="2" t="n">
        <v>40879.4979166667</v>
      </c>
      <c r="F3900" s="0" t="n">
        <v>2.69</v>
      </c>
      <c r="G3900" s="0" t="n">
        <v>12526</v>
      </c>
      <c r="H3900" s="3" t="s">
        <v>14</v>
      </c>
      <c r="I3900" s="4" t="n">
        <f aca="false">D3900*F3900</f>
        <v>2.69</v>
      </c>
      <c r="J3900" s="3" t="n">
        <f aca="false">IF(AND(LEFT(A3900,1)&lt;&gt;"C",D3900&gt;0,F3900&gt;0),1,0)</f>
        <v>1</v>
      </c>
      <c r="K3900" s="3" t="n">
        <f aca="false">IF(AND(H3900="United Kingdom",G3900&lt;&gt;"",COUNTIFS($G$2:G3900,G3900,$H$2:H3900,"United Kingdom")=1),1,0)</f>
        <v>0</v>
      </c>
    </row>
    <row r="3901" customFormat="false" ht="15" hidden="false" customHeight="false" outlineLevel="0" collapsed="false">
      <c r="A3901" s="0" t="s">
        <v>803</v>
      </c>
      <c r="B3901" s="0" t="s">
        <v>45</v>
      </c>
      <c r="C3901" s="0" t="s">
        <v>46</v>
      </c>
      <c r="D3901" s="0" t="n">
        <v>2</v>
      </c>
      <c r="E3901" s="2" t="n">
        <v>40879.4979166667</v>
      </c>
      <c r="F3901" s="0" t="n">
        <v>4.55</v>
      </c>
      <c r="G3901" s="0" t="n">
        <v>12526</v>
      </c>
      <c r="H3901" s="3" t="s">
        <v>14</v>
      </c>
      <c r="I3901" s="4" t="n">
        <f aca="false">D3901*F3901</f>
        <v>9.1</v>
      </c>
      <c r="J3901" s="3" t="n">
        <f aca="false">IF(AND(LEFT(A3901,1)&lt;&gt;"C",D3901&gt;0,F3901&gt;0),1,0)</f>
        <v>1</v>
      </c>
      <c r="K3901" s="3" t="n">
        <f aca="false">IF(AND(H3901="United Kingdom",G3901&lt;&gt;"",COUNTIFS($G$2:G3901,G3901,$H$2:H3901,"United Kingdom")=1),1,0)</f>
        <v>0</v>
      </c>
    </row>
    <row r="3902" customFormat="false" ht="15" hidden="false" customHeight="false" outlineLevel="0" collapsed="false">
      <c r="A3902" s="0" t="s">
        <v>803</v>
      </c>
      <c r="B3902" s="0" t="s">
        <v>29</v>
      </c>
      <c r="C3902" s="0" t="s">
        <v>30</v>
      </c>
      <c r="D3902" s="0" t="n">
        <v>16</v>
      </c>
      <c r="E3902" s="2" t="n">
        <v>40879.4979166667</v>
      </c>
      <c r="F3902" s="0" t="n">
        <v>5.79</v>
      </c>
      <c r="G3902" s="0" t="n">
        <v>12526</v>
      </c>
      <c r="H3902" s="3" t="s">
        <v>14</v>
      </c>
      <c r="I3902" s="4" t="n">
        <f aca="false">D3902*F3902</f>
        <v>92.64</v>
      </c>
      <c r="J3902" s="3" t="n">
        <f aca="false">IF(AND(LEFT(A3902,1)&lt;&gt;"C",D3902&gt;0,F3902&gt;0),1,0)</f>
        <v>1</v>
      </c>
      <c r="K3902" s="3" t="n">
        <f aca="false">IF(AND(H3902="United Kingdom",G3902&lt;&gt;"",COUNTIFS($G$2:G3902,G3902,$H$2:H3902,"United Kingdom")=1),1,0)</f>
        <v>0</v>
      </c>
    </row>
    <row r="3903" customFormat="false" ht="15" hidden="false" customHeight="false" outlineLevel="0" collapsed="false">
      <c r="A3903" s="0" t="s">
        <v>803</v>
      </c>
      <c r="B3903" s="0" t="s">
        <v>90</v>
      </c>
      <c r="C3903" s="0" t="s">
        <v>91</v>
      </c>
      <c r="D3903" s="0" t="n">
        <v>4</v>
      </c>
      <c r="E3903" s="2" t="n">
        <v>40879.4979166667</v>
      </c>
      <c r="F3903" s="0" t="n">
        <v>3.04</v>
      </c>
      <c r="G3903" s="0" t="n">
        <v>12526</v>
      </c>
      <c r="H3903" s="3" t="s">
        <v>14</v>
      </c>
      <c r="I3903" s="4" t="n">
        <f aca="false">D3903*F3903</f>
        <v>12.16</v>
      </c>
      <c r="J3903" s="3" t="n">
        <f aca="false">IF(AND(LEFT(A3903,1)&lt;&gt;"C",D3903&gt;0,F3903&gt;0),1,0)</f>
        <v>1</v>
      </c>
      <c r="K3903" s="3" t="n">
        <f aca="false">IF(AND(H3903="United Kingdom",G3903&lt;&gt;"",COUNTIFS($G$2:G3903,G3903,$H$2:H3903,"United Kingdom")=1),1,0)</f>
        <v>0</v>
      </c>
    </row>
    <row r="3904" customFormat="false" ht="15" hidden="false" customHeight="false" outlineLevel="0" collapsed="false">
      <c r="A3904" s="0" t="s">
        <v>804</v>
      </c>
      <c r="B3904" s="0" t="s">
        <v>72</v>
      </c>
      <c r="C3904" s="0" t="s">
        <v>73</v>
      </c>
      <c r="D3904" s="0" t="n">
        <v>6</v>
      </c>
      <c r="E3904" s="2" t="n">
        <v>40879.5583333333</v>
      </c>
      <c r="F3904" s="0" t="n">
        <v>2.69</v>
      </c>
      <c r="H3904" s="3" t="s">
        <v>14</v>
      </c>
      <c r="I3904" s="4" t="n">
        <f aca="false">D3904*F3904</f>
        <v>16.14</v>
      </c>
      <c r="J3904" s="3" t="n">
        <f aca="false">IF(AND(LEFT(A3904,1)&lt;&gt;"C",D3904&gt;0,F3904&gt;0),1,0)</f>
        <v>1</v>
      </c>
      <c r="K3904" s="3" t="n">
        <f aca="false">IF(AND(H3904="United Kingdom",G3904&lt;&gt;"",COUNTIFS($G$2:G3904,G3904,$H$2:H3904,"United Kingdom")=1),1,0)</f>
        <v>0</v>
      </c>
    </row>
    <row r="3905" customFormat="false" ht="15" hidden="false" customHeight="false" outlineLevel="0" collapsed="false">
      <c r="A3905" s="0" t="s">
        <v>804</v>
      </c>
      <c r="B3905" s="0" t="s">
        <v>12</v>
      </c>
      <c r="C3905" s="0" t="s">
        <v>13</v>
      </c>
      <c r="D3905" s="0" t="n">
        <v>3</v>
      </c>
      <c r="E3905" s="2" t="n">
        <v>40879.5583333333</v>
      </c>
      <c r="F3905" s="0" t="n">
        <v>3.33</v>
      </c>
      <c r="H3905" s="3" t="s">
        <v>14</v>
      </c>
      <c r="I3905" s="4" t="n">
        <f aca="false">D3905*F3905</f>
        <v>9.99</v>
      </c>
      <c r="J3905" s="3" t="n">
        <f aca="false">IF(AND(LEFT(A3905,1)&lt;&gt;"C",D3905&gt;0,F3905&gt;0),1,0)</f>
        <v>1</v>
      </c>
      <c r="K3905" s="3" t="n">
        <f aca="false">IF(AND(H3905="United Kingdom",G3905&lt;&gt;"",COUNTIFS($G$2:G3905,G3905,$H$2:H3905,"United Kingdom")=1),1,0)</f>
        <v>0</v>
      </c>
    </row>
    <row r="3906" customFormat="false" ht="15" hidden="false" customHeight="false" outlineLevel="0" collapsed="false">
      <c r="A3906" s="0" t="s">
        <v>805</v>
      </c>
      <c r="B3906" s="0" t="s">
        <v>113</v>
      </c>
      <c r="C3906" s="0" t="s">
        <v>114</v>
      </c>
      <c r="D3906" s="0" t="n">
        <v>8</v>
      </c>
      <c r="E3906" s="2" t="n">
        <v>40879.7194444445</v>
      </c>
      <c r="F3906" s="0" t="n">
        <v>3.57</v>
      </c>
      <c r="G3906" s="0" t="n">
        <v>16461</v>
      </c>
      <c r="H3906" s="3" t="s">
        <v>14</v>
      </c>
      <c r="I3906" s="4" t="n">
        <f aca="false">D3906*F3906</f>
        <v>28.56</v>
      </c>
      <c r="J3906" s="3" t="n">
        <f aca="false">IF(AND(LEFT(A3906,1)&lt;&gt;"C",D3906&gt;0,F3906&gt;0),1,0)</f>
        <v>1</v>
      </c>
      <c r="K3906" s="3" t="n">
        <f aca="false">IF(AND(H3906="United Kingdom",G3906&lt;&gt;"",COUNTIFS($G$2:G3906,G3906,$H$2:H3906,"United Kingdom")=1),1,0)</f>
        <v>0</v>
      </c>
    </row>
    <row r="3907" customFormat="false" ht="15" hidden="false" customHeight="false" outlineLevel="0" collapsed="false">
      <c r="A3907" s="0" t="s">
        <v>805</v>
      </c>
      <c r="B3907" s="0" t="s">
        <v>80</v>
      </c>
      <c r="C3907" s="0" t="s">
        <v>81</v>
      </c>
      <c r="D3907" s="0" t="n">
        <v>6</v>
      </c>
      <c r="E3907" s="2" t="n">
        <v>40879.7194444445</v>
      </c>
      <c r="F3907" s="0" t="n">
        <v>1.53</v>
      </c>
      <c r="G3907" s="0" t="n">
        <v>16461</v>
      </c>
      <c r="H3907" s="3" t="s">
        <v>14</v>
      </c>
      <c r="I3907" s="4" t="n">
        <f aca="false">D3907*F3907</f>
        <v>9.18</v>
      </c>
      <c r="J3907" s="3" t="n">
        <f aca="false">IF(AND(LEFT(A3907,1)&lt;&gt;"C",D3907&gt;0,F3907&gt;0),1,0)</f>
        <v>1</v>
      </c>
      <c r="K3907" s="3" t="n">
        <f aca="false">IF(AND(H3907="United Kingdom",G3907&lt;&gt;"",COUNTIFS($G$2:G3907,G3907,$H$2:H3907,"United Kingdom")=1),1,0)</f>
        <v>0</v>
      </c>
    </row>
    <row r="3908" customFormat="false" ht="15" hidden="false" customHeight="false" outlineLevel="0" collapsed="false">
      <c r="A3908" s="0" t="s">
        <v>805</v>
      </c>
      <c r="B3908" s="0" t="s">
        <v>68</v>
      </c>
      <c r="C3908" s="0" t="s">
        <v>69</v>
      </c>
      <c r="D3908" s="0" t="n">
        <v>4</v>
      </c>
      <c r="E3908" s="2" t="n">
        <v>40879.7194444445</v>
      </c>
      <c r="F3908" s="0" t="n">
        <v>1.26</v>
      </c>
      <c r="G3908" s="0" t="n">
        <v>16461</v>
      </c>
      <c r="H3908" s="3" t="s">
        <v>14</v>
      </c>
      <c r="I3908" s="4" t="n">
        <f aca="false">D3908*F3908</f>
        <v>5.04</v>
      </c>
      <c r="J3908" s="3" t="n">
        <f aca="false">IF(AND(LEFT(A3908,1)&lt;&gt;"C",D3908&gt;0,F3908&gt;0),1,0)</f>
        <v>1</v>
      </c>
      <c r="K3908" s="3" t="n">
        <f aca="false">IF(AND(H3908="United Kingdom",G3908&lt;&gt;"",COUNTIFS($G$2:G3908,G3908,$H$2:H3908,"United Kingdom")=1),1,0)</f>
        <v>0</v>
      </c>
    </row>
    <row r="3909" customFormat="false" ht="15" hidden="false" customHeight="false" outlineLevel="0" collapsed="false">
      <c r="A3909" s="0" t="s">
        <v>805</v>
      </c>
      <c r="B3909" s="0" t="s">
        <v>63</v>
      </c>
      <c r="C3909" s="0" t="s">
        <v>64</v>
      </c>
      <c r="D3909" s="0" t="n">
        <v>16</v>
      </c>
      <c r="E3909" s="2" t="n">
        <v>40879.7194444445</v>
      </c>
      <c r="F3909" s="0" t="n">
        <v>2.43</v>
      </c>
      <c r="G3909" s="0" t="n">
        <v>16461</v>
      </c>
      <c r="H3909" s="3" t="s">
        <v>14</v>
      </c>
      <c r="I3909" s="4" t="n">
        <f aca="false">D3909*F3909</f>
        <v>38.88</v>
      </c>
      <c r="J3909" s="3" t="n">
        <f aca="false">IF(AND(LEFT(A3909,1)&lt;&gt;"C",D3909&gt;0,F3909&gt;0),1,0)</f>
        <v>1</v>
      </c>
      <c r="K3909" s="3" t="n">
        <f aca="false">IF(AND(H3909="United Kingdom",G3909&lt;&gt;"",COUNTIFS($G$2:G3909,G3909,$H$2:H3909,"United Kingdom")=1),1,0)</f>
        <v>0</v>
      </c>
    </row>
    <row r="3910" customFormat="false" ht="15" hidden="false" customHeight="false" outlineLevel="0" collapsed="false">
      <c r="A3910" s="0" t="s">
        <v>805</v>
      </c>
      <c r="B3910" s="0" t="s">
        <v>43</v>
      </c>
      <c r="C3910" s="0" t="s">
        <v>44</v>
      </c>
      <c r="D3910" s="0" t="n">
        <v>4</v>
      </c>
      <c r="E3910" s="2" t="n">
        <v>40879.7194444445</v>
      </c>
      <c r="F3910" s="0" t="n">
        <v>1.35</v>
      </c>
      <c r="G3910" s="0" t="n">
        <v>16461</v>
      </c>
      <c r="H3910" s="3" t="s">
        <v>14</v>
      </c>
      <c r="I3910" s="4" t="n">
        <f aca="false">D3910*F3910</f>
        <v>5.4</v>
      </c>
      <c r="J3910" s="3" t="n">
        <f aca="false">IF(AND(LEFT(A3910,1)&lt;&gt;"C",D3910&gt;0,F3910&gt;0),1,0)</f>
        <v>1</v>
      </c>
      <c r="K3910" s="3" t="n">
        <f aca="false">IF(AND(H3910="United Kingdom",G3910&lt;&gt;"",COUNTIFS($G$2:G3910,G3910,$H$2:H3910,"United Kingdom")=1),1,0)</f>
        <v>0</v>
      </c>
    </row>
    <row r="3911" customFormat="false" ht="15" hidden="false" customHeight="false" outlineLevel="0" collapsed="false">
      <c r="A3911" s="0" t="s">
        <v>805</v>
      </c>
      <c r="B3911" s="0" t="s">
        <v>72</v>
      </c>
      <c r="C3911" s="0" t="s">
        <v>73</v>
      </c>
      <c r="D3911" s="0" t="n">
        <v>1</v>
      </c>
      <c r="E3911" s="2" t="n">
        <v>40879.7194444445</v>
      </c>
      <c r="F3911" s="0" t="n">
        <v>2.69</v>
      </c>
      <c r="G3911" s="0" t="n">
        <v>16461</v>
      </c>
      <c r="H3911" s="3" t="s">
        <v>14</v>
      </c>
      <c r="I3911" s="4" t="n">
        <f aca="false">D3911*F3911</f>
        <v>2.69</v>
      </c>
      <c r="J3911" s="3" t="n">
        <f aca="false">IF(AND(LEFT(A3911,1)&lt;&gt;"C",D3911&gt;0,F3911&gt;0),1,0)</f>
        <v>1</v>
      </c>
      <c r="K3911" s="3" t="n">
        <f aca="false">IF(AND(H3911="United Kingdom",G3911&lt;&gt;"",COUNTIFS($G$2:G3911,G3911,$H$2:H3911,"United Kingdom")=1),1,0)</f>
        <v>0</v>
      </c>
    </row>
    <row r="3912" customFormat="false" ht="15" hidden="false" customHeight="false" outlineLevel="0" collapsed="false">
      <c r="A3912" s="0" t="s">
        <v>805</v>
      </c>
      <c r="B3912" s="0" t="s">
        <v>41</v>
      </c>
      <c r="C3912" s="0" t="s">
        <v>42</v>
      </c>
      <c r="D3912" s="0" t="n">
        <v>3</v>
      </c>
      <c r="E3912" s="2" t="n">
        <v>40879.7194444445</v>
      </c>
      <c r="F3912" s="0" t="n">
        <v>3.28</v>
      </c>
      <c r="G3912" s="0" t="n">
        <v>16461</v>
      </c>
      <c r="H3912" s="3" t="s">
        <v>14</v>
      </c>
      <c r="I3912" s="4" t="n">
        <f aca="false">D3912*F3912</f>
        <v>9.84</v>
      </c>
      <c r="J3912" s="3" t="n">
        <f aca="false">IF(AND(LEFT(A3912,1)&lt;&gt;"C",D3912&gt;0,F3912&gt;0),1,0)</f>
        <v>1</v>
      </c>
      <c r="K3912" s="3" t="n">
        <f aca="false">IF(AND(H3912="United Kingdom",G3912&lt;&gt;"",COUNTIFS($G$2:G3912,G3912,$H$2:H3912,"United Kingdom")=1),1,0)</f>
        <v>0</v>
      </c>
    </row>
    <row r="3913" customFormat="false" ht="15" hidden="false" customHeight="false" outlineLevel="0" collapsed="false">
      <c r="A3913" s="0" t="s">
        <v>805</v>
      </c>
      <c r="B3913" s="0" t="s">
        <v>65</v>
      </c>
      <c r="C3913" s="0" t="s">
        <v>66</v>
      </c>
      <c r="D3913" s="0" t="n">
        <v>12</v>
      </c>
      <c r="E3913" s="2" t="n">
        <v>40879.7194444445</v>
      </c>
      <c r="F3913" s="0" t="n">
        <v>4.75</v>
      </c>
      <c r="G3913" s="0" t="n">
        <v>16461</v>
      </c>
      <c r="H3913" s="3" t="s">
        <v>14</v>
      </c>
      <c r="I3913" s="4" t="n">
        <f aca="false">D3913*F3913</f>
        <v>57</v>
      </c>
      <c r="J3913" s="3" t="n">
        <f aca="false">IF(AND(LEFT(A3913,1)&lt;&gt;"C",D3913&gt;0,F3913&gt;0),1,0)</f>
        <v>1</v>
      </c>
      <c r="K3913" s="3" t="n">
        <f aca="false">IF(AND(H3913="United Kingdom",G3913&lt;&gt;"",COUNTIFS($G$2:G3913,G3913,$H$2:H3913,"United Kingdom")=1),1,0)</f>
        <v>0</v>
      </c>
    </row>
    <row r="3914" customFormat="false" ht="15" hidden="false" customHeight="false" outlineLevel="0" collapsed="false">
      <c r="A3914" s="0" t="s">
        <v>805</v>
      </c>
      <c r="B3914" s="0" t="s">
        <v>25</v>
      </c>
      <c r="C3914" s="0" t="s">
        <v>26</v>
      </c>
      <c r="D3914" s="0" t="n">
        <v>2</v>
      </c>
      <c r="E3914" s="2" t="n">
        <v>40879.7194444445</v>
      </c>
      <c r="F3914" s="0" t="n">
        <v>2.21</v>
      </c>
      <c r="G3914" s="0" t="n">
        <v>16461</v>
      </c>
      <c r="H3914" s="3" t="s">
        <v>14</v>
      </c>
      <c r="I3914" s="4" t="n">
        <f aca="false">D3914*F3914</f>
        <v>4.42</v>
      </c>
      <c r="J3914" s="3" t="n">
        <f aca="false">IF(AND(LEFT(A3914,1)&lt;&gt;"C",D3914&gt;0,F3914&gt;0),1,0)</f>
        <v>1</v>
      </c>
      <c r="K3914" s="3" t="n">
        <f aca="false">IF(AND(H3914="United Kingdom",G3914&lt;&gt;"",COUNTIFS($G$2:G3914,G3914,$H$2:H3914,"United Kingdom")=1),1,0)</f>
        <v>0</v>
      </c>
    </row>
    <row r="3915" customFormat="false" ht="15" hidden="false" customHeight="false" outlineLevel="0" collapsed="false">
      <c r="A3915" s="0" t="s">
        <v>806</v>
      </c>
      <c r="B3915" s="0" t="s">
        <v>113</v>
      </c>
      <c r="C3915" s="0" t="s">
        <v>114</v>
      </c>
      <c r="D3915" s="0" t="n">
        <v>12</v>
      </c>
      <c r="E3915" s="2" t="n">
        <v>40880.8173611111</v>
      </c>
      <c r="F3915" s="0" t="n">
        <v>3.57</v>
      </c>
      <c r="H3915" s="3" t="s">
        <v>14</v>
      </c>
      <c r="I3915" s="4" t="n">
        <f aca="false">D3915*F3915</f>
        <v>42.84</v>
      </c>
      <c r="J3915" s="3" t="n">
        <f aca="false">IF(AND(LEFT(A3915,1)&lt;&gt;"C",D3915&gt;0,F3915&gt;0),1,0)</f>
        <v>1</v>
      </c>
      <c r="K3915" s="3" t="n">
        <f aca="false">IF(AND(H3915="United Kingdom",G3915&lt;&gt;"",COUNTIFS($G$2:G3915,G3915,$H$2:H3915,"United Kingdom")=1),1,0)</f>
        <v>0</v>
      </c>
    </row>
    <row r="3916" customFormat="false" ht="15" hidden="false" customHeight="false" outlineLevel="0" collapsed="false">
      <c r="A3916" s="0" t="s">
        <v>807</v>
      </c>
      <c r="B3916" s="0" t="s">
        <v>113</v>
      </c>
      <c r="C3916" s="0" t="s">
        <v>114</v>
      </c>
      <c r="D3916" s="0" t="n">
        <v>8</v>
      </c>
      <c r="E3916" s="2" t="n">
        <v>40881.6166666667</v>
      </c>
      <c r="F3916" s="0" t="n">
        <v>3.57</v>
      </c>
      <c r="G3916" s="0" t="n">
        <v>14026</v>
      </c>
      <c r="H3916" s="3" t="s">
        <v>14</v>
      </c>
      <c r="I3916" s="4" t="n">
        <f aca="false">D3916*F3916</f>
        <v>28.56</v>
      </c>
      <c r="J3916" s="3" t="n">
        <f aca="false">IF(AND(LEFT(A3916,1)&lt;&gt;"C",D3916&gt;0,F3916&gt;0),1,0)</f>
        <v>1</v>
      </c>
      <c r="K3916" s="3" t="n">
        <f aca="false">IF(AND(H3916="United Kingdom",G3916&lt;&gt;"",COUNTIFS($G$2:G3916,G3916,$H$2:H3916,"United Kingdom")=1),1,0)</f>
        <v>0</v>
      </c>
    </row>
    <row r="3917" customFormat="false" ht="15" hidden="false" customHeight="false" outlineLevel="0" collapsed="false">
      <c r="A3917" s="0" t="s">
        <v>807</v>
      </c>
      <c r="B3917" s="0" t="s">
        <v>72</v>
      </c>
      <c r="C3917" s="0" t="s">
        <v>73</v>
      </c>
      <c r="D3917" s="0" t="n">
        <v>4</v>
      </c>
      <c r="E3917" s="2" t="n">
        <v>40881.6166666667</v>
      </c>
      <c r="F3917" s="0" t="n">
        <v>2.69</v>
      </c>
      <c r="G3917" s="0" t="n">
        <v>14026</v>
      </c>
      <c r="H3917" s="3" t="s">
        <v>14</v>
      </c>
      <c r="I3917" s="4" t="n">
        <f aca="false">D3917*F3917</f>
        <v>10.76</v>
      </c>
      <c r="J3917" s="3" t="n">
        <f aca="false">IF(AND(LEFT(A3917,1)&lt;&gt;"C",D3917&gt;0,F3917&gt;0),1,0)</f>
        <v>1</v>
      </c>
      <c r="K3917" s="3" t="n">
        <f aca="false">IF(AND(H3917="United Kingdom",G3917&lt;&gt;"",COUNTIFS($G$2:G3917,G3917,$H$2:H3917,"United Kingdom")=1),1,0)</f>
        <v>0</v>
      </c>
    </row>
    <row r="3918" customFormat="false" ht="15" hidden="false" customHeight="false" outlineLevel="0" collapsed="false">
      <c r="A3918" s="0" t="s">
        <v>807</v>
      </c>
      <c r="B3918" s="0" t="s">
        <v>39</v>
      </c>
      <c r="C3918" s="0" t="s">
        <v>40</v>
      </c>
      <c r="D3918" s="0" t="n">
        <v>3</v>
      </c>
      <c r="E3918" s="2" t="n">
        <v>40881.6166666667</v>
      </c>
      <c r="F3918" s="0" t="n">
        <v>2.58</v>
      </c>
      <c r="G3918" s="0" t="n">
        <v>14026</v>
      </c>
      <c r="H3918" s="3" t="s">
        <v>14</v>
      </c>
      <c r="I3918" s="4" t="n">
        <f aca="false">D3918*F3918</f>
        <v>7.74</v>
      </c>
      <c r="J3918" s="3" t="n">
        <f aca="false">IF(AND(LEFT(A3918,1)&lt;&gt;"C",D3918&gt;0,F3918&gt;0),1,0)</f>
        <v>1</v>
      </c>
      <c r="K3918" s="3" t="n">
        <f aca="false">IF(AND(H3918="United Kingdom",G3918&lt;&gt;"",COUNTIFS($G$2:G3918,G3918,$H$2:H3918,"United Kingdom")=1),1,0)</f>
        <v>0</v>
      </c>
    </row>
    <row r="3919" customFormat="false" ht="15" hidden="false" customHeight="false" outlineLevel="0" collapsed="false">
      <c r="A3919" s="0" t="s">
        <v>807</v>
      </c>
      <c r="B3919" s="0" t="s">
        <v>32</v>
      </c>
      <c r="C3919" s="0" t="s">
        <v>33</v>
      </c>
      <c r="D3919" s="0" t="n">
        <v>2</v>
      </c>
      <c r="E3919" s="2" t="n">
        <v>40881.6166666667</v>
      </c>
      <c r="F3919" s="0" t="n">
        <v>1.19</v>
      </c>
      <c r="G3919" s="0" t="n">
        <v>14026</v>
      </c>
      <c r="H3919" s="3" t="s">
        <v>14</v>
      </c>
      <c r="I3919" s="4" t="n">
        <f aca="false">D3919*F3919</f>
        <v>2.38</v>
      </c>
      <c r="J3919" s="3" t="n">
        <f aca="false">IF(AND(LEFT(A3919,1)&lt;&gt;"C",D3919&gt;0,F3919&gt;0),1,0)</f>
        <v>1</v>
      </c>
      <c r="K3919" s="3" t="n">
        <f aca="false">IF(AND(H3919="United Kingdom",G3919&lt;&gt;"",COUNTIFS($G$2:G3919,G3919,$H$2:H3919,"United Kingdom")=1),1,0)</f>
        <v>0</v>
      </c>
    </row>
    <row r="3920" customFormat="false" ht="15" hidden="false" customHeight="false" outlineLevel="0" collapsed="false">
      <c r="A3920" s="0" t="s">
        <v>807</v>
      </c>
      <c r="B3920" s="0" t="s">
        <v>29</v>
      </c>
      <c r="C3920" s="0" t="s">
        <v>30</v>
      </c>
      <c r="D3920" s="0" t="n">
        <v>1</v>
      </c>
      <c r="E3920" s="2" t="n">
        <v>40881.6166666667</v>
      </c>
      <c r="F3920" s="0" t="n">
        <v>5.79</v>
      </c>
      <c r="G3920" s="0" t="n">
        <v>14026</v>
      </c>
      <c r="H3920" s="3" t="s">
        <v>14</v>
      </c>
      <c r="I3920" s="4" t="n">
        <f aca="false">D3920*F3920</f>
        <v>5.79</v>
      </c>
      <c r="J3920" s="3" t="n">
        <f aca="false">IF(AND(LEFT(A3920,1)&lt;&gt;"C",D3920&gt;0,F3920&gt;0),1,0)</f>
        <v>1</v>
      </c>
      <c r="K3920" s="3" t="n">
        <f aca="false">IF(AND(H3920="United Kingdom",G3920&lt;&gt;"",COUNTIFS($G$2:G3920,G3920,$H$2:H3920,"United Kingdom")=1),1,0)</f>
        <v>0</v>
      </c>
    </row>
    <row r="3921" customFormat="false" ht="15" hidden="false" customHeight="false" outlineLevel="0" collapsed="false">
      <c r="A3921" s="0" t="s">
        <v>807</v>
      </c>
      <c r="B3921" s="0" t="s">
        <v>80</v>
      </c>
      <c r="C3921" s="0" t="s">
        <v>81</v>
      </c>
      <c r="D3921" s="0" t="n">
        <v>24</v>
      </c>
      <c r="E3921" s="2" t="n">
        <v>40881.6166666667</v>
      </c>
      <c r="F3921" s="0" t="n">
        <v>1.53</v>
      </c>
      <c r="G3921" s="0" t="n">
        <v>14026</v>
      </c>
      <c r="H3921" s="3" t="s">
        <v>14</v>
      </c>
      <c r="I3921" s="4" t="n">
        <f aca="false">D3921*F3921</f>
        <v>36.72</v>
      </c>
      <c r="J3921" s="3" t="n">
        <f aca="false">IF(AND(LEFT(A3921,1)&lt;&gt;"C",D3921&gt;0,F3921&gt;0),1,0)</f>
        <v>1</v>
      </c>
      <c r="K3921" s="3" t="n">
        <f aca="false">IF(AND(H3921="United Kingdom",G3921&lt;&gt;"",COUNTIFS($G$2:G3921,G3921,$H$2:H3921,"United Kingdom")=1),1,0)</f>
        <v>0</v>
      </c>
    </row>
    <row r="3922" customFormat="false" ht="15" hidden="false" customHeight="false" outlineLevel="0" collapsed="false">
      <c r="A3922" s="0" t="s">
        <v>807</v>
      </c>
      <c r="B3922" s="0" t="s">
        <v>12</v>
      </c>
      <c r="C3922" s="0" t="s">
        <v>13</v>
      </c>
      <c r="D3922" s="0" t="n">
        <v>2</v>
      </c>
      <c r="E3922" s="2" t="n">
        <v>40881.6166666667</v>
      </c>
      <c r="F3922" s="0" t="n">
        <v>3.33</v>
      </c>
      <c r="G3922" s="0" t="n">
        <v>14026</v>
      </c>
      <c r="H3922" s="3" t="s">
        <v>14</v>
      </c>
      <c r="I3922" s="4" t="n">
        <f aca="false">D3922*F3922</f>
        <v>6.66</v>
      </c>
      <c r="J3922" s="3" t="n">
        <f aca="false">IF(AND(LEFT(A3922,1)&lt;&gt;"C",D3922&gt;0,F3922&gt;0),1,0)</f>
        <v>1</v>
      </c>
      <c r="K3922" s="3" t="n">
        <f aca="false">IF(AND(H3922="United Kingdom",G3922&lt;&gt;"",COUNTIFS($G$2:G3922,G3922,$H$2:H3922,"United Kingdom")=1),1,0)</f>
        <v>0</v>
      </c>
    </row>
    <row r="3923" customFormat="false" ht="15" hidden="false" customHeight="false" outlineLevel="0" collapsed="false">
      <c r="A3923" s="0" t="s">
        <v>808</v>
      </c>
      <c r="B3923" s="0" t="s">
        <v>54</v>
      </c>
      <c r="C3923" s="0" t="s">
        <v>55</v>
      </c>
      <c r="D3923" s="0" t="n">
        <v>2</v>
      </c>
      <c r="E3923" s="2" t="n">
        <v>40882.525</v>
      </c>
      <c r="F3923" s="0" t="n">
        <v>0.99</v>
      </c>
      <c r="G3923" s="0" t="n">
        <v>18034</v>
      </c>
      <c r="H3923" s="3" t="s">
        <v>14</v>
      </c>
      <c r="I3923" s="4" t="n">
        <f aca="false">D3923*F3923</f>
        <v>1.98</v>
      </c>
      <c r="J3923" s="3" t="n">
        <f aca="false">IF(AND(LEFT(A3923,1)&lt;&gt;"C",D3923&gt;0,F3923&gt;0),1,0)</f>
        <v>1</v>
      </c>
      <c r="K3923" s="3" t="n">
        <f aca="false">IF(AND(H3923="United Kingdom",G3923&lt;&gt;"",COUNTIFS($G$2:G3923,G3923,$H$2:H3923,"United Kingdom")=1),1,0)</f>
        <v>0</v>
      </c>
    </row>
    <row r="3924" customFormat="false" ht="15" hidden="false" customHeight="false" outlineLevel="0" collapsed="false">
      <c r="A3924" s="0" t="s">
        <v>808</v>
      </c>
      <c r="B3924" s="0" t="s">
        <v>80</v>
      </c>
      <c r="C3924" s="0" t="s">
        <v>81</v>
      </c>
      <c r="D3924" s="0" t="n">
        <v>12</v>
      </c>
      <c r="E3924" s="2" t="n">
        <v>40882.525</v>
      </c>
      <c r="F3924" s="0" t="n">
        <v>1.53</v>
      </c>
      <c r="G3924" s="0" t="n">
        <v>18034</v>
      </c>
      <c r="H3924" s="3" t="s">
        <v>14</v>
      </c>
      <c r="I3924" s="4" t="n">
        <f aca="false">D3924*F3924</f>
        <v>18.36</v>
      </c>
      <c r="J3924" s="3" t="n">
        <f aca="false">IF(AND(LEFT(A3924,1)&lt;&gt;"C",D3924&gt;0,F3924&gt;0),1,0)</f>
        <v>1</v>
      </c>
      <c r="K3924" s="3" t="n">
        <f aca="false">IF(AND(H3924="United Kingdom",G3924&lt;&gt;"",COUNTIFS($G$2:G3924,G3924,$H$2:H3924,"United Kingdom")=1),1,0)</f>
        <v>0</v>
      </c>
    </row>
    <row r="3925" customFormat="false" ht="15" hidden="false" customHeight="false" outlineLevel="0" collapsed="false">
      <c r="A3925" s="0" t="s">
        <v>808</v>
      </c>
      <c r="B3925" s="0" t="s">
        <v>45</v>
      </c>
      <c r="C3925" s="0" t="s">
        <v>46</v>
      </c>
      <c r="D3925" s="0" t="n">
        <v>24</v>
      </c>
      <c r="E3925" s="2" t="n">
        <v>40882.525</v>
      </c>
      <c r="F3925" s="0" t="n">
        <v>4.55</v>
      </c>
      <c r="G3925" s="0" t="n">
        <v>18034</v>
      </c>
      <c r="H3925" s="3" t="s">
        <v>14</v>
      </c>
      <c r="I3925" s="4" t="n">
        <f aca="false">D3925*F3925</f>
        <v>109.2</v>
      </c>
      <c r="J3925" s="3" t="n">
        <f aca="false">IF(AND(LEFT(A3925,1)&lt;&gt;"C",D3925&gt;0,F3925&gt;0),1,0)</f>
        <v>1</v>
      </c>
      <c r="K3925" s="3" t="n">
        <f aca="false">IF(AND(H3925="United Kingdom",G3925&lt;&gt;"",COUNTIFS($G$2:G3925,G3925,$H$2:H3925,"United Kingdom")=1),1,0)</f>
        <v>0</v>
      </c>
    </row>
    <row r="3926" customFormat="false" ht="15" hidden="false" customHeight="false" outlineLevel="0" collapsed="false">
      <c r="A3926" s="0" t="s">
        <v>808</v>
      </c>
      <c r="B3926" s="0" t="s">
        <v>32</v>
      </c>
      <c r="C3926" s="0" t="s">
        <v>33</v>
      </c>
      <c r="D3926" s="0" t="n">
        <v>16</v>
      </c>
      <c r="E3926" s="2" t="n">
        <v>40882.525</v>
      </c>
      <c r="F3926" s="0" t="n">
        <v>1.19</v>
      </c>
      <c r="G3926" s="0" t="n">
        <v>18034</v>
      </c>
      <c r="H3926" s="3" t="s">
        <v>14</v>
      </c>
      <c r="I3926" s="4" t="n">
        <f aca="false">D3926*F3926</f>
        <v>19.04</v>
      </c>
      <c r="J3926" s="3" t="n">
        <f aca="false">IF(AND(LEFT(A3926,1)&lt;&gt;"C",D3926&gt;0,F3926&gt;0),1,0)</f>
        <v>1</v>
      </c>
      <c r="K3926" s="3" t="n">
        <f aca="false">IF(AND(H3926="United Kingdom",G3926&lt;&gt;"",COUNTIFS($G$2:G3926,G3926,$H$2:H3926,"United Kingdom")=1),1,0)</f>
        <v>0</v>
      </c>
    </row>
    <row r="3927" customFormat="false" ht="15" hidden="false" customHeight="false" outlineLevel="0" collapsed="false">
      <c r="A3927" s="0" t="s">
        <v>808</v>
      </c>
      <c r="B3927" s="0" t="s">
        <v>77</v>
      </c>
      <c r="C3927" s="0" t="s">
        <v>78</v>
      </c>
      <c r="D3927" s="0" t="n">
        <v>4</v>
      </c>
      <c r="E3927" s="2" t="n">
        <v>40882.525</v>
      </c>
      <c r="F3927" s="0" t="n">
        <v>3.41</v>
      </c>
      <c r="G3927" s="0" t="n">
        <v>18034</v>
      </c>
      <c r="H3927" s="3" t="s">
        <v>14</v>
      </c>
      <c r="I3927" s="4" t="n">
        <f aca="false">D3927*F3927</f>
        <v>13.64</v>
      </c>
      <c r="J3927" s="3" t="n">
        <f aca="false">IF(AND(LEFT(A3927,1)&lt;&gt;"C",D3927&gt;0,F3927&gt;0),1,0)</f>
        <v>1</v>
      </c>
      <c r="K3927" s="3" t="n">
        <f aca="false">IF(AND(H3927="United Kingdom",G3927&lt;&gt;"",COUNTIFS($G$2:G3927,G3927,$H$2:H3927,"United Kingdom")=1),1,0)</f>
        <v>0</v>
      </c>
    </row>
    <row r="3928" customFormat="false" ht="15" hidden="false" customHeight="false" outlineLevel="0" collapsed="false">
      <c r="A3928" s="0" t="s">
        <v>808</v>
      </c>
      <c r="B3928" s="0" t="s">
        <v>72</v>
      </c>
      <c r="C3928" s="0" t="s">
        <v>73</v>
      </c>
      <c r="D3928" s="0" t="n">
        <v>24</v>
      </c>
      <c r="E3928" s="2" t="n">
        <v>40882.525</v>
      </c>
      <c r="F3928" s="0" t="n">
        <v>2.69</v>
      </c>
      <c r="G3928" s="0" t="n">
        <v>18034</v>
      </c>
      <c r="H3928" s="3" t="s">
        <v>14</v>
      </c>
      <c r="I3928" s="4" t="n">
        <f aca="false">D3928*F3928</f>
        <v>64.56</v>
      </c>
      <c r="J3928" s="3" t="n">
        <f aca="false">IF(AND(LEFT(A3928,1)&lt;&gt;"C",D3928&gt;0,F3928&gt;0),1,0)</f>
        <v>1</v>
      </c>
      <c r="K3928" s="3" t="n">
        <f aca="false">IF(AND(H3928="United Kingdom",G3928&lt;&gt;"",COUNTIFS($G$2:G3928,G3928,$H$2:H3928,"United Kingdom")=1),1,0)</f>
        <v>0</v>
      </c>
    </row>
    <row r="3929" customFormat="false" ht="15" hidden="false" customHeight="false" outlineLevel="0" collapsed="false">
      <c r="A3929" s="0" t="s">
        <v>808</v>
      </c>
      <c r="B3929" s="0" t="s">
        <v>60</v>
      </c>
      <c r="C3929" s="0" t="s">
        <v>61</v>
      </c>
      <c r="D3929" s="0" t="n">
        <v>1</v>
      </c>
      <c r="E3929" s="2" t="n">
        <v>40882.525</v>
      </c>
      <c r="F3929" s="0" t="n">
        <v>0.63</v>
      </c>
      <c r="G3929" s="0" t="n">
        <v>18034</v>
      </c>
      <c r="H3929" s="3" t="s">
        <v>14</v>
      </c>
      <c r="I3929" s="4" t="n">
        <f aca="false">D3929*F3929</f>
        <v>0.63</v>
      </c>
      <c r="J3929" s="3" t="n">
        <f aca="false">IF(AND(LEFT(A3929,1)&lt;&gt;"C",D3929&gt;0,F3929&gt;0),1,0)</f>
        <v>1</v>
      </c>
      <c r="K3929" s="3" t="n">
        <f aca="false">IF(AND(H3929="United Kingdom",G3929&lt;&gt;"",COUNTIFS($G$2:G3929,G3929,$H$2:H3929,"United Kingdom")=1),1,0)</f>
        <v>0</v>
      </c>
    </row>
    <row r="3930" customFormat="false" ht="15" hidden="false" customHeight="false" outlineLevel="0" collapsed="false">
      <c r="A3930" s="0" t="s">
        <v>809</v>
      </c>
      <c r="B3930" s="0" t="s">
        <v>63</v>
      </c>
      <c r="C3930" s="0" t="s">
        <v>64</v>
      </c>
      <c r="D3930" s="0" t="n">
        <v>3</v>
      </c>
      <c r="E3930" s="2" t="n">
        <v>40883.4784722222</v>
      </c>
      <c r="F3930" s="0" t="n">
        <v>2.43</v>
      </c>
      <c r="G3930" s="0" t="n">
        <v>17907</v>
      </c>
      <c r="H3930" s="3" t="s">
        <v>120</v>
      </c>
      <c r="I3930" s="4" t="n">
        <f aca="false">D3930*F3930</f>
        <v>7.29</v>
      </c>
      <c r="J3930" s="3" t="n">
        <f aca="false">IF(AND(LEFT(A3930,1)&lt;&gt;"C",D3930&gt;0,F3930&gt;0),1,0)</f>
        <v>1</v>
      </c>
      <c r="K3930" s="3" t="n">
        <f aca="false">IF(AND(H3930="United Kingdom",G3930&lt;&gt;"",COUNTIFS($G$2:G3930,G3930,$H$2:H3930,"United Kingdom")=1),1,0)</f>
        <v>0</v>
      </c>
    </row>
    <row r="3931" customFormat="false" ht="15" hidden="false" customHeight="false" outlineLevel="0" collapsed="false">
      <c r="A3931" s="0" t="s">
        <v>809</v>
      </c>
      <c r="B3931" s="0" t="s">
        <v>113</v>
      </c>
      <c r="C3931" s="0" t="s">
        <v>114</v>
      </c>
      <c r="D3931" s="0" t="n">
        <v>2</v>
      </c>
      <c r="E3931" s="2" t="n">
        <v>40883.4784722222</v>
      </c>
      <c r="F3931" s="0" t="n">
        <v>3.57</v>
      </c>
      <c r="G3931" s="0" t="n">
        <v>17907</v>
      </c>
      <c r="H3931" s="3" t="s">
        <v>120</v>
      </c>
      <c r="I3931" s="4" t="n">
        <f aca="false">D3931*F3931</f>
        <v>7.14</v>
      </c>
      <c r="J3931" s="3" t="n">
        <f aca="false">IF(AND(LEFT(A3931,1)&lt;&gt;"C",D3931&gt;0,F3931&gt;0),1,0)</f>
        <v>1</v>
      </c>
      <c r="K3931" s="3" t="n">
        <f aca="false">IF(AND(H3931="United Kingdom",G3931&lt;&gt;"",COUNTIFS($G$2:G3931,G3931,$H$2:H3931,"United Kingdom")=1),1,0)</f>
        <v>0</v>
      </c>
    </row>
    <row r="3932" customFormat="false" ht="15" hidden="false" customHeight="false" outlineLevel="0" collapsed="false">
      <c r="A3932" s="0" t="s">
        <v>809</v>
      </c>
      <c r="B3932" s="0" t="s">
        <v>80</v>
      </c>
      <c r="C3932" s="0" t="s">
        <v>81</v>
      </c>
      <c r="D3932" s="0" t="n">
        <v>1</v>
      </c>
      <c r="E3932" s="2" t="n">
        <v>40883.4784722222</v>
      </c>
      <c r="F3932" s="0" t="n">
        <v>1.53</v>
      </c>
      <c r="G3932" s="0" t="n">
        <v>17907</v>
      </c>
      <c r="H3932" s="3" t="s">
        <v>120</v>
      </c>
      <c r="I3932" s="4" t="n">
        <f aca="false">D3932*F3932</f>
        <v>1.53</v>
      </c>
      <c r="J3932" s="3" t="n">
        <f aca="false">IF(AND(LEFT(A3932,1)&lt;&gt;"C",D3932&gt;0,F3932&gt;0),1,0)</f>
        <v>1</v>
      </c>
      <c r="K3932" s="3" t="n">
        <f aca="false">IF(AND(H3932="United Kingdom",G3932&lt;&gt;"",COUNTIFS($G$2:G3932,G3932,$H$2:H3932,"United Kingdom")=1),1,0)</f>
        <v>0</v>
      </c>
    </row>
    <row r="3933" customFormat="false" ht="15" hidden="false" customHeight="false" outlineLevel="0" collapsed="false">
      <c r="A3933" s="0" t="s">
        <v>809</v>
      </c>
      <c r="B3933" s="0" t="s">
        <v>27</v>
      </c>
      <c r="C3933" s="0" t="s">
        <v>28</v>
      </c>
      <c r="D3933" s="0" t="n">
        <v>7</v>
      </c>
      <c r="E3933" s="2" t="n">
        <v>40883.4784722222</v>
      </c>
      <c r="F3933" s="0" t="n">
        <v>4.55</v>
      </c>
      <c r="G3933" s="0" t="n">
        <v>17907</v>
      </c>
      <c r="H3933" s="3" t="s">
        <v>120</v>
      </c>
      <c r="I3933" s="4" t="n">
        <f aca="false">D3933*F3933</f>
        <v>31.85</v>
      </c>
      <c r="J3933" s="3" t="n">
        <f aca="false">IF(AND(LEFT(A3933,1)&lt;&gt;"C",D3933&gt;0,F3933&gt;0),1,0)</f>
        <v>1</v>
      </c>
      <c r="K3933" s="3" t="n">
        <f aca="false">IF(AND(H3933="United Kingdom",G3933&lt;&gt;"",COUNTIFS($G$2:G3933,G3933,$H$2:H3933,"United Kingdom")=1),1,0)</f>
        <v>0</v>
      </c>
    </row>
    <row r="3934" customFormat="false" ht="15" hidden="false" customHeight="false" outlineLevel="0" collapsed="false">
      <c r="A3934" s="0" t="s">
        <v>809</v>
      </c>
      <c r="B3934" s="0" t="s">
        <v>20</v>
      </c>
      <c r="C3934" s="0" t="s">
        <v>21</v>
      </c>
      <c r="D3934" s="0" t="n">
        <v>20</v>
      </c>
      <c r="E3934" s="2" t="n">
        <v>40883.4784722222</v>
      </c>
      <c r="F3934" s="0" t="n">
        <v>4.24</v>
      </c>
      <c r="G3934" s="0" t="n">
        <v>17907</v>
      </c>
      <c r="H3934" s="3" t="s">
        <v>120</v>
      </c>
      <c r="I3934" s="4" t="n">
        <f aca="false">D3934*F3934</f>
        <v>84.8</v>
      </c>
      <c r="J3934" s="3" t="n">
        <f aca="false">IF(AND(LEFT(A3934,1)&lt;&gt;"C",D3934&gt;0,F3934&gt;0),1,0)</f>
        <v>1</v>
      </c>
      <c r="K3934" s="3" t="n">
        <f aca="false">IF(AND(H3934="United Kingdom",G3934&lt;&gt;"",COUNTIFS($G$2:G3934,G3934,$H$2:H3934,"United Kingdom")=1),1,0)</f>
        <v>0</v>
      </c>
    </row>
    <row r="3935" customFormat="false" ht="15" hidden="false" customHeight="false" outlineLevel="0" collapsed="false">
      <c r="A3935" s="0" t="s">
        <v>809</v>
      </c>
      <c r="B3935" s="0" t="s">
        <v>72</v>
      </c>
      <c r="C3935" s="0" t="s">
        <v>73</v>
      </c>
      <c r="D3935" s="0" t="n">
        <v>3</v>
      </c>
      <c r="E3935" s="2" t="n">
        <v>40883.4784722222</v>
      </c>
      <c r="F3935" s="0" t="n">
        <v>2.69</v>
      </c>
      <c r="G3935" s="0" t="n">
        <v>17907</v>
      </c>
      <c r="H3935" s="3" t="s">
        <v>120</v>
      </c>
      <c r="I3935" s="4" t="n">
        <f aca="false">D3935*F3935</f>
        <v>8.07</v>
      </c>
      <c r="J3935" s="3" t="n">
        <f aca="false">IF(AND(LEFT(A3935,1)&lt;&gt;"C",D3935&gt;0,F3935&gt;0),1,0)</f>
        <v>1</v>
      </c>
      <c r="K3935" s="3" t="n">
        <f aca="false">IF(AND(H3935="United Kingdom",G3935&lt;&gt;"",COUNTIFS($G$2:G3935,G3935,$H$2:H3935,"United Kingdom")=1),1,0)</f>
        <v>0</v>
      </c>
    </row>
    <row r="3936" customFormat="false" ht="15" hidden="false" customHeight="false" outlineLevel="0" collapsed="false">
      <c r="A3936" s="0" t="s">
        <v>809</v>
      </c>
      <c r="B3936" s="0" t="s">
        <v>39</v>
      </c>
      <c r="C3936" s="0" t="s">
        <v>40</v>
      </c>
      <c r="D3936" s="0" t="n">
        <v>1</v>
      </c>
      <c r="E3936" s="2" t="n">
        <v>40883.4784722222</v>
      </c>
      <c r="F3936" s="0" t="n">
        <v>2.58</v>
      </c>
      <c r="G3936" s="0" t="n">
        <v>17907</v>
      </c>
      <c r="H3936" s="3" t="s">
        <v>120</v>
      </c>
      <c r="I3936" s="4" t="n">
        <f aca="false">D3936*F3936</f>
        <v>2.58</v>
      </c>
      <c r="J3936" s="3" t="n">
        <f aca="false">IF(AND(LEFT(A3936,1)&lt;&gt;"C",D3936&gt;0,F3936&gt;0),1,0)</f>
        <v>1</v>
      </c>
      <c r="K3936" s="3" t="n">
        <f aca="false">IF(AND(H3936="United Kingdom",G3936&lt;&gt;"",COUNTIFS($G$2:G3936,G3936,$H$2:H3936,"United Kingdom")=1),1,0)</f>
        <v>0</v>
      </c>
    </row>
    <row r="3937" customFormat="false" ht="15" hidden="false" customHeight="false" outlineLevel="0" collapsed="false">
      <c r="A3937" s="0" t="s">
        <v>809</v>
      </c>
      <c r="B3937" s="0" t="s">
        <v>58</v>
      </c>
      <c r="C3937" s="0" t="s">
        <v>59</v>
      </c>
      <c r="D3937" s="0" t="n">
        <v>2</v>
      </c>
      <c r="E3937" s="2" t="n">
        <v>40883.4784722222</v>
      </c>
      <c r="F3937" s="0" t="n">
        <v>2.16</v>
      </c>
      <c r="G3937" s="0" t="n">
        <v>17907</v>
      </c>
      <c r="H3937" s="3" t="s">
        <v>120</v>
      </c>
      <c r="I3937" s="4" t="n">
        <f aca="false">D3937*F3937</f>
        <v>4.32</v>
      </c>
      <c r="J3937" s="3" t="n">
        <f aca="false">IF(AND(LEFT(A3937,1)&lt;&gt;"C",D3937&gt;0,F3937&gt;0),1,0)</f>
        <v>1</v>
      </c>
      <c r="K3937" s="3" t="n">
        <f aca="false">IF(AND(H3937="United Kingdom",G3937&lt;&gt;"",COUNTIFS($G$2:G3937,G3937,$H$2:H3937,"United Kingdom")=1),1,0)</f>
        <v>0</v>
      </c>
    </row>
    <row r="3938" customFormat="false" ht="15" hidden="false" customHeight="false" outlineLevel="0" collapsed="false">
      <c r="A3938" s="0" t="s">
        <v>809</v>
      </c>
      <c r="B3938" s="0" t="s">
        <v>68</v>
      </c>
      <c r="C3938" s="0" t="s">
        <v>69</v>
      </c>
      <c r="D3938" s="0" t="n">
        <v>15</v>
      </c>
      <c r="E3938" s="2" t="n">
        <v>40883.4784722222</v>
      </c>
      <c r="F3938" s="0" t="n">
        <v>1.26</v>
      </c>
      <c r="G3938" s="0" t="n">
        <v>17907</v>
      </c>
      <c r="H3938" s="3" t="s">
        <v>120</v>
      </c>
      <c r="I3938" s="4" t="n">
        <f aca="false">D3938*F3938</f>
        <v>18.9</v>
      </c>
      <c r="J3938" s="3" t="n">
        <f aca="false">IF(AND(LEFT(A3938,1)&lt;&gt;"C",D3938&gt;0,F3938&gt;0),1,0)</f>
        <v>1</v>
      </c>
      <c r="K3938" s="3" t="n">
        <f aca="false">IF(AND(H3938="United Kingdom",G3938&lt;&gt;"",COUNTIFS($G$2:G3938,G3938,$H$2:H3938,"United Kingdom")=1),1,0)</f>
        <v>0</v>
      </c>
    </row>
    <row r="3939" customFormat="false" ht="15" hidden="false" customHeight="false" outlineLevel="0" collapsed="false">
      <c r="A3939" s="0" t="s">
        <v>809</v>
      </c>
      <c r="B3939" s="0" t="s">
        <v>17</v>
      </c>
      <c r="C3939" s="0" t="s">
        <v>18</v>
      </c>
      <c r="D3939" s="0" t="n">
        <v>2</v>
      </c>
      <c r="E3939" s="2" t="n">
        <v>40883.4784722222</v>
      </c>
      <c r="F3939" s="0" t="n">
        <v>1.92</v>
      </c>
      <c r="G3939" s="0" t="n">
        <v>17907</v>
      </c>
      <c r="H3939" s="3" t="s">
        <v>120</v>
      </c>
      <c r="I3939" s="4" t="n">
        <f aca="false">D3939*F3939</f>
        <v>3.84</v>
      </c>
      <c r="J3939" s="3" t="n">
        <f aca="false">IF(AND(LEFT(A3939,1)&lt;&gt;"C",D3939&gt;0,F3939&gt;0),1,0)</f>
        <v>1</v>
      </c>
      <c r="K3939" s="3" t="n">
        <f aca="false">IF(AND(H3939="United Kingdom",G3939&lt;&gt;"",COUNTIFS($G$2:G3939,G3939,$H$2:H3939,"United Kingdom")=1),1,0)</f>
        <v>0</v>
      </c>
    </row>
    <row r="3940" customFormat="false" ht="15" hidden="false" customHeight="false" outlineLevel="0" collapsed="false">
      <c r="A3940" s="0" t="s">
        <v>809</v>
      </c>
      <c r="B3940" s="0" t="s">
        <v>50</v>
      </c>
      <c r="C3940" s="0" t="s">
        <v>51</v>
      </c>
      <c r="D3940" s="0" t="n">
        <v>2</v>
      </c>
      <c r="E3940" s="2" t="n">
        <v>40883.4784722222</v>
      </c>
      <c r="F3940" s="0" t="n">
        <v>5.41</v>
      </c>
      <c r="G3940" s="0" t="n">
        <v>17907</v>
      </c>
      <c r="H3940" s="3" t="s">
        <v>120</v>
      </c>
      <c r="I3940" s="4" t="n">
        <f aca="false">D3940*F3940</f>
        <v>10.82</v>
      </c>
      <c r="J3940" s="3" t="n">
        <f aca="false">IF(AND(LEFT(A3940,1)&lt;&gt;"C",D3940&gt;0,F3940&gt;0),1,0)</f>
        <v>1</v>
      </c>
      <c r="K3940" s="3" t="n">
        <f aca="false">IF(AND(H3940="United Kingdom",G3940&lt;&gt;"",COUNTIFS($G$2:G3940,G3940,$H$2:H3940,"United Kingdom")=1),1,0)</f>
        <v>0</v>
      </c>
    </row>
    <row r="3941" customFormat="false" ht="15" hidden="false" customHeight="false" outlineLevel="0" collapsed="false">
      <c r="A3941" s="0" t="s">
        <v>809</v>
      </c>
      <c r="B3941" s="0" t="s">
        <v>65</v>
      </c>
      <c r="C3941" s="0" t="s">
        <v>66</v>
      </c>
      <c r="D3941" s="0" t="n">
        <v>1</v>
      </c>
      <c r="E3941" s="2" t="n">
        <v>40883.4784722222</v>
      </c>
      <c r="F3941" s="0" t="n">
        <v>4.75</v>
      </c>
      <c r="G3941" s="0" t="n">
        <v>17907</v>
      </c>
      <c r="H3941" s="3" t="s">
        <v>120</v>
      </c>
      <c r="I3941" s="4" t="n">
        <f aca="false">D3941*F3941</f>
        <v>4.75</v>
      </c>
      <c r="J3941" s="3" t="n">
        <f aca="false">IF(AND(LEFT(A3941,1)&lt;&gt;"C",D3941&gt;0,F3941&gt;0),1,0)</f>
        <v>1</v>
      </c>
      <c r="K3941" s="3" t="n">
        <f aca="false">IF(AND(H3941="United Kingdom",G3941&lt;&gt;"",COUNTIFS($G$2:G3941,G3941,$H$2:H3941,"United Kingdom")=1),1,0)</f>
        <v>0</v>
      </c>
    </row>
    <row r="3942" customFormat="false" ht="15" hidden="false" customHeight="false" outlineLevel="0" collapsed="false">
      <c r="A3942" s="0" t="s">
        <v>809</v>
      </c>
      <c r="B3942" s="0" t="s">
        <v>60</v>
      </c>
      <c r="C3942" s="0" t="s">
        <v>61</v>
      </c>
      <c r="D3942" s="0" t="n">
        <v>15</v>
      </c>
      <c r="E3942" s="2" t="n">
        <v>40883.4784722222</v>
      </c>
      <c r="F3942" s="0" t="n">
        <v>0.63</v>
      </c>
      <c r="G3942" s="0" t="n">
        <v>17907</v>
      </c>
      <c r="H3942" s="3" t="s">
        <v>120</v>
      </c>
      <c r="I3942" s="4" t="n">
        <f aca="false">D3942*F3942</f>
        <v>9.45</v>
      </c>
      <c r="J3942" s="3" t="n">
        <f aca="false">IF(AND(LEFT(A3942,1)&lt;&gt;"C",D3942&gt;0,F3942&gt;0),1,0)</f>
        <v>1</v>
      </c>
      <c r="K3942" s="3" t="n">
        <f aca="false">IF(AND(H3942="United Kingdom",G3942&lt;&gt;"",COUNTIFS($G$2:G3942,G3942,$H$2:H3942,"United Kingdom")=1),1,0)</f>
        <v>0</v>
      </c>
    </row>
    <row r="3943" customFormat="false" ht="15" hidden="false" customHeight="false" outlineLevel="0" collapsed="false">
      <c r="A3943" s="0" t="s">
        <v>809</v>
      </c>
      <c r="B3943" s="0" t="s">
        <v>43</v>
      </c>
      <c r="C3943" s="0" t="s">
        <v>44</v>
      </c>
      <c r="D3943" s="0" t="n">
        <v>3</v>
      </c>
      <c r="E3943" s="2" t="n">
        <v>40883.4784722222</v>
      </c>
      <c r="F3943" s="0" t="n">
        <v>1.35</v>
      </c>
      <c r="G3943" s="0" t="n">
        <v>17907</v>
      </c>
      <c r="H3943" s="3" t="s">
        <v>120</v>
      </c>
      <c r="I3943" s="4" t="n">
        <f aca="false">D3943*F3943</f>
        <v>4.05</v>
      </c>
      <c r="J3943" s="3" t="n">
        <f aca="false">IF(AND(LEFT(A3943,1)&lt;&gt;"C",D3943&gt;0,F3943&gt;0),1,0)</f>
        <v>1</v>
      </c>
      <c r="K3943" s="3" t="n">
        <f aca="false">IF(AND(H3943="United Kingdom",G3943&lt;&gt;"",COUNTIFS($G$2:G3943,G3943,$H$2:H3943,"United Kingdom")=1),1,0)</f>
        <v>0</v>
      </c>
    </row>
    <row r="3944" customFormat="false" ht="15" hidden="false" customHeight="false" outlineLevel="0" collapsed="false">
      <c r="A3944" s="0" t="s">
        <v>809</v>
      </c>
      <c r="B3944" s="0" t="s">
        <v>90</v>
      </c>
      <c r="C3944" s="0" t="s">
        <v>91</v>
      </c>
      <c r="D3944" s="0" t="n">
        <v>2</v>
      </c>
      <c r="E3944" s="2" t="n">
        <v>40883.4784722222</v>
      </c>
      <c r="F3944" s="0" t="n">
        <v>3.04</v>
      </c>
      <c r="G3944" s="0" t="n">
        <v>17907</v>
      </c>
      <c r="H3944" s="3" t="s">
        <v>120</v>
      </c>
      <c r="I3944" s="4" t="n">
        <f aca="false">D3944*F3944</f>
        <v>6.08</v>
      </c>
      <c r="J3944" s="3" t="n">
        <f aca="false">IF(AND(LEFT(A3944,1)&lt;&gt;"C",D3944&gt;0,F3944&gt;0),1,0)</f>
        <v>1</v>
      </c>
      <c r="K3944" s="3" t="n">
        <f aca="false">IF(AND(H3944="United Kingdom",G3944&lt;&gt;"",COUNTIFS($G$2:G3944,G3944,$H$2:H3944,"United Kingdom")=1),1,0)</f>
        <v>0</v>
      </c>
    </row>
    <row r="3945" customFormat="false" ht="15" hidden="false" customHeight="false" outlineLevel="0" collapsed="false">
      <c r="A3945" s="0" t="s">
        <v>809</v>
      </c>
      <c r="B3945" s="0" t="s">
        <v>48</v>
      </c>
      <c r="C3945" s="0" t="s">
        <v>49</v>
      </c>
      <c r="D3945" s="0" t="n">
        <v>2</v>
      </c>
      <c r="E3945" s="2" t="n">
        <v>40883.4784722222</v>
      </c>
      <c r="F3945" s="0" t="n">
        <v>1.35</v>
      </c>
      <c r="G3945" s="0" t="n">
        <v>17907</v>
      </c>
      <c r="H3945" s="3" t="s">
        <v>120</v>
      </c>
      <c r="I3945" s="4" t="n">
        <f aca="false">D3945*F3945</f>
        <v>2.7</v>
      </c>
      <c r="J3945" s="3" t="n">
        <f aca="false">IF(AND(LEFT(A3945,1)&lt;&gt;"C",D3945&gt;0,F3945&gt;0),1,0)</f>
        <v>1</v>
      </c>
      <c r="K3945" s="3" t="n">
        <f aca="false">IF(AND(H3945="United Kingdom",G3945&lt;&gt;"",COUNTIFS($G$2:G3945,G3945,$H$2:H3945,"United Kingdom")=1),1,0)</f>
        <v>0</v>
      </c>
    </row>
    <row r="3946" customFormat="false" ht="15" hidden="false" customHeight="false" outlineLevel="0" collapsed="false">
      <c r="A3946" s="0" t="s">
        <v>810</v>
      </c>
      <c r="B3946" s="0" t="s">
        <v>50</v>
      </c>
      <c r="C3946" s="0" t="s">
        <v>51</v>
      </c>
      <c r="D3946" s="0" t="n">
        <v>6</v>
      </c>
      <c r="E3946" s="2" t="n">
        <v>40883.5638888889</v>
      </c>
      <c r="F3946" s="0" t="n">
        <v>5.41</v>
      </c>
      <c r="G3946" s="0" t="n">
        <v>13161</v>
      </c>
      <c r="H3946" s="3" t="s">
        <v>14</v>
      </c>
      <c r="I3946" s="4" t="n">
        <f aca="false">D3946*F3946</f>
        <v>32.46</v>
      </c>
      <c r="J3946" s="3" t="n">
        <f aca="false">IF(AND(LEFT(A3946,1)&lt;&gt;"C",D3946&gt;0,F3946&gt;0),1,0)</f>
        <v>1</v>
      </c>
      <c r="K3946" s="3" t="n">
        <f aca="false">IF(AND(H3946="United Kingdom",G3946&lt;&gt;"",COUNTIFS($G$2:G3946,G3946,$H$2:H3946,"United Kingdom")=1),1,0)</f>
        <v>0</v>
      </c>
    </row>
    <row r="3947" customFormat="false" ht="15" hidden="false" customHeight="false" outlineLevel="0" collapsed="false">
      <c r="A3947" s="0" t="s">
        <v>810</v>
      </c>
      <c r="B3947" s="0" t="s">
        <v>41</v>
      </c>
      <c r="C3947" s="0" t="s">
        <v>42</v>
      </c>
      <c r="D3947" s="0" t="n">
        <v>3</v>
      </c>
      <c r="E3947" s="2" t="n">
        <v>40883.5638888889</v>
      </c>
      <c r="F3947" s="0" t="n">
        <v>3.28</v>
      </c>
      <c r="G3947" s="0" t="n">
        <v>13161</v>
      </c>
      <c r="H3947" s="3" t="s">
        <v>14</v>
      </c>
      <c r="I3947" s="4" t="n">
        <f aca="false">D3947*F3947</f>
        <v>9.84</v>
      </c>
      <c r="J3947" s="3" t="n">
        <f aca="false">IF(AND(LEFT(A3947,1)&lt;&gt;"C",D3947&gt;0,F3947&gt;0),1,0)</f>
        <v>1</v>
      </c>
      <c r="K3947" s="3" t="n">
        <f aca="false">IF(AND(H3947="United Kingdom",G3947&lt;&gt;"",COUNTIFS($G$2:G3947,G3947,$H$2:H3947,"United Kingdom")=1),1,0)</f>
        <v>0</v>
      </c>
    </row>
    <row r="3948" customFormat="false" ht="15" hidden="false" customHeight="false" outlineLevel="0" collapsed="false">
      <c r="A3948" s="0" t="s">
        <v>810</v>
      </c>
      <c r="B3948" s="0" t="s">
        <v>45</v>
      </c>
      <c r="C3948" s="0" t="s">
        <v>46</v>
      </c>
      <c r="D3948" s="0" t="n">
        <v>24</v>
      </c>
      <c r="E3948" s="2" t="n">
        <v>40883.5638888889</v>
      </c>
      <c r="F3948" s="0" t="n">
        <v>4.55</v>
      </c>
      <c r="G3948" s="0" t="n">
        <v>13161</v>
      </c>
      <c r="H3948" s="3" t="s">
        <v>14</v>
      </c>
      <c r="I3948" s="4" t="n">
        <f aca="false">D3948*F3948</f>
        <v>109.2</v>
      </c>
      <c r="J3948" s="3" t="n">
        <f aca="false">IF(AND(LEFT(A3948,1)&lt;&gt;"C",D3948&gt;0,F3948&gt;0),1,0)</f>
        <v>1</v>
      </c>
      <c r="K3948" s="3" t="n">
        <f aca="false">IF(AND(H3948="United Kingdom",G3948&lt;&gt;"",COUNTIFS($G$2:G3948,G3948,$H$2:H3948,"United Kingdom")=1),1,0)</f>
        <v>0</v>
      </c>
    </row>
    <row r="3949" customFormat="false" ht="15" hidden="false" customHeight="false" outlineLevel="0" collapsed="false">
      <c r="A3949" s="0" t="s">
        <v>810</v>
      </c>
      <c r="B3949" s="0" t="s">
        <v>12</v>
      </c>
      <c r="C3949" s="0" t="s">
        <v>13</v>
      </c>
      <c r="D3949" s="0" t="n">
        <v>6</v>
      </c>
      <c r="E3949" s="2" t="n">
        <v>40883.5638888889</v>
      </c>
      <c r="F3949" s="0" t="n">
        <v>3.33</v>
      </c>
      <c r="G3949" s="0" t="n">
        <v>13161</v>
      </c>
      <c r="H3949" s="3" t="s">
        <v>14</v>
      </c>
      <c r="I3949" s="4" t="n">
        <f aca="false">D3949*F3949</f>
        <v>19.98</v>
      </c>
      <c r="J3949" s="3" t="n">
        <f aca="false">IF(AND(LEFT(A3949,1)&lt;&gt;"C",D3949&gt;0,F3949&gt;0),1,0)</f>
        <v>1</v>
      </c>
      <c r="K3949" s="3" t="n">
        <f aca="false">IF(AND(H3949="United Kingdom",G3949&lt;&gt;"",COUNTIFS($G$2:G3949,G3949,$H$2:H3949,"United Kingdom")=1),1,0)</f>
        <v>0</v>
      </c>
    </row>
    <row r="3950" customFormat="false" ht="15" hidden="false" customHeight="false" outlineLevel="0" collapsed="false">
      <c r="A3950" s="0" t="s">
        <v>810</v>
      </c>
      <c r="B3950" s="0" t="s">
        <v>90</v>
      </c>
      <c r="C3950" s="0" t="s">
        <v>91</v>
      </c>
      <c r="D3950" s="0" t="n">
        <v>24</v>
      </c>
      <c r="E3950" s="2" t="n">
        <v>40883.5638888889</v>
      </c>
      <c r="F3950" s="0" t="n">
        <v>3.04</v>
      </c>
      <c r="G3950" s="0" t="n">
        <v>13161</v>
      </c>
      <c r="H3950" s="3" t="s">
        <v>14</v>
      </c>
      <c r="I3950" s="4" t="n">
        <f aca="false">D3950*F3950</f>
        <v>72.96</v>
      </c>
      <c r="J3950" s="3" t="n">
        <f aca="false">IF(AND(LEFT(A3950,1)&lt;&gt;"C",D3950&gt;0,F3950&gt;0),1,0)</f>
        <v>1</v>
      </c>
      <c r="K3950" s="3" t="n">
        <f aca="false">IF(AND(H3950="United Kingdom",G3950&lt;&gt;"",COUNTIFS($G$2:G3950,G3950,$H$2:H3950,"United Kingdom")=1),1,0)</f>
        <v>0</v>
      </c>
    </row>
    <row r="3951" customFormat="false" ht="15" hidden="false" customHeight="false" outlineLevel="0" collapsed="false">
      <c r="A3951" s="0" t="s">
        <v>810</v>
      </c>
      <c r="B3951" s="0" t="s">
        <v>52</v>
      </c>
      <c r="C3951" s="0" t="s">
        <v>53</v>
      </c>
      <c r="D3951" s="0" t="n">
        <v>6</v>
      </c>
      <c r="E3951" s="2" t="n">
        <v>40883.5638888889</v>
      </c>
      <c r="F3951" s="0" t="n">
        <v>4.16</v>
      </c>
      <c r="G3951" s="0" t="n">
        <v>13161</v>
      </c>
      <c r="H3951" s="3" t="s">
        <v>14</v>
      </c>
      <c r="I3951" s="4" t="n">
        <f aca="false">D3951*F3951</f>
        <v>24.96</v>
      </c>
      <c r="J3951" s="3" t="n">
        <f aca="false">IF(AND(LEFT(A3951,1)&lt;&gt;"C",D3951&gt;0,F3951&gt;0),1,0)</f>
        <v>1</v>
      </c>
      <c r="K3951" s="3" t="n">
        <f aca="false">IF(AND(H3951="United Kingdom",G3951&lt;&gt;"",COUNTIFS($G$2:G3951,G3951,$H$2:H3951,"United Kingdom")=1),1,0)</f>
        <v>0</v>
      </c>
    </row>
    <row r="3952" customFormat="false" ht="15" hidden="false" customHeight="false" outlineLevel="0" collapsed="false">
      <c r="A3952" s="0" t="s">
        <v>811</v>
      </c>
      <c r="B3952" s="0" t="s">
        <v>12</v>
      </c>
      <c r="C3952" s="0" t="s">
        <v>13</v>
      </c>
      <c r="D3952" s="0" t="n">
        <v>2</v>
      </c>
      <c r="E3952" s="2" t="n">
        <v>40884.5083333333</v>
      </c>
      <c r="F3952" s="0" t="n">
        <v>3.33</v>
      </c>
      <c r="G3952" s="0" t="n">
        <v>12535</v>
      </c>
      <c r="H3952" s="3" t="s">
        <v>120</v>
      </c>
      <c r="I3952" s="4" t="n">
        <f aca="false">D3952*F3952</f>
        <v>6.66</v>
      </c>
      <c r="J3952" s="3" t="n">
        <f aca="false">IF(AND(LEFT(A3952,1)&lt;&gt;"C",D3952&gt;0,F3952&gt;0),1,0)</f>
        <v>1</v>
      </c>
      <c r="K3952" s="3" t="n">
        <f aca="false">IF(AND(H3952="United Kingdom",G3952&lt;&gt;"",COUNTIFS($G$2:G3952,G3952,$H$2:H3952,"United Kingdom")=1),1,0)</f>
        <v>0</v>
      </c>
    </row>
    <row r="3953" customFormat="false" ht="15" hidden="false" customHeight="false" outlineLevel="0" collapsed="false">
      <c r="A3953" s="0" t="s">
        <v>811</v>
      </c>
      <c r="B3953" s="0" t="s">
        <v>50</v>
      </c>
      <c r="C3953" s="0" t="s">
        <v>51</v>
      </c>
      <c r="D3953" s="0" t="n">
        <v>7</v>
      </c>
      <c r="E3953" s="2" t="n">
        <v>40884.5083333333</v>
      </c>
      <c r="F3953" s="0" t="n">
        <v>5.41</v>
      </c>
      <c r="G3953" s="0" t="n">
        <v>12535</v>
      </c>
      <c r="H3953" s="3" t="s">
        <v>120</v>
      </c>
      <c r="I3953" s="4" t="n">
        <f aca="false">D3953*F3953</f>
        <v>37.87</v>
      </c>
      <c r="J3953" s="3" t="n">
        <f aca="false">IF(AND(LEFT(A3953,1)&lt;&gt;"C",D3953&gt;0,F3953&gt;0),1,0)</f>
        <v>1</v>
      </c>
      <c r="K3953" s="3" t="n">
        <f aca="false">IF(AND(H3953="United Kingdom",G3953&lt;&gt;"",COUNTIFS($G$2:G3953,G3953,$H$2:H3953,"United Kingdom")=1),1,0)</f>
        <v>0</v>
      </c>
    </row>
    <row r="3954" customFormat="false" ht="15" hidden="false" customHeight="false" outlineLevel="0" collapsed="false">
      <c r="A3954" s="0" t="s">
        <v>811</v>
      </c>
      <c r="B3954" s="0" t="s">
        <v>58</v>
      </c>
      <c r="C3954" s="0" t="s">
        <v>59</v>
      </c>
      <c r="D3954" s="0" t="n">
        <v>10</v>
      </c>
      <c r="E3954" s="2" t="n">
        <v>40884.5083333333</v>
      </c>
      <c r="F3954" s="0" t="n">
        <v>2.16</v>
      </c>
      <c r="G3954" s="0" t="n">
        <v>12535</v>
      </c>
      <c r="H3954" s="3" t="s">
        <v>120</v>
      </c>
      <c r="I3954" s="4" t="n">
        <f aca="false">D3954*F3954</f>
        <v>21.6</v>
      </c>
      <c r="J3954" s="3" t="n">
        <f aca="false">IF(AND(LEFT(A3954,1)&lt;&gt;"C",D3954&gt;0,F3954&gt;0),1,0)</f>
        <v>1</v>
      </c>
      <c r="K3954" s="3" t="n">
        <f aca="false">IF(AND(H3954="United Kingdom",G3954&lt;&gt;"",COUNTIFS($G$2:G3954,G3954,$H$2:H3954,"United Kingdom")=1),1,0)</f>
        <v>0</v>
      </c>
    </row>
    <row r="3955" customFormat="false" ht="15" hidden="false" customHeight="false" outlineLevel="0" collapsed="false">
      <c r="A3955" s="0" t="s">
        <v>812</v>
      </c>
      <c r="B3955" s="0" t="s">
        <v>113</v>
      </c>
      <c r="C3955" s="0" t="s">
        <v>114</v>
      </c>
      <c r="D3955" s="0" t="n">
        <v>4</v>
      </c>
      <c r="E3955" s="2" t="n">
        <v>40884.6625</v>
      </c>
      <c r="F3955" s="0" t="n">
        <v>3.57</v>
      </c>
      <c r="G3955" s="0" t="n">
        <v>13016</v>
      </c>
      <c r="H3955" s="3" t="s">
        <v>14</v>
      </c>
      <c r="I3955" s="4" t="n">
        <f aca="false">D3955*F3955</f>
        <v>14.28</v>
      </c>
      <c r="J3955" s="3" t="n">
        <f aca="false">IF(AND(LEFT(A3955,1)&lt;&gt;"C",D3955&gt;0,F3955&gt;0),1,0)</f>
        <v>1</v>
      </c>
      <c r="K3955" s="3" t="n">
        <f aca="false">IF(AND(H3955="United Kingdom",G3955&lt;&gt;"",COUNTIFS($G$2:G3955,G3955,$H$2:H3955,"United Kingdom")=1),1,0)</f>
        <v>0</v>
      </c>
    </row>
    <row r="3956" customFormat="false" ht="15" hidden="false" customHeight="false" outlineLevel="0" collapsed="false">
      <c r="A3956" s="0" t="s">
        <v>812</v>
      </c>
      <c r="B3956" s="0" t="s">
        <v>29</v>
      </c>
      <c r="C3956" s="0" t="s">
        <v>30</v>
      </c>
      <c r="D3956" s="0" t="n">
        <v>24</v>
      </c>
      <c r="E3956" s="2" t="n">
        <v>40884.6625</v>
      </c>
      <c r="F3956" s="0" t="n">
        <v>5.79</v>
      </c>
      <c r="G3956" s="0" t="n">
        <v>13016</v>
      </c>
      <c r="H3956" s="3" t="s">
        <v>14</v>
      </c>
      <c r="I3956" s="4" t="n">
        <f aca="false">D3956*F3956</f>
        <v>138.96</v>
      </c>
      <c r="J3956" s="3" t="n">
        <f aca="false">IF(AND(LEFT(A3956,1)&lt;&gt;"C",D3956&gt;0,F3956&gt;0),1,0)</f>
        <v>1</v>
      </c>
      <c r="K3956" s="3" t="n">
        <f aca="false">IF(AND(H3956="United Kingdom",G3956&lt;&gt;"",COUNTIFS($G$2:G3956,G3956,$H$2:H3956,"United Kingdom")=1),1,0)</f>
        <v>0</v>
      </c>
    </row>
    <row r="3957" customFormat="false" ht="15" hidden="false" customHeight="false" outlineLevel="0" collapsed="false">
      <c r="A3957" s="0" t="s">
        <v>812</v>
      </c>
      <c r="B3957" s="0" t="s">
        <v>60</v>
      </c>
      <c r="C3957" s="0" t="s">
        <v>61</v>
      </c>
      <c r="D3957" s="0" t="n">
        <v>4</v>
      </c>
      <c r="E3957" s="2" t="n">
        <v>40884.6625</v>
      </c>
      <c r="F3957" s="0" t="n">
        <v>0.63</v>
      </c>
      <c r="G3957" s="0" t="n">
        <v>13016</v>
      </c>
      <c r="H3957" s="3" t="s">
        <v>14</v>
      </c>
      <c r="I3957" s="4" t="n">
        <f aca="false">D3957*F3957</f>
        <v>2.52</v>
      </c>
      <c r="J3957" s="3" t="n">
        <f aca="false">IF(AND(LEFT(A3957,1)&lt;&gt;"C",D3957&gt;0,F3957&gt;0),1,0)</f>
        <v>1</v>
      </c>
      <c r="K3957" s="3" t="n">
        <f aca="false">IF(AND(H3957="United Kingdom",G3957&lt;&gt;"",COUNTIFS($G$2:G3957,G3957,$H$2:H3957,"United Kingdom")=1),1,0)</f>
        <v>0</v>
      </c>
    </row>
    <row r="3958" customFormat="false" ht="15" hidden="false" customHeight="false" outlineLevel="0" collapsed="false">
      <c r="A3958" s="0" t="s">
        <v>812</v>
      </c>
      <c r="B3958" s="0" t="s">
        <v>77</v>
      </c>
      <c r="C3958" s="0" t="s">
        <v>78</v>
      </c>
      <c r="D3958" s="0" t="n">
        <v>1</v>
      </c>
      <c r="E3958" s="2" t="n">
        <v>40884.6625</v>
      </c>
      <c r="F3958" s="0" t="n">
        <v>3.41</v>
      </c>
      <c r="G3958" s="0" t="n">
        <v>13016</v>
      </c>
      <c r="H3958" s="3" t="s">
        <v>14</v>
      </c>
      <c r="I3958" s="4" t="n">
        <f aca="false">D3958*F3958</f>
        <v>3.41</v>
      </c>
      <c r="J3958" s="3" t="n">
        <f aca="false">IF(AND(LEFT(A3958,1)&lt;&gt;"C",D3958&gt;0,F3958&gt;0),1,0)</f>
        <v>1</v>
      </c>
      <c r="K3958" s="3" t="n">
        <f aca="false">IF(AND(H3958="United Kingdom",G3958&lt;&gt;"",COUNTIFS($G$2:G3958,G3958,$H$2:H3958,"United Kingdom")=1),1,0)</f>
        <v>0</v>
      </c>
    </row>
    <row r="3959" customFormat="false" ht="15" hidden="false" customHeight="false" outlineLevel="0" collapsed="false">
      <c r="A3959" s="0" t="s">
        <v>812</v>
      </c>
      <c r="B3959" s="0" t="s">
        <v>39</v>
      </c>
      <c r="C3959" s="0" t="s">
        <v>40</v>
      </c>
      <c r="D3959" s="0" t="n">
        <v>8</v>
      </c>
      <c r="E3959" s="2" t="n">
        <v>40884.6625</v>
      </c>
      <c r="F3959" s="0" t="n">
        <v>2.58</v>
      </c>
      <c r="G3959" s="0" t="n">
        <v>13016</v>
      </c>
      <c r="H3959" s="3" t="s">
        <v>14</v>
      </c>
      <c r="I3959" s="4" t="n">
        <f aca="false">D3959*F3959</f>
        <v>20.64</v>
      </c>
      <c r="J3959" s="3" t="n">
        <f aca="false">IF(AND(LEFT(A3959,1)&lt;&gt;"C",D3959&gt;0,F3959&gt;0),1,0)</f>
        <v>1</v>
      </c>
      <c r="K3959" s="3" t="n">
        <f aca="false">IF(AND(H3959="United Kingdom",G3959&lt;&gt;"",COUNTIFS($G$2:G3959,G3959,$H$2:H3959,"United Kingdom")=1),1,0)</f>
        <v>0</v>
      </c>
    </row>
    <row r="3960" customFormat="false" ht="15" hidden="false" customHeight="false" outlineLevel="0" collapsed="false">
      <c r="A3960" s="0" t="s">
        <v>813</v>
      </c>
      <c r="B3960" s="0" t="s">
        <v>27</v>
      </c>
      <c r="C3960" s="0" t="s">
        <v>28</v>
      </c>
      <c r="D3960" s="0" t="n">
        <v>4</v>
      </c>
      <c r="E3960" s="2" t="n">
        <v>40885.5180555556</v>
      </c>
      <c r="F3960" s="0" t="n">
        <v>4.55</v>
      </c>
      <c r="G3960" s="0" t="n">
        <v>17811</v>
      </c>
      <c r="H3960" s="3" t="s">
        <v>14</v>
      </c>
      <c r="I3960" s="4" t="n">
        <f aca="false">D3960*F3960</f>
        <v>18.2</v>
      </c>
      <c r="J3960" s="3" t="n">
        <f aca="false">IF(AND(LEFT(A3960,1)&lt;&gt;"C",D3960&gt;0,F3960&gt;0),1,0)</f>
        <v>1</v>
      </c>
      <c r="K3960" s="3" t="n">
        <f aca="false">IF(AND(H3960="United Kingdom",G3960&lt;&gt;"",COUNTIFS($G$2:G3960,G3960,$H$2:H3960,"United Kingdom")=1),1,0)</f>
        <v>0</v>
      </c>
    </row>
    <row r="3961" customFormat="false" ht="15" hidden="false" customHeight="false" outlineLevel="0" collapsed="false">
      <c r="A3961" s="0" t="s">
        <v>813</v>
      </c>
      <c r="B3961" s="0" t="s">
        <v>50</v>
      </c>
      <c r="C3961" s="0" t="s">
        <v>51</v>
      </c>
      <c r="D3961" s="0" t="n">
        <v>4</v>
      </c>
      <c r="E3961" s="2" t="n">
        <v>40885.5180555556</v>
      </c>
      <c r="F3961" s="0" t="n">
        <v>5.41</v>
      </c>
      <c r="G3961" s="0" t="n">
        <v>17811</v>
      </c>
      <c r="H3961" s="3" t="s">
        <v>14</v>
      </c>
      <c r="I3961" s="4" t="n">
        <f aca="false">D3961*F3961</f>
        <v>21.64</v>
      </c>
      <c r="J3961" s="3" t="n">
        <f aca="false">IF(AND(LEFT(A3961,1)&lt;&gt;"C",D3961&gt;0,F3961&gt;0),1,0)</f>
        <v>1</v>
      </c>
      <c r="K3961" s="3" t="n">
        <f aca="false">IF(AND(H3961="United Kingdom",G3961&lt;&gt;"",COUNTIFS($G$2:G3961,G3961,$H$2:H3961,"United Kingdom")=1),1,0)</f>
        <v>0</v>
      </c>
    </row>
    <row r="3962" customFormat="false" ht="15" hidden="false" customHeight="false" outlineLevel="0" collapsed="false">
      <c r="A3962" s="0" t="s">
        <v>813</v>
      </c>
      <c r="B3962" s="0" t="s">
        <v>54</v>
      </c>
      <c r="C3962" s="0" t="s">
        <v>55</v>
      </c>
      <c r="D3962" s="0" t="n">
        <v>24</v>
      </c>
      <c r="E3962" s="2" t="n">
        <v>40885.5180555556</v>
      </c>
      <c r="F3962" s="0" t="n">
        <v>0.99</v>
      </c>
      <c r="G3962" s="0" t="n">
        <v>17811</v>
      </c>
      <c r="H3962" s="3" t="s">
        <v>14</v>
      </c>
      <c r="I3962" s="4" t="n">
        <f aca="false">D3962*F3962</f>
        <v>23.76</v>
      </c>
      <c r="J3962" s="3" t="n">
        <f aca="false">IF(AND(LEFT(A3962,1)&lt;&gt;"C",D3962&gt;0,F3962&gt;0),1,0)</f>
        <v>1</v>
      </c>
      <c r="K3962" s="3" t="n">
        <f aca="false">IF(AND(H3962="United Kingdom",G3962&lt;&gt;"",COUNTIFS($G$2:G3962,G3962,$H$2:H3962,"United Kingdom")=1),1,0)</f>
        <v>0</v>
      </c>
    </row>
    <row r="3963" customFormat="false" ht="15" hidden="false" customHeight="false" outlineLevel="0" collapsed="false">
      <c r="A3963" s="0" t="s">
        <v>813</v>
      </c>
      <c r="B3963" s="0" t="s">
        <v>45</v>
      </c>
      <c r="C3963" s="0" t="s">
        <v>46</v>
      </c>
      <c r="D3963" s="0" t="n">
        <v>3</v>
      </c>
      <c r="E3963" s="2" t="n">
        <v>40885.5180555556</v>
      </c>
      <c r="F3963" s="0" t="n">
        <v>4.55</v>
      </c>
      <c r="G3963" s="0" t="n">
        <v>17811</v>
      </c>
      <c r="H3963" s="3" t="s">
        <v>14</v>
      </c>
      <c r="I3963" s="4" t="n">
        <f aca="false">D3963*F3963</f>
        <v>13.65</v>
      </c>
      <c r="J3963" s="3" t="n">
        <f aca="false">IF(AND(LEFT(A3963,1)&lt;&gt;"C",D3963&gt;0,F3963&gt;0),1,0)</f>
        <v>1</v>
      </c>
      <c r="K3963" s="3" t="n">
        <f aca="false">IF(AND(H3963="United Kingdom",G3963&lt;&gt;"",COUNTIFS($G$2:G3963,G3963,$H$2:H3963,"United Kingdom")=1),1,0)</f>
        <v>0</v>
      </c>
    </row>
    <row r="3964" customFormat="false" ht="15" hidden="false" customHeight="false" outlineLevel="0" collapsed="false">
      <c r="A3964" s="0" t="s">
        <v>813</v>
      </c>
      <c r="B3964" s="0" t="s">
        <v>34</v>
      </c>
      <c r="C3964" s="0" t="s">
        <v>35</v>
      </c>
      <c r="D3964" s="0" t="n">
        <v>1</v>
      </c>
      <c r="E3964" s="2" t="n">
        <v>40885.5180555556</v>
      </c>
      <c r="F3964" s="0" t="n">
        <v>2.38</v>
      </c>
      <c r="G3964" s="0" t="n">
        <v>17811</v>
      </c>
      <c r="H3964" s="3" t="s">
        <v>14</v>
      </c>
      <c r="I3964" s="4" t="n">
        <f aca="false">D3964*F3964</f>
        <v>2.38</v>
      </c>
      <c r="J3964" s="3" t="n">
        <f aca="false">IF(AND(LEFT(A3964,1)&lt;&gt;"C",D3964&gt;0,F3964&gt;0),1,0)</f>
        <v>1</v>
      </c>
      <c r="K3964" s="3" t="n">
        <f aca="false">IF(AND(H3964="United Kingdom",G3964&lt;&gt;"",COUNTIFS($G$2:G3964,G3964,$H$2:H3964,"United Kingdom")=1),1,0)</f>
        <v>0</v>
      </c>
    </row>
    <row r="3965" customFormat="false" ht="15" hidden="false" customHeight="false" outlineLevel="0" collapsed="false">
      <c r="A3965" s="0" t="s">
        <v>813</v>
      </c>
      <c r="B3965" s="0" t="s">
        <v>77</v>
      </c>
      <c r="C3965" s="0" t="s">
        <v>78</v>
      </c>
      <c r="D3965" s="0" t="n">
        <v>8</v>
      </c>
      <c r="E3965" s="2" t="n">
        <v>40885.5180555556</v>
      </c>
      <c r="F3965" s="0" t="n">
        <v>3.41</v>
      </c>
      <c r="G3965" s="0" t="n">
        <v>17811</v>
      </c>
      <c r="H3965" s="3" t="s">
        <v>14</v>
      </c>
      <c r="I3965" s="4" t="n">
        <f aca="false">D3965*F3965</f>
        <v>27.28</v>
      </c>
      <c r="J3965" s="3" t="n">
        <f aca="false">IF(AND(LEFT(A3965,1)&lt;&gt;"C",D3965&gt;0,F3965&gt;0),1,0)</f>
        <v>1</v>
      </c>
      <c r="K3965" s="3" t="n">
        <f aca="false">IF(AND(H3965="United Kingdom",G3965&lt;&gt;"",COUNTIFS($G$2:G3965,G3965,$H$2:H3965,"United Kingdom")=1),1,0)</f>
        <v>0</v>
      </c>
    </row>
    <row r="3966" customFormat="false" ht="15" hidden="false" customHeight="false" outlineLevel="0" collapsed="false">
      <c r="A3966" s="0" t="s">
        <v>813</v>
      </c>
      <c r="B3966" s="0" t="s">
        <v>75</v>
      </c>
      <c r="C3966" s="0" t="s">
        <v>76</v>
      </c>
      <c r="D3966" s="0" t="n">
        <v>12</v>
      </c>
      <c r="E3966" s="2" t="n">
        <v>40885.5180555556</v>
      </c>
      <c r="F3966" s="0" t="n">
        <v>1.97</v>
      </c>
      <c r="G3966" s="0" t="n">
        <v>17811</v>
      </c>
      <c r="H3966" s="3" t="s">
        <v>14</v>
      </c>
      <c r="I3966" s="4" t="n">
        <f aca="false">D3966*F3966</f>
        <v>23.64</v>
      </c>
      <c r="J3966" s="3" t="n">
        <f aca="false">IF(AND(LEFT(A3966,1)&lt;&gt;"C",D3966&gt;0,F3966&gt;0),1,0)</f>
        <v>1</v>
      </c>
      <c r="K3966" s="3" t="n">
        <f aca="false">IF(AND(H3966="United Kingdom",G3966&lt;&gt;"",COUNTIFS($G$2:G3966,G3966,$H$2:H3966,"United Kingdom")=1),1,0)</f>
        <v>0</v>
      </c>
    </row>
    <row r="3967" customFormat="false" ht="15" hidden="false" customHeight="false" outlineLevel="0" collapsed="false">
      <c r="A3967" s="0" t="s">
        <v>813</v>
      </c>
      <c r="B3967" s="0" t="s">
        <v>32</v>
      </c>
      <c r="C3967" s="0" t="s">
        <v>33</v>
      </c>
      <c r="D3967" s="0" t="n">
        <v>2</v>
      </c>
      <c r="E3967" s="2" t="n">
        <v>40885.5180555556</v>
      </c>
      <c r="F3967" s="0" t="n">
        <v>1.19</v>
      </c>
      <c r="G3967" s="0" t="n">
        <v>17811</v>
      </c>
      <c r="H3967" s="3" t="s">
        <v>14</v>
      </c>
      <c r="I3967" s="4" t="n">
        <f aca="false">D3967*F3967</f>
        <v>2.38</v>
      </c>
      <c r="J3967" s="3" t="n">
        <f aca="false">IF(AND(LEFT(A3967,1)&lt;&gt;"C",D3967&gt;0,F3967&gt;0),1,0)</f>
        <v>1</v>
      </c>
      <c r="K3967" s="3" t="n">
        <f aca="false">IF(AND(H3967="United Kingdom",G3967&lt;&gt;"",COUNTIFS($G$2:G3967,G3967,$H$2:H3967,"United Kingdom")=1),1,0)</f>
        <v>0</v>
      </c>
    </row>
    <row r="3968" customFormat="false" ht="15" hidden="false" customHeight="false" outlineLevel="0" collapsed="false">
      <c r="A3968" s="0" t="s">
        <v>813</v>
      </c>
      <c r="B3968" s="0" t="s">
        <v>90</v>
      </c>
      <c r="C3968" s="0" t="s">
        <v>91</v>
      </c>
      <c r="D3968" s="0" t="n">
        <v>24</v>
      </c>
      <c r="E3968" s="2" t="n">
        <v>40885.5180555556</v>
      </c>
      <c r="F3968" s="0" t="n">
        <v>3.04</v>
      </c>
      <c r="G3968" s="0" t="n">
        <v>17811</v>
      </c>
      <c r="H3968" s="3" t="s">
        <v>14</v>
      </c>
      <c r="I3968" s="4" t="n">
        <f aca="false">D3968*F3968</f>
        <v>72.96</v>
      </c>
      <c r="J3968" s="3" t="n">
        <f aca="false">IF(AND(LEFT(A3968,1)&lt;&gt;"C",D3968&gt;0,F3968&gt;0),1,0)</f>
        <v>1</v>
      </c>
      <c r="K3968" s="3" t="n">
        <f aca="false">IF(AND(H3968="United Kingdom",G3968&lt;&gt;"",COUNTIFS($G$2:G3968,G3968,$H$2:H3968,"United Kingdom")=1),1,0)</f>
        <v>0</v>
      </c>
    </row>
    <row r="3969" customFormat="false" ht="15" hidden="false" customHeight="false" outlineLevel="0" collapsed="false">
      <c r="A3969" s="0" t="s">
        <v>813</v>
      </c>
      <c r="B3969" s="0" t="s">
        <v>52</v>
      </c>
      <c r="C3969" s="0" t="s">
        <v>53</v>
      </c>
      <c r="D3969" s="0" t="n">
        <v>3</v>
      </c>
      <c r="E3969" s="2" t="n">
        <v>40885.5180555556</v>
      </c>
      <c r="F3969" s="0" t="n">
        <v>4.16</v>
      </c>
      <c r="G3969" s="0" t="n">
        <v>17811</v>
      </c>
      <c r="H3969" s="3" t="s">
        <v>14</v>
      </c>
      <c r="I3969" s="4" t="n">
        <f aca="false">D3969*F3969</f>
        <v>12.48</v>
      </c>
      <c r="J3969" s="3" t="n">
        <f aca="false">IF(AND(LEFT(A3969,1)&lt;&gt;"C",D3969&gt;0,F3969&gt;0),1,0)</f>
        <v>1</v>
      </c>
      <c r="K3969" s="3" t="n">
        <f aca="false">IF(AND(H3969="United Kingdom",G3969&lt;&gt;"",COUNTIFS($G$2:G3969,G3969,$H$2:H3969,"United Kingdom")=1),1,0)</f>
        <v>0</v>
      </c>
    </row>
    <row r="3970" customFormat="false" ht="15" hidden="false" customHeight="false" outlineLevel="0" collapsed="false">
      <c r="A3970" s="0" t="s">
        <v>813</v>
      </c>
      <c r="B3970" s="0" t="s">
        <v>37</v>
      </c>
      <c r="C3970" s="0" t="s">
        <v>38</v>
      </c>
      <c r="D3970" s="0" t="n">
        <v>4</v>
      </c>
      <c r="E3970" s="2" t="n">
        <v>40885.5180555556</v>
      </c>
      <c r="F3970" s="0" t="n">
        <v>1.82</v>
      </c>
      <c r="G3970" s="0" t="n">
        <v>17811</v>
      </c>
      <c r="H3970" s="3" t="s">
        <v>14</v>
      </c>
      <c r="I3970" s="4" t="n">
        <f aca="false">D3970*F3970</f>
        <v>7.28</v>
      </c>
      <c r="J3970" s="3" t="n">
        <f aca="false">IF(AND(LEFT(A3970,1)&lt;&gt;"C",D3970&gt;0,F3970&gt;0),1,0)</f>
        <v>1</v>
      </c>
      <c r="K3970" s="3" t="n">
        <f aca="false">IF(AND(H3970="United Kingdom",G3970&lt;&gt;"",COUNTIFS($G$2:G3970,G3970,$H$2:H3970,"United Kingdom")=1),1,0)</f>
        <v>0</v>
      </c>
    </row>
    <row r="3971" customFormat="false" ht="15" hidden="false" customHeight="false" outlineLevel="0" collapsed="false">
      <c r="A3971" s="0" t="s">
        <v>813</v>
      </c>
      <c r="B3971" s="0" t="s">
        <v>22</v>
      </c>
      <c r="C3971" s="0" t="s">
        <v>23</v>
      </c>
      <c r="D3971" s="0" t="n">
        <v>1</v>
      </c>
      <c r="E3971" s="2" t="n">
        <v>40885.5180555556</v>
      </c>
      <c r="F3971" s="0" t="n">
        <v>3.18</v>
      </c>
      <c r="G3971" s="0" t="n">
        <v>17811</v>
      </c>
      <c r="H3971" s="3" t="s">
        <v>14</v>
      </c>
      <c r="I3971" s="4" t="n">
        <f aca="false">D3971*F3971</f>
        <v>3.18</v>
      </c>
      <c r="J3971" s="3" t="n">
        <f aca="false">IF(AND(LEFT(A3971,1)&lt;&gt;"C",D3971&gt;0,F3971&gt;0),1,0)</f>
        <v>1</v>
      </c>
      <c r="K3971" s="3" t="n">
        <f aca="false">IF(AND(H3971="United Kingdom",G3971&lt;&gt;"",COUNTIFS($G$2:G3971,G3971,$H$2:H3971,"United Kingdom")=1),1,0)</f>
        <v>0</v>
      </c>
    </row>
    <row r="3972" customFormat="false" ht="15" hidden="false" customHeight="false" outlineLevel="0" collapsed="false">
      <c r="A3972" s="0" t="s">
        <v>813</v>
      </c>
      <c r="B3972" s="0" t="s">
        <v>25</v>
      </c>
      <c r="C3972" s="0" t="s">
        <v>26</v>
      </c>
      <c r="D3972" s="0" t="n">
        <v>2</v>
      </c>
      <c r="E3972" s="2" t="n">
        <v>40885.5180555556</v>
      </c>
      <c r="F3972" s="0" t="n">
        <v>2.21</v>
      </c>
      <c r="G3972" s="0" t="n">
        <v>17811</v>
      </c>
      <c r="H3972" s="3" t="s">
        <v>14</v>
      </c>
      <c r="I3972" s="4" t="n">
        <f aca="false">D3972*F3972</f>
        <v>4.42</v>
      </c>
      <c r="J3972" s="3" t="n">
        <f aca="false">IF(AND(LEFT(A3972,1)&lt;&gt;"C",D3972&gt;0,F3972&gt;0),1,0)</f>
        <v>1</v>
      </c>
      <c r="K3972" s="3" t="n">
        <f aca="false">IF(AND(H3972="United Kingdom",G3972&lt;&gt;"",COUNTIFS($G$2:G3972,G3972,$H$2:H3972,"United Kingdom")=1),1,0)</f>
        <v>0</v>
      </c>
    </row>
    <row r="3973" customFormat="false" ht="15" hidden="false" customHeight="false" outlineLevel="0" collapsed="false">
      <c r="A3973" s="0" t="s">
        <v>813</v>
      </c>
      <c r="B3973" s="0" t="s">
        <v>80</v>
      </c>
      <c r="C3973" s="0" t="s">
        <v>81</v>
      </c>
      <c r="D3973" s="0" t="n">
        <v>4</v>
      </c>
      <c r="E3973" s="2" t="n">
        <v>40885.5180555556</v>
      </c>
      <c r="F3973" s="0" t="n">
        <v>1.53</v>
      </c>
      <c r="G3973" s="0" t="n">
        <v>17811</v>
      </c>
      <c r="H3973" s="3" t="s">
        <v>14</v>
      </c>
      <c r="I3973" s="4" t="n">
        <f aca="false">D3973*F3973</f>
        <v>6.12</v>
      </c>
      <c r="J3973" s="3" t="n">
        <f aca="false">IF(AND(LEFT(A3973,1)&lt;&gt;"C",D3973&gt;0,F3973&gt;0),1,0)</f>
        <v>1</v>
      </c>
      <c r="K3973" s="3" t="n">
        <f aca="false">IF(AND(H3973="United Kingdom",G3973&lt;&gt;"",COUNTIFS($G$2:G3973,G3973,$H$2:H3973,"United Kingdom")=1),1,0)</f>
        <v>0</v>
      </c>
    </row>
    <row r="3974" customFormat="false" ht="15" hidden="false" customHeight="false" outlineLevel="0" collapsed="false">
      <c r="A3974" s="0" t="s">
        <v>813</v>
      </c>
      <c r="B3974" s="0" t="s">
        <v>65</v>
      </c>
      <c r="C3974" s="0" t="s">
        <v>66</v>
      </c>
      <c r="D3974" s="0" t="n">
        <v>4</v>
      </c>
      <c r="E3974" s="2" t="n">
        <v>40885.5180555556</v>
      </c>
      <c r="F3974" s="0" t="n">
        <v>4.75</v>
      </c>
      <c r="G3974" s="0" t="n">
        <v>17811</v>
      </c>
      <c r="H3974" s="3" t="s">
        <v>14</v>
      </c>
      <c r="I3974" s="4" t="n">
        <f aca="false">D3974*F3974</f>
        <v>19</v>
      </c>
      <c r="J3974" s="3" t="n">
        <f aca="false">IF(AND(LEFT(A3974,1)&lt;&gt;"C",D3974&gt;0,F3974&gt;0),1,0)</f>
        <v>1</v>
      </c>
      <c r="K3974" s="3" t="n">
        <f aca="false">IF(AND(H3974="United Kingdom",G3974&lt;&gt;"",COUNTIFS($G$2:G3974,G3974,$H$2:H3974,"United Kingdom")=1),1,0)</f>
        <v>0</v>
      </c>
    </row>
    <row r="3975" customFormat="false" ht="15" hidden="false" customHeight="false" outlineLevel="0" collapsed="false">
      <c r="A3975" s="0" t="s">
        <v>813</v>
      </c>
      <c r="B3975" s="0" t="s">
        <v>68</v>
      </c>
      <c r="C3975" s="0" t="s">
        <v>69</v>
      </c>
      <c r="D3975" s="0" t="n">
        <v>12</v>
      </c>
      <c r="E3975" s="2" t="n">
        <v>40885.5180555556</v>
      </c>
      <c r="F3975" s="0" t="n">
        <v>1.26</v>
      </c>
      <c r="G3975" s="0" t="n">
        <v>17811</v>
      </c>
      <c r="H3975" s="3" t="s">
        <v>14</v>
      </c>
      <c r="I3975" s="4" t="n">
        <f aca="false">D3975*F3975</f>
        <v>15.12</v>
      </c>
      <c r="J3975" s="3" t="n">
        <f aca="false">IF(AND(LEFT(A3975,1)&lt;&gt;"C",D3975&gt;0,F3975&gt;0),1,0)</f>
        <v>1</v>
      </c>
      <c r="K3975" s="3" t="n">
        <f aca="false">IF(AND(H3975="United Kingdom",G3975&lt;&gt;"",COUNTIFS($G$2:G3975,G3975,$H$2:H3975,"United Kingdom")=1),1,0)</f>
        <v>0</v>
      </c>
    </row>
    <row r="3976" customFormat="false" ht="15" hidden="false" customHeight="false" outlineLevel="0" collapsed="false">
      <c r="A3976" s="0" t="s">
        <v>813</v>
      </c>
      <c r="B3976" s="0" t="s">
        <v>113</v>
      </c>
      <c r="C3976" s="0" t="s">
        <v>114</v>
      </c>
      <c r="D3976" s="0" t="n">
        <v>4</v>
      </c>
      <c r="E3976" s="2" t="n">
        <v>40885.5180555556</v>
      </c>
      <c r="F3976" s="0" t="n">
        <v>3.57</v>
      </c>
      <c r="G3976" s="0" t="n">
        <v>17811</v>
      </c>
      <c r="H3976" s="3" t="s">
        <v>14</v>
      </c>
      <c r="I3976" s="4" t="n">
        <f aca="false">D3976*F3976</f>
        <v>14.28</v>
      </c>
      <c r="J3976" s="3" t="n">
        <f aca="false">IF(AND(LEFT(A3976,1)&lt;&gt;"C",D3976&gt;0,F3976&gt;0),1,0)</f>
        <v>1</v>
      </c>
      <c r="K3976" s="3" t="n">
        <f aca="false">IF(AND(H3976="United Kingdom",G3976&lt;&gt;"",COUNTIFS($G$2:G3976,G3976,$H$2:H3976,"United Kingdom")=1),1,0)</f>
        <v>0</v>
      </c>
    </row>
    <row r="3977" customFormat="false" ht="15" hidden="false" customHeight="false" outlineLevel="0" collapsed="false">
      <c r="A3977" s="0" t="s">
        <v>813</v>
      </c>
      <c r="B3977" s="0" t="s">
        <v>29</v>
      </c>
      <c r="C3977" s="0" t="s">
        <v>30</v>
      </c>
      <c r="D3977" s="0" t="n">
        <v>6</v>
      </c>
      <c r="E3977" s="2" t="n">
        <v>40885.5180555556</v>
      </c>
      <c r="F3977" s="0" t="n">
        <v>5.79</v>
      </c>
      <c r="G3977" s="0" t="n">
        <v>17811</v>
      </c>
      <c r="H3977" s="3" t="s">
        <v>14</v>
      </c>
      <c r="I3977" s="4" t="n">
        <f aca="false">D3977*F3977</f>
        <v>34.74</v>
      </c>
      <c r="J3977" s="3" t="n">
        <f aca="false">IF(AND(LEFT(A3977,1)&lt;&gt;"C",D3977&gt;0,F3977&gt;0),1,0)</f>
        <v>1</v>
      </c>
      <c r="K3977" s="3" t="n">
        <f aca="false">IF(AND(H3977="United Kingdom",G3977&lt;&gt;"",COUNTIFS($G$2:G3977,G3977,$H$2:H3977,"United Kingdom")=1),1,0)</f>
        <v>0</v>
      </c>
    </row>
    <row r="3978" customFormat="false" ht="15" hidden="false" customHeight="false" outlineLevel="0" collapsed="false">
      <c r="A3978" s="0" t="s">
        <v>813</v>
      </c>
      <c r="B3978" s="0" t="s">
        <v>58</v>
      </c>
      <c r="C3978" s="0" t="s">
        <v>59</v>
      </c>
      <c r="D3978" s="0" t="n">
        <v>2</v>
      </c>
      <c r="E3978" s="2" t="n">
        <v>40885.5180555556</v>
      </c>
      <c r="F3978" s="0" t="n">
        <v>2.16</v>
      </c>
      <c r="G3978" s="0" t="n">
        <v>17811</v>
      </c>
      <c r="H3978" s="3" t="s">
        <v>14</v>
      </c>
      <c r="I3978" s="4" t="n">
        <f aca="false">D3978*F3978</f>
        <v>4.32</v>
      </c>
      <c r="J3978" s="3" t="n">
        <f aca="false">IF(AND(LEFT(A3978,1)&lt;&gt;"C",D3978&gt;0,F3978&gt;0),1,0)</f>
        <v>1</v>
      </c>
      <c r="K3978" s="3" t="n">
        <f aca="false">IF(AND(H3978="United Kingdom",G3978&lt;&gt;"",COUNTIFS($G$2:G3978,G3978,$H$2:H3978,"United Kingdom")=1),1,0)</f>
        <v>0</v>
      </c>
    </row>
    <row r="3979" customFormat="false" ht="15" hidden="false" customHeight="false" outlineLevel="0" collapsed="false">
      <c r="A3979" s="0" t="s">
        <v>813</v>
      </c>
      <c r="B3979" s="0" t="s">
        <v>43</v>
      </c>
      <c r="C3979" s="0" t="s">
        <v>44</v>
      </c>
      <c r="D3979" s="0" t="n">
        <v>6</v>
      </c>
      <c r="E3979" s="2" t="n">
        <v>40885.5180555556</v>
      </c>
      <c r="F3979" s="0" t="n">
        <v>1.35</v>
      </c>
      <c r="G3979" s="0" t="n">
        <v>17811</v>
      </c>
      <c r="H3979" s="3" t="s">
        <v>14</v>
      </c>
      <c r="I3979" s="4" t="n">
        <f aca="false">D3979*F3979</f>
        <v>8.1</v>
      </c>
      <c r="J3979" s="3" t="n">
        <f aca="false">IF(AND(LEFT(A3979,1)&lt;&gt;"C",D3979&gt;0,F3979&gt;0),1,0)</f>
        <v>1</v>
      </c>
      <c r="K3979" s="3" t="n">
        <f aca="false">IF(AND(H3979="United Kingdom",G3979&lt;&gt;"",COUNTIFS($G$2:G3979,G3979,$H$2:H3979,"United Kingdom")=1),1,0)</f>
        <v>0</v>
      </c>
    </row>
    <row r="3980" customFormat="false" ht="15" hidden="false" customHeight="false" outlineLevel="0" collapsed="false">
      <c r="A3980" s="0" t="s">
        <v>813</v>
      </c>
      <c r="B3980" s="0" t="s">
        <v>48</v>
      </c>
      <c r="C3980" s="0" t="s">
        <v>49</v>
      </c>
      <c r="D3980" s="0" t="n">
        <v>4</v>
      </c>
      <c r="E3980" s="2" t="n">
        <v>40885.5180555556</v>
      </c>
      <c r="F3980" s="0" t="n">
        <v>1.35</v>
      </c>
      <c r="G3980" s="0" t="n">
        <v>17811</v>
      </c>
      <c r="H3980" s="3" t="s">
        <v>14</v>
      </c>
      <c r="I3980" s="4" t="n">
        <f aca="false">D3980*F3980</f>
        <v>5.4</v>
      </c>
      <c r="J3980" s="3" t="n">
        <f aca="false">IF(AND(LEFT(A3980,1)&lt;&gt;"C",D3980&gt;0,F3980&gt;0),1,0)</f>
        <v>1</v>
      </c>
      <c r="K3980" s="3" t="n">
        <f aca="false">IF(AND(H3980="United Kingdom",G3980&lt;&gt;"",COUNTIFS($G$2:G3980,G3980,$H$2:H3980,"United Kingdom")=1),1,0)</f>
        <v>0</v>
      </c>
    </row>
    <row r="3981" customFormat="false" ht="15" hidden="false" customHeight="false" outlineLevel="0" collapsed="false">
      <c r="A3981" s="0" t="s">
        <v>814</v>
      </c>
      <c r="B3981" s="0" t="s">
        <v>113</v>
      </c>
      <c r="C3981" s="0" t="s">
        <v>114</v>
      </c>
      <c r="D3981" s="0" t="n">
        <v>2</v>
      </c>
      <c r="E3981" s="2" t="n">
        <v>40885.6104166667</v>
      </c>
      <c r="F3981" s="0" t="n">
        <v>3.57</v>
      </c>
      <c r="G3981" s="0" t="n">
        <v>14919</v>
      </c>
      <c r="H3981" s="3" t="s">
        <v>14</v>
      </c>
      <c r="I3981" s="4" t="n">
        <f aca="false">D3981*F3981</f>
        <v>7.14</v>
      </c>
      <c r="J3981" s="3" t="n">
        <f aca="false">IF(AND(LEFT(A3981,1)&lt;&gt;"C",D3981&gt;0,F3981&gt;0),1,0)</f>
        <v>1</v>
      </c>
      <c r="K3981" s="3" t="n">
        <f aca="false">IF(AND(H3981="United Kingdom",G3981&lt;&gt;"",COUNTIFS($G$2:G3981,G3981,$H$2:H3981,"United Kingdom")=1),1,0)</f>
        <v>0</v>
      </c>
    </row>
    <row r="3982" customFormat="false" ht="15" hidden="false" customHeight="false" outlineLevel="0" collapsed="false">
      <c r="A3982" s="0" t="s">
        <v>814</v>
      </c>
      <c r="B3982" s="0" t="s">
        <v>54</v>
      </c>
      <c r="C3982" s="0" t="s">
        <v>55</v>
      </c>
      <c r="D3982" s="0" t="n">
        <v>1</v>
      </c>
      <c r="E3982" s="2" t="n">
        <v>40885.6104166667</v>
      </c>
      <c r="F3982" s="0" t="n">
        <v>0.99</v>
      </c>
      <c r="G3982" s="0" t="n">
        <v>14919</v>
      </c>
      <c r="H3982" s="3" t="s">
        <v>14</v>
      </c>
      <c r="I3982" s="4" t="n">
        <f aca="false">D3982*F3982</f>
        <v>0.99</v>
      </c>
      <c r="J3982" s="3" t="n">
        <f aca="false">IF(AND(LEFT(A3982,1)&lt;&gt;"C",D3982&gt;0,F3982&gt;0),1,0)</f>
        <v>1</v>
      </c>
      <c r="K3982" s="3" t="n">
        <f aca="false">IF(AND(H3982="United Kingdom",G3982&lt;&gt;"",COUNTIFS($G$2:G3982,G3982,$H$2:H3982,"United Kingdom")=1),1,0)</f>
        <v>0</v>
      </c>
    </row>
    <row r="3983" customFormat="false" ht="15" hidden="false" customHeight="false" outlineLevel="0" collapsed="false">
      <c r="A3983" s="0" t="s">
        <v>814</v>
      </c>
      <c r="B3983" s="0" t="s">
        <v>29</v>
      </c>
      <c r="C3983" s="0" t="s">
        <v>30</v>
      </c>
      <c r="D3983" s="0" t="n">
        <v>1</v>
      </c>
      <c r="E3983" s="2" t="n">
        <v>40885.6104166667</v>
      </c>
      <c r="F3983" s="0" t="n">
        <v>5.79</v>
      </c>
      <c r="G3983" s="0" t="n">
        <v>14919</v>
      </c>
      <c r="H3983" s="3" t="s">
        <v>14</v>
      </c>
      <c r="I3983" s="4" t="n">
        <f aca="false">D3983*F3983</f>
        <v>5.79</v>
      </c>
      <c r="J3983" s="3" t="n">
        <f aca="false">IF(AND(LEFT(A3983,1)&lt;&gt;"C",D3983&gt;0,F3983&gt;0),1,0)</f>
        <v>1</v>
      </c>
      <c r="K3983" s="3" t="n">
        <f aca="false">IF(AND(H3983="United Kingdom",G3983&lt;&gt;"",COUNTIFS($G$2:G3983,G3983,$H$2:H3983,"United Kingdom")=1),1,0)</f>
        <v>0</v>
      </c>
    </row>
    <row r="3984" customFormat="false" ht="15" hidden="false" customHeight="false" outlineLevel="0" collapsed="false">
      <c r="A3984" s="0" t="s">
        <v>815</v>
      </c>
      <c r="B3984" s="0" t="s">
        <v>50</v>
      </c>
      <c r="C3984" s="0" t="s">
        <v>51</v>
      </c>
      <c r="D3984" s="0" t="n">
        <v>4</v>
      </c>
      <c r="E3984" s="2" t="n">
        <v>40886.4930555556</v>
      </c>
      <c r="F3984" s="0" t="n">
        <v>5.41</v>
      </c>
      <c r="G3984" s="0" t="n">
        <v>17178</v>
      </c>
      <c r="H3984" s="3" t="s">
        <v>14</v>
      </c>
      <c r="I3984" s="4" t="n">
        <f aca="false">D3984*F3984</f>
        <v>21.64</v>
      </c>
      <c r="J3984" s="3" t="n">
        <f aca="false">IF(AND(LEFT(A3984,1)&lt;&gt;"C",D3984&gt;0,F3984&gt;0),1,0)</f>
        <v>1</v>
      </c>
      <c r="K3984" s="3" t="n">
        <f aca="false">IF(AND(H3984="United Kingdom",G3984&lt;&gt;"",COUNTIFS($G$2:G3984,G3984,$H$2:H3984,"United Kingdom")=1),1,0)</f>
        <v>0</v>
      </c>
    </row>
    <row r="3985" customFormat="false" ht="15" hidden="false" customHeight="false" outlineLevel="0" collapsed="false">
      <c r="A3985" s="0" t="s">
        <v>815</v>
      </c>
      <c r="B3985" s="0" t="s">
        <v>25</v>
      </c>
      <c r="C3985" s="0" t="s">
        <v>26</v>
      </c>
      <c r="D3985" s="0" t="n">
        <v>2</v>
      </c>
      <c r="E3985" s="2" t="n">
        <v>40886.4930555556</v>
      </c>
      <c r="F3985" s="0" t="n">
        <v>2.21</v>
      </c>
      <c r="G3985" s="0" t="n">
        <v>17178</v>
      </c>
      <c r="H3985" s="3" t="s">
        <v>14</v>
      </c>
      <c r="I3985" s="4" t="n">
        <f aca="false">D3985*F3985</f>
        <v>4.42</v>
      </c>
      <c r="J3985" s="3" t="n">
        <f aca="false">IF(AND(LEFT(A3985,1)&lt;&gt;"C",D3985&gt;0,F3985&gt;0),1,0)</f>
        <v>1</v>
      </c>
      <c r="K3985" s="3" t="n">
        <f aca="false">IF(AND(H3985="United Kingdom",G3985&lt;&gt;"",COUNTIFS($G$2:G3985,G3985,$H$2:H3985,"United Kingdom")=1),1,0)</f>
        <v>0</v>
      </c>
    </row>
    <row r="3986" customFormat="false" ht="15" hidden="false" customHeight="false" outlineLevel="0" collapsed="false">
      <c r="A3986" s="0" t="s">
        <v>815</v>
      </c>
      <c r="B3986" s="0" t="s">
        <v>43</v>
      </c>
      <c r="C3986" s="0" t="s">
        <v>44</v>
      </c>
      <c r="D3986" s="0" t="n">
        <v>1</v>
      </c>
      <c r="E3986" s="2" t="n">
        <v>40886.4930555556</v>
      </c>
      <c r="F3986" s="0" t="n">
        <v>1.35</v>
      </c>
      <c r="G3986" s="0" t="n">
        <v>17178</v>
      </c>
      <c r="H3986" s="3" t="s">
        <v>14</v>
      </c>
      <c r="I3986" s="4" t="n">
        <f aca="false">D3986*F3986</f>
        <v>1.35</v>
      </c>
      <c r="J3986" s="3" t="n">
        <f aca="false">IF(AND(LEFT(A3986,1)&lt;&gt;"C",D3986&gt;0,F3986&gt;0),1,0)</f>
        <v>1</v>
      </c>
      <c r="K3986" s="3" t="n">
        <f aca="false">IF(AND(H3986="United Kingdom",G3986&lt;&gt;"",COUNTIFS($G$2:G3986,G3986,$H$2:H3986,"United Kingdom")=1),1,0)</f>
        <v>0</v>
      </c>
    </row>
    <row r="3987" customFormat="false" ht="15" hidden="false" customHeight="false" outlineLevel="0" collapsed="false">
      <c r="A3987" s="0" t="s">
        <v>815</v>
      </c>
      <c r="B3987" s="0" t="s">
        <v>15</v>
      </c>
      <c r="C3987" s="0" t="s">
        <v>16</v>
      </c>
      <c r="D3987" s="0" t="n">
        <v>12</v>
      </c>
      <c r="E3987" s="2" t="n">
        <v>40886.4930555556</v>
      </c>
      <c r="F3987" s="0" t="n">
        <v>3.18</v>
      </c>
      <c r="G3987" s="0" t="n">
        <v>17178</v>
      </c>
      <c r="H3987" s="3" t="s">
        <v>14</v>
      </c>
      <c r="I3987" s="4" t="n">
        <f aca="false">D3987*F3987</f>
        <v>38.16</v>
      </c>
      <c r="J3987" s="3" t="n">
        <f aca="false">IF(AND(LEFT(A3987,1)&lt;&gt;"C",D3987&gt;0,F3987&gt;0),1,0)</f>
        <v>1</v>
      </c>
      <c r="K3987" s="3" t="n">
        <f aca="false">IF(AND(H3987="United Kingdom",G3987&lt;&gt;"",COUNTIFS($G$2:G3987,G3987,$H$2:H3987,"United Kingdom")=1),1,0)</f>
        <v>0</v>
      </c>
    </row>
    <row r="3988" customFormat="false" ht="15" hidden="false" customHeight="false" outlineLevel="0" collapsed="false">
      <c r="A3988" s="0" t="s">
        <v>815</v>
      </c>
      <c r="B3988" s="0" t="s">
        <v>54</v>
      </c>
      <c r="C3988" s="0" t="s">
        <v>55</v>
      </c>
      <c r="D3988" s="0" t="n">
        <v>8</v>
      </c>
      <c r="E3988" s="2" t="n">
        <v>40886.4930555556</v>
      </c>
      <c r="F3988" s="0" t="n">
        <v>0.99</v>
      </c>
      <c r="G3988" s="0" t="n">
        <v>17178</v>
      </c>
      <c r="H3988" s="3" t="s">
        <v>14</v>
      </c>
      <c r="I3988" s="4" t="n">
        <f aca="false">D3988*F3988</f>
        <v>7.92</v>
      </c>
      <c r="J3988" s="3" t="n">
        <f aca="false">IF(AND(LEFT(A3988,1)&lt;&gt;"C",D3988&gt;0,F3988&gt;0),1,0)</f>
        <v>1</v>
      </c>
      <c r="K3988" s="3" t="n">
        <f aca="false">IF(AND(H3988="United Kingdom",G3988&lt;&gt;"",COUNTIFS($G$2:G3988,G3988,$H$2:H3988,"United Kingdom")=1),1,0)</f>
        <v>0</v>
      </c>
    </row>
    <row r="3989" customFormat="false" ht="15" hidden="false" customHeight="false" outlineLevel="0" collapsed="false">
      <c r="A3989" s="0" t="s">
        <v>815</v>
      </c>
      <c r="B3989" s="0" t="s">
        <v>12</v>
      </c>
      <c r="C3989" s="0" t="s">
        <v>13</v>
      </c>
      <c r="D3989" s="0" t="n">
        <v>2</v>
      </c>
      <c r="E3989" s="2" t="n">
        <v>40886.4930555556</v>
      </c>
      <c r="F3989" s="0" t="n">
        <v>3.33</v>
      </c>
      <c r="G3989" s="0" t="n">
        <v>17178</v>
      </c>
      <c r="H3989" s="3" t="s">
        <v>14</v>
      </c>
      <c r="I3989" s="4" t="n">
        <f aca="false">D3989*F3989</f>
        <v>6.66</v>
      </c>
      <c r="J3989" s="3" t="n">
        <f aca="false">IF(AND(LEFT(A3989,1)&lt;&gt;"C",D3989&gt;0,F3989&gt;0),1,0)</f>
        <v>1</v>
      </c>
      <c r="K3989" s="3" t="n">
        <f aca="false">IF(AND(H3989="United Kingdom",G3989&lt;&gt;"",COUNTIFS($G$2:G3989,G3989,$H$2:H3989,"United Kingdom")=1),1,0)</f>
        <v>0</v>
      </c>
    </row>
    <row r="3990" customFormat="false" ht="15" hidden="false" customHeight="false" outlineLevel="0" collapsed="false">
      <c r="A3990" s="0" t="s">
        <v>816</v>
      </c>
      <c r="B3990" s="0" t="s">
        <v>50</v>
      </c>
      <c r="C3990" s="0" t="s">
        <v>51</v>
      </c>
      <c r="D3990" s="0" t="n">
        <v>24</v>
      </c>
      <c r="E3990" s="2" t="n">
        <v>40886.8180555556</v>
      </c>
      <c r="F3990" s="0" t="n">
        <v>5.41</v>
      </c>
      <c r="G3990" s="0" t="n">
        <v>13512</v>
      </c>
      <c r="H3990" s="3" t="s">
        <v>14</v>
      </c>
      <c r="I3990" s="4" t="n">
        <f aca="false">D3990*F3990</f>
        <v>129.84</v>
      </c>
      <c r="J3990" s="3" t="n">
        <f aca="false">IF(AND(LEFT(A3990,1)&lt;&gt;"C",D3990&gt;0,F3990&gt;0),1,0)</f>
        <v>1</v>
      </c>
      <c r="K3990" s="3" t="n">
        <f aca="false">IF(AND(H3990="United Kingdom",G3990&lt;&gt;"",COUNTIFS($G$2:G3990,G3990,$H$2:H3990,"United Kingdom")=1),1,0)</f>
        <v>0</v>
      </c>
    </row>
  </sheetData>
  <autoFilter ref="A1:K39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5" t="s">
        <v>817</v>
      </c>
    </row>
    <row r="2" customFormat="false" ht="15" hidden="false" customHeight="false" outlineLevel="0" collapsed="false">
      <c r="A2" s="6" t="s">
        <v>818</v>
      </c>
    </row>
    <row r="4" customFormat="false" ht="15" hidden="false" customHeight="false" outlineLevel="0" collapsed="false">
      <c r="A4" s="7" t="s">
        <v>819</v>
      </c>
      <c r="B4" s="8" t="n">
        <f aca="false">COUNTA(Data!$A$2:$A$3990)</f>
        <v>3989</v>
      </c>
    </row>
    <row r="5" customFormat="false" ht="15" hidden="false" customHeight="false" outlineLevel="0" collapsed="false">
      <c r="A5" s="7" t="s">
        <v>820</v>
      </c>
      <c r="B5" s="8" t="n">
        <f aca="false">COUNTIF(Data!$H$2:$H$3990,"United Kingdom")</f>
        <v>3194</v>
      </c>
    </row>
    <row r="6" customFormat="false" ht="15" hidden="false" customHeight="false" outlineLevel="0" collapsed="false">
      <c r="A6" s="7" t="s">
        <v>821</v>
      </c>
      <c r="B6" s="8" t="n">
        <f aca="false">SUBTOTAL(103,Data!$A$2:$A$3990)</f>
        <v>3989</v>
      </c>
    </row>
    <row r="7" customFormat="false" ht="15" hidden="false" customHeight="false" outlineLevel="0" collapsed="false">
      <c r="A7" s="7" t="s">
        <v>822</v>
      </c>
      <c r="B7" s="8" t="n">
        <f aca="false">COUNTIFS(Data!$H$2:$H$3990,"United Kingdom",Data!$G$2:$G$3990,"")</f>
        <v>249</v>
      </c>
    </row>
    <row r="8" customFormat="false" ht="15" hidden="false" customHeight="false" outlineLevel="0" collapsed="false">
      <c r="A8" s="9" t="s">
        <v>823</v>
      </c>
      <c r="B8" s="10" t="n">
        <f aca="false">SUM(Data!$K$2:$K$3990)</f>
        <v>145</v>
      </c>
    </row>
    <row r="10" customFormat="false" ht="15" hidden="false" customHeight="false" outlineLevel="0" collapsed="false">
      <c r="A10" s="11" t="s">
        <v>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5" t="s">
        <v>825</v>
      </c>
    </row>
    <row r="2" customFormat="false" ht="15" hidden="false" customHeight="false" outlineLevel="0" collapsed="false">
      <c r="A2" s="6" t="s">
        <v>826</v>
      </c>
    </row>
    <row r="4" customFormat="false" ht="15" hidden="false" customHeight="false" outlineLevel="0" collapsed="false">
      <c r="A4" s="1" t="s">
        <v>7</v>
      </c>
      <c r="B4" s="1" t="s">
        <v>827</v>
      </c>
      <c r="C4" s="1" t="s">
        <v>828</v>
      </c>
      <c r="D4" s="1" t="s">
        <v>829</v>
      </c>
    </row>
    <row r="5" customFormat="false" ht="15" hidden="false" customHeight="false" outlineLevel="0" collapsed="false">
      <c r="A5" s="9" t="s">
        <v>14</v>
      </c>
      <c r="B5" s="12" t="n">
        <f aca="false">SUMIFS(Data!$I$2:$I$3990,Data!$H$2:$H$3990,A5,Data!$J$2:$J$3990,1)</f>
        <v>207505.63</v>
      </c>
      <c r="C5" s="13" t="n">
        <f aca="false">RANK(B5,$B$5:$B$13)</f>
        <v>1</v>
      </c>
      <c r="D5" s="14" t="n">
        <f aca="false">B5/SUM($B$5:$B$13)</f>
        <v>0.661056230242919</v>
      </c>
    </row>
    <row r="6" customFormat="false" ht="15" hidden="false" customHeight="false" outlineLevel="0" collapsed="false">
      <c r="A6" s="9" t="s">
        <v>57</v>
      </c>
      <c r="B6" s="12" t="n">
        <f aca="false">SUMIFS(Data!$I$2:$I$3990,Data!$H$2:$H$3990,A6,Data!$J$2:$J$3990,1)</f>
        <v>47103.16</v>
      </c>
      <c r="C6" s="13" t="n">
        <f aca="false">RANK(B6,$B$5:$B$13)</f>
        <v>2</v>
      </c>
      <c r="D6" s="14" t="n">
        <f aca="false">B6/SUM($B$5:$B$13)</f>
        <v>0.150057795454172</v>
      </c>
    </row>
    <row r="7" customFormat="false" ht="15" hidden="false" customHeight="false" outlineLevel="0" collapsed="false">
      <c r="A7" s="9" t="s">
        <v>97</v>
      </c>
      <c r="B7" s="12" t="n">
        <f aca="false">SUMIFS(Data!$I$2:$I$3990,Data!$H$2:$H$3990,A7,Data!$J$2:$J$3990,1)</f>
        <v>18306.74</v>
      </c>
      <c r="C7" s="13" t="n">
        <f aca="false">RANK(B7,$B$5:$B$13)</f>
        <v>3</v>
      </c>
      <c r="D7" s="14" t="n">
        <f aca="false">B7/SUM($B$5:$B$13)</f>
        <v>0.0583202707918685</v>
      </c>
    </row>
    <row r="8" customFormat="false" ht="15" hidden="false" customHeight="false" outlineLevel="0" collapsed="false">
      <c r="A8" s="9" t="s">
        <v>177</v>
      </c>
      <c r="B8" s="12" t="n">
        <f aca="false">SUMIFS(Data!$I$2:$I$3990,Data!$H$2:$H$3990,A8,Data!$J$2:$J$3990,1)</f>
        <v>15825.9</v>
      </c>
      <c r="C8" s="13" t="n">
        <f aca="false">RANK(B8,$B$5:$B$13)</f>
        <v>4</v>
      </c>
      <c r="D8" s="14" t="n">
        <f aca="false">B8/SUM($B$5:$B$13)</f>
        <v>0.0504169925134148</v>
      </c>
    </row>
    <row r="9" customFormat="false" ht="15" hidden="false" customHeight="false" outlineLevel="0" collapsed="false">
      <c r="A9" s="9" t="s">
        <v>124</v>
      </c>
      <c r="B9" s="12" t="n">
        <f aca="false">SUMIFS(Data!$I$2:$I$3990,Data!$H$2:$H$3990,A9,Data!$J$2:$J$3990,1)</f>
        <v>8421.42</v>
      </c>
      <c r="C9" s="13" t="n">
        <f aca="false">RANK(B9,$B$5:$B$13)</f>
        <v>5</v>
      </c>
      <c r="D9" s="14" t="n">
        <f aca="false">B9/SUM($B$5:$B$13)</f>
        <v>0.0268283427225195</v>
      </c>
    </row>
    <row r="10" customFormat="false" ht="15" hidden="false" customHeight="false" outlineLevel="0" collapsed="false">
      <c r="A10" s="9" t="s">
        <v>120</v>
      </c>
      <c r="B10" s="12" t="n">
        <f aca="false">SUMIFS(Data!$I$2:$I$3990,Data!$H$2:$H$3990,A10,Data!$J$2:$J$3990,1)</f>
        <v>5988.97</v>
      </c>
      <c r="C10" s="13" t="n">
        <f aca="false">RANK(B10,$B$5:$B$13)</f>
        <v>6</v>
      </c>
      <c r="D10" s="14" t="n">
        <f aca="false">B10/SUM($B$5:$B$13)</f>
        <v>0.0190792217600936</v>
      </c>
    </row>
    <row r="11" customFormat="false" ht="15" hidden="false" customHeight="false" outlineLevel="0" collapsed="false">
      <c r="A11" s="9" t="s">
        <v>88</v>
      </c>
      <c r="B11" s="12" t="n">
        <f aca="false">SUMIFS(Data!$I$2:$I$3990,Data!$H$2:$H$3990,A11,Data!$J$2:$J$3990,1)</f>
        <v>5773.04</v>
      </c>
      <c r="C11" s="13" t="n">
        <f aca="false">RANK(B11,$B$5:$B$13)</f>
        <v>7</v>
      </c>
      <c r="D11" s="14" t="n">
        <f aca="false">B11/SUM($B$5:$B$13)</f>
        <v>0.0183913277892344</v>
      </c>
    </row>
    <row r="12" customFormat="false" ht="15" hidden="false" customHeight="false" outlineLevel="0" collapsed="false">
      <c r="A12" s="9" t="s">
        <v>101</v>
      </c>
      <c r="B12" s="12" t="n">
        <f aca="false">SUMIFS(Data!$I$2:$I$3990,Data!$H$2:$H$3990,A12,Data!$J$2:$J$3990,1)</f>
        <v>4804</v>
      </c>
      <c r="C12" s="13" t="n">
        <f aca="false">RANK(B12,$B$5:$B$13)</f>
        <v>8</v>
      </c>
      <c r="D12" s="14" t="n">
        <f aca="false">B12/SUM($B$5:$B$13)</f>
        <v>0.0153042311675446</v>
      </c>
    </row>
    <row r="13" customFormat="false" ht="15" hidden="false" customHeight="false" outlineLevel="0" collapsed="false">
      <c r="A13" s="9" t="s">
        <v>459</v>
      </c>
      <c r="B13" s="12" t="n">
        <f aca="false">SUMIFS(Data!$I$2:$I$3990,Data!$H$2:$H$3990,A13,Data!$J$2:$J$3990,1)</f>
        <v>171.26</v>
      </c>
      <c r="C13" s="13" t="n">
        <f aca="false">RANK(B13,$B$5:$B$13)</f>
        <v>9</v>
      </c>
      <c r="D13" s="14" t="n">
        <f aca="false">B13/SUM($B$5:$B$13)</f>
        <v>0.000545587558233492</v>
      </c>
    </row>
    <row r="14" customFormat="false" ht="15" hidden="false" customHeight="false" outlineLevel="0" collapsed="false">
      <c r="A14" s="9" t="s">
        <v>830</v>
      </c>
      <c r="B14" s="15" t="n">
        <f aca="false">SUM(B5:B13)</f>
        <v>313900.12</v>
      </c>
    </row>
    <row r="17" customFormat="false" ht="15" hidden="false" customHeight="false" outlineLevel="0" collapsed="false">
      <c r="A17" s="16" t="s">
        <v>831</v>
      </c>
    </row>
    <row r="18" customFormat="false" ht="15" hidden="false" customHeight="false" outlineLevel="0" collapsed="false">
      <c r="A18" s="9" t="s">
        <v>832</v>
      </c>
      <c r="B18" s="17" t="str">
        <f aca="false">INDEX($A$5:$A$13,MATCH(1,$C$5:$C$13,0))</f>
        <v>United Kingdom</v>
      </c>
    </row>
    <row r="19" customFormat="false" ht="15" hidden="false" customHeight="false" outlineLevel="0" collapsed="false">
      <c r="A19" s="9" t="s">
        <v>833</v>
      </c>
      <c r="B19" s="17" t="str">
        <f aca="false">INDEX($A$5:$A$13,MATCH(2,$C$5:$C$13,0))</f>
        <v>Germany</v>
      </c>
    </row>
    <row r="20" customFormat="false" ht="15" hidden="false" customHeight="false" outlineLevel="0" collapsed="false">
      <c r="A20" s="9" t="s">
        <v>834</v>
      </c>
      <c r="B20" s="17" t="str">
        <f aca="false">INDEX($A$5:$A$13,MATCH(3,$C$5:$C$13,0))</f>
        <v>EIRE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5" t="s">
        <v>835</v>
      </c>
    </row>
    <row r="3" customFormat="false" ht="15" hidden="false" customHeight="false" outlineLevel="0" collapsed="false">
      <c r="A3" s="1" t="s">
        <v>0</v>
      </c>
      <c r="B3" s="1" t="s">
        <v>7</v>
      </c>
      <c r="C3" s="1" t="s">
        <v>836</v>
      </c>
      <c r="D3" s="1" t="s">
        <v>837</v>
      </c>
      <c r="F3" s="1" t="s">
        <v>838</v>
      </c>
      <c r="G3" s="18"/>
    </row>
    <row r="4" customFormat="false" ht="15" hidden="false" customHeight="false" outlineLevel="0" collapsed="false">
      <c r="A4" s="6" t="s">
        <v>19</v>
      </c>
      <c r="B4" s="6" t="str">
        <f aca="false">INDEX(Data!$H$2:$H$3990,MATCH(A4,Data!$A$2:$A$3990,0))</f>
        <v>United Kingdom</v>
      </c>
      <c r="C4" s="19" t="n">
        <f aca="false">SUMIFS(Data!$I$2:$I$3990,Data!$A$2:$A$3990,A4,Data!$J$2:$J$3990,1)</f>
        <v>92.08</v>
      </c>
      <c r="D4" s="6" t="str">
        <f aca="false">IF(C4&gt;10000,"HIGH VALUE","")</f>
        <v/>
      </c>
      <c r="F4" s="7" t="s">
        <v>839</v>
      </c>
      <c r="G4" s="20" t="n">
        <f aca="false">COUNTA(A4:A723)</f>
        <v>720</v>
      </c>
    </row>
    <row r="5" customFormat="false" ht="15" hidden="false" customHeight="false" outlineLevel="0" collapsed="false">
      <c r="A5" s="6" t="s">
        <v>11</v>
      </c>
      <c r="B5" s="6" t="str">
        <f aca="false">INDEX(Data!$H$2:$H$3990,MATCH(A5,Data!$A$2:$A$3990,0))</f>
        <v>United Kingdom</v>
      </c>
      <c r="C5" s="19" t="n">
        <f aca="false">SUMIFS(Data!$I$2:$I$3990,Data!$A$2:$A$3990,A5,Data!$J$2:$J$3990,1)</f>
        <v>35.04</v>
      </c>
      <c r="D5" s="6" t="str">
        <f aca="false">IF(C5&gt;10000,"HIGH VALUE","")</f>
        <v/>
      </c>
      <c r="F5" s="7" t="s">
        <v>840</v>
      </c>
      <c r="G5" s="21" t="n">
        <f aca="false">AVERAGE(C4:C723)</f>
        <v>435.972388888889</v>
      </c>
    </row>
    <row r="6" customFormat="false" ht="15" hidden="false" customHeight="false" outlineLevel="0" collapsed="false">
      <c r="A6" s="6" t="s">
        <v>24</v>
      </c>
      <c r="B6" s="6" t="str">
        <f aca="false">INDEX(Data!$H$2:$H$3990,MATCH(A6,Data!$A$2:$A$3990,0))</f>
        <v>United Kingdom</v>
      </c>
      <c r="C6" s="19" t="n">
        <f aca="false">SUMIFS(Data!$I$2:$I$3990,Data!$A$2:$A$3990,A6,Data!$J$2:$J$3990,1)</f>
        <v>165.21</v>
      </c>
      <c r="D6" s="6" t="str">
        <f aca="false">IF(C6&gt;10000,"HIGH VALUE","")</f>
        <v/>
      </c>
      <c r="F6" s="7" t="s">
        <v>841</v>
      </c>
      <c r="G6" s="15" t="n">
        <f aca="false">MEDIAN(C4:C723)</f>
        <v>79.81</v>
      </c>
    </row>
    <row r="7" customFormat="false" ht="15" hidden="false" customHeight="false" outlineLevel="0" collapsed="false">
      <c r="A7" s="6" t="s">
        <v>36</v>
      </c>
      <c r="B7" s="6" t="str">
        <f aca="false">INDEX(Data!$H$2:$H$3990,MATCH(A7,Data!$A$2:$A$3990,0))</f>
        <v>United Kingdom</v>
      </c>
      <c r="C7" s="19" t="n">
        <f aca="false">SUMIFS(Data!$I$2:$I$3990,Data!$A$2:$A$3990,A7,Data!$J$2:$J$3990,1)</f>
        <v>44.09</v>
      </c>
      <c r="D7" s="6" t="str">
        <f aca="false">IF(C7&gt;10000,"HIGH VALUE","")</f>
        <v/>
      </c>
      <c r="F7" s="7" t="s">
        <v>842</v>
      </c>
      <c r="G7" s="15" t="n">
        <f aca="false">MAX(C4:C723)</f>
        <v>13671.14</v>
      </c>
    </row>
    <row r="8" customFormat="false" ht="15" hidden="false" customHeight="false" outlineLevel="0" collapsed="false">
      <c r="A8" s="6" t="s">
        <v>47</v>
      </c>
      <c r="B8" s="6" t="str">
        <f aca="false">INDEX(Data!$H$2:$H$3990,MATCH(A8,Data!$A$2:$A$3990,0))</f>
        <v>United Kingdom</v>
      </c>
      <c r="C8" s="19" t="n">
        <f aca="false">SUMIFS(Data!$I$2:$I$3990,Data!$A$2:$A$3990,A8,Data!$J$2:$J$3990,1)</f>
        <v>63.26</v>
      </c>
      <c r="D8" s="6" t="str">
        <f aca="false">IF(C8&gt;10000,"HIGH VALUE","")</f>
        <v/>
      </c>
      <c r="F8" s="7" t="s">
        <v>843</v>
      </c>
      <c r="G8" s="22" t="n">
        <f aca="false">COUNTIF(C4:C723,"&gt;10000")</f>
        <v>3</v>
      </c>
    </row>
    <row r="9" customFormat="false" ht="15" hidden="false" customHeight="false" outlineLevel="0" collapsed="false">
      <c r="A9" s="6" t="s">
        <v>31</v>
      </c>
      <c r="B9" s="6" t="str">
        <f aca="false">INDEX(Data!$H$2:$H$3990,MATCH(A9,Data!$A$2:$A$3990,0))</f>
        <v>United Kingdom</v>
      </c>
      <c r="C9" s="19" t="n">
        <f aca="false">SUMIFS(Data!$I$2:$I$3990,Data!$A$2:$A$3990,A9,Data!$J$2:$J$3990,1)</f>
        <v>9.52</v>
      </c>
      <c r="D9" s="6" t="str">
        <f aca="false">IF(C9&gt;10000,"HIGH VALUE","")</f>
        <v/>
      </c>
      <c r="F9" s="7" t="s">
        <v>844</v>
      </c>
      <c r="G9" s="23" t="n">
        <v>10000</v>
      </c>
    </row>
    <row r="10" customFormat="false" ht="15" hidden="false" customHeight="false" outlineLevel="0" collapsed="false">
      <c r="A10" s="6" t="s">
        <v>56</v>
      </c>
      <c r="B10" s="6" t="str">
        <f aca="false">INDEX(Data!$H$2:$H$3990,MATCH(A10,Data!$A$2:$A$3990,0))</f>
        <v>Germany</v>
      </c>
      <c r="C10" s="19" t="n">
        <f aca="false">SUMIFS(Data!$I$2:$I$3990,Data!$A$2:$A$3990,A10,Data!$J$2:$J$3990,1)</f>
        <v>178.6</v>
      </c>
      <c r="D10" s="6" t="str">
        <f aca="false">IF(C10&gt;10000,"HIGH VALUE","")</f>
        <v/>
      </c>
    </row>
    <row r="11" customFormat="false" ht="15" hidden="false" customHeight="false" outlineLevel="0" collapsed="false">
      <c r="A11" s="6" t="s">
        <v>62</v>
      </c>
      <c r="B11" s="6" t="str">
        <f aca="false">INDEX(Data!$H$2:$H$3990,MATCH(A11,Data!$A$2:$A$3990,0))</f>
        <v>Germany</v>
      </c>
      <c r="C11" s="19" t="n">
        <f aca="false">SUMIFS(Data!$I$2:$I$3990,Data!$A$2:$A$3990,A11,Data!$J$2:$J$3990,1)</f>
        <v>173.23</v>
      </c>
      <c r="D11" s="6" t="str">
        <f aca="false">IF(C11&gt;10000,"HIGH VALUE","")</f>
        <v/>
      </c>
      <c r="F11" s="11" t="s">
        <v>845</v>
      </c>
    </row>
    <row r="12" customFormat="false" ht="15" hidden="false" customHeight="false" outlineLevel="0" collapsed="false">
      <c r="A12" s="6" t="s">
        <v>70</v>
      </c>
      <c r="B12" s="6" t="str">
        <f aca="false">INDEX(Data!$H$2:$H$3990,MATCH(A12,Data!$A$2:$A$3990,0))</f>
        <v>United Kingdom</v>
      </c>
      <c r="C12" s="19" t="n">
        <f aca="false">SUMIFS(Data!$I$2:$I$3990,Data!$A$2:$A$3990,A12,Data!$J$2:$J$3990,1)</f>
        <v>3.18</v>
      </c>
      <c r="D12" s="6" t="str">
        <f aca="false">IF(C12&gt;10000,"HIGH VALUE","")</f>
        <v/>
      </c>
    </row>
    <row r="13" customFormat="false" ht="15" hidden="false" customHeight="false" outlineLevel="0" collapsed="false">
      <c r="A13" s="6" t="s">
        <v>67</v>
      </c>
      <c r="B13" s="6" t="str">
        <f aca="false">INDEX(Data!$H$2:$H$3990,MATCH(A13,Data!$A$2:$A$3990,0))</f>
        <v>United Kingdom</v>
      </c>
      <c r="C13" s="19" t="n">
        <f aca="false">SUMIFS(Data!$I$2:$I$3990,Data!$A$2:$A$3990,A13,Data!$J$2:$J$3990,1)</f>
        <v>48</v>
      </c>
      <c r="D13" s="6" t="str">
        <f aca="false">IF(C13&gt;10000,"HIGH VALUE","")</f>
        <v/>
      </c>
    </row>
    <row r="14" customFormat="false" ht="15" hidden="false" customHeight="false" outlineLevel="0" collapsed="false">
      <c r="A14" s="6" t="s">
        <v>71</v>
      </c>
      <c r="B14" s="6" t="str">
        <f aca="false">INDEX(Data!$H$2:$H$3990,MATCH(A14,Data!$A$2:$A$3990,0))</f>
        <v>United Kingdom</v>
      </c>
      <c r="C14" s="19" t="n">
        <f aca="false">SUMIFS(Data!$I$2:$I$3990,Data!$A$2:$A$3990,A14,Data!$J$2:$J$3990,1)</f>
        <v>7.11</v>
      </c>
      <c r="D14" s="6" t="str">
        <f aca="false">IF(C14&gt;10000,"HIGH VALUE","")</f>
        <v/>
      </c>
    </row>
    <row r="15" customFormat="false" ht="15" hidden="false" customHeight="false" outlineLevel="0" collapsed="false">
      <c r="A15" s="6" t="s">
        <v>74</v>
      </c>
      <c r="B15" s="6" t="str">
        <f aca="false">INDEX(Data!$H$2:$H$3990,MATCH(A15,Data!$A$2:$A$3990,0))</f>
        <v>United Kingdom</v>
      </c>
      <c r="C15" s="19" t="n">
        <f aca="false">SUMIFS(Data!$I$2:$I$3990,Data!$A$2:$A$3990,A15,Data!$J$2:$J$3990,1)</f>
        <v>40.11</v>
      </c>
      <c r="D15" s="6" t="str">
        <f aca="false">IF(C15&gt;10000,"HIGH VALUE","")</f>
        <v/>
      </c>
    </row>
    <row r="16" customFormat="false" ht="15" hidden="false" customHeight="false" outlineLevel="0" collapsed="false">
      <c r="A16" s="6" t="s">
        <v>82</v>
      </c>
      <c r="B16" s="6" t="str">
        <f aca="false">INDEX(Data!$H$2:$H$3990,MATCH(A16,Data!$A$2:$A$3990,0))</f>
        <v>United Kingdom</v>
      </c>
      <c r="C16" s="19" t="n">
        <f aca="false">SUMIFS(Data!$I$2:$I$3990,Data!$A$2:$A$3990,A16,Data!$J$2:$J$3990,1)</f>
        <v>130.79</v>
      </c>
      <c r="D16" s="6" t="str">
        <f aca="false">IF(C16&gt;10000,"HIGH VALUE","")</f>
        <v/>
      </c>
    </row>
    <row r="17" customFormat="false" ht="15" hidden="false" customHeight="false" outlineLevel="0" collapsed="false">
      <c r="A17" s="6" t="s">
        <v>79</v>
      </c>
      <c r="B17" s="6" t="str">
        <f aca="false">INDEX(Data!$H$2:$H$3990,MATCH(A17,Data!$A$2:$A$3990,0))</f>
        <v>United Kingdom</v>
      </c>
      <c r="C17" s="19" t="n">
        <f aca="false">SUMIFS(Data!$I$2:$I$3990,Data!$A$2:$A$3990,A17,Data!$J$2:$J$3990,1)</f>
        <v>3.06</v>
      </c>
      <c r="D17" s="6" t="str">
        <f aca="false">IF(C17&gt;10000,"HIGH VALUE","")</f>
        <v/>
      </c>
    </row>
    <row r="18" customFormat="false" ht="15" hidden="false" customHeight="false" outlineLevel="0" collapsed="false">
      <c r="A18" s="6" t="s">
        <v>84</v>
      </c>
      <c r="B18" s="6" t="str">
        <f aca="false">INDEX(Data!$H$2:$H$3990,MATCH(A18,Data!$A$2:$A$3990,0))</f>
        <v>United Kingdom</v>
      </c>
      <c r="C18" s="19" t="n">
        <f aca="false">SUMIFS(Data!$I$2:$I$3990,Data!$A$2:$A$3990,A18,Data!$J$2:$J$3990,1)</f>
        <v>90.09</v>
      </c>
      <c r="D18" s="6" t="str">
        <f aca="false">IF(C18&gt;10000,"HIGH VALUE","")</f>
        <v/>
      </c>
    </row>
    <row r="19" customFormat="false" ht="15" hidden="false" customHeight="false" outlineLevel="0" collapsed="false">
      <c r="A19" s="6" t="s">
        <v>83</v>
      </c>
      <c r="B19" s="6" t="str">
        <f aca="false">INDEX(Data!$H$2:$H$3990,MATCH(A19,Data!$A$2:$A$3990,0))</f>
        <v>Germany</v>
      </c>
      <c r="C19" s="19" t="n">
        <f aca="false">SUMIFS(Data!$I$2:$I$3990,Data!$A$2:$A$3990,A19,Data!$J$2:$J$3990,1)</f>
        <v>18.9</v>
      </c>
      <c r="D19" s="6" t="str">
        <f aca="false">IF(C19&gt;10000,"HIGH VALUE","")</f>
        <v/>
      </c>
    </row>
    <row r="20" customFormat="false" ht="15" hidden="false" customHeight="false" outlineLevel="0" collapsed="false">
      <c r="A20" s="6" t="s">
        <v>85</v>
      </c>
      <c r="B20" s="6" t="str">
        <f aca="false">INDEX(Data!$H$2:$H$3990,MATCH(A20,Data!$A$2:$A$3990,0))</f>
        <v>United Kingdom</v>
      </c>
      <c r="C20" s="19" t="n">
        <f aca="false">SUMIFS(Data!$I$2:$I$3990,Data!$A$2:$A$3990,A20,Data!$J$2:$J$3990,1)</f>
        <v>181.75</v>
      </c>
      <c r="D20" s="6" t="str">
        <f aca="false">IF(C20&gt;10000,"HIGH VALUE","")</f>
        <v/>
      </c>
    </row>
    <row r="21" customFormat="false" ht="15" hidden="false" customHeight="false" outlineLevel="0" collapsed="false">
      <c r="A21" s="6" t="s">
        <v>86</v>
      </c>
      <c r="B21" s="6" t="str">
        <f aca="false">INDEX(Data!$H$2:$H$3990,MATCH(A21,Data!$A$2:$A$3990,0))</f>
        <v>United Kingdom</v>
      </c>
      <c r="C21" s="19" t="n">
        <f aca="false">SUMIFS(Data!$I$2:$I$3990,Data!$A$2:$A$3990,A21,Data!$J$2:$J$3990,1)</f>
        <v>110.16</v>
      </c>
      <c r="D21" s="6" t="str">
        <f aca="false">IF(C21&gt;10000,"HIGH VALUE","")</f>
        <v/>
      </c>
    </row>
    <row r="22" customFormat="false" ht="15" hidden="false" customHeight="false" outlineLevel="0" collapsed="false">
      <c r="A22" s="6" t="s">
        <v>87</v>
      </c>
      <c r="B22" s="6" t="str">
        <f aca="false">INDEX(Data!$H$2:$H$3990,MATCH(A22,Data!$A$2:$A$3990,0))</f>
        <v>Switzerland</v>
      </c>
      <c r="C22" s="19" t="n">
        <f aca="false">SUMIFS(Data!$I$2:$I$3990,Data!$A$2:$A$3990,A22,Data!$J$2:$J$3990,1)</f>
        <v>46.8</v>
      </c>
      <c r="D22" s="6" t="str">
        <f aca="false">IF(C22&gt;10000,"HIGH VALUE","")</f>
        <v/>
      </c>
    </row>
    <row r="23" customFormat="false" ht="15" hidden="false" customHeight="false" outlineLevel="0" collapsed="false">
      <c r="A23" s="6" t="s">
        <v>89</v>
      </c>
      <c r="B23" s="6" t="str">
        <f aca="false">INDEX(Data!$H$2:$H$3990,MATCH(A23,Data!$A$2:$A$3990,0))</f>
        <v>United Kingdom</v>
      </c>
      <c r="C23" s="19" t="n">
        <f aca="false">SUMIFS(Data!$I$2:$I$3990,Data!$A$2:$A$3990,A23,Data!$J$2:$J$3990,1)</f>
        <v>13</v>
      </c>
      <c r="D23" s="6" t="str">
        <f aca="false">IF(C23&gt;10000,"HIGH VALUE","")</f>
        <v/>
      </c>
    </row>
    <row r="24" customFormat="false" ht="15" hidden="false" customHeight="false" outlineLevel="0" collapsed="false">
      <c r="A24" s="6" t="s">
        <v>92</v>
      </c>
      <c r="B24" s="6" t="str">
        <f aca="false">INDEX(Data!$H$2:$H$3990,MATCH(A24,Data!$A$2:$A$3990,0))</f>
        <v>Germany</v>
      </c>
      <c r="C24" s="19" t="n">
        <f aca="false">SUMIFS(Data!$I$2:$I$3990,Data!$A$2:$A$3990,A24,Data!$J$2:$J$3990,1)</f>
        <v>28.86</v>
      </c>
      <c r="D24" s="6" t="str">
        <f aca="false">IF(C24&gt;10000,"HIGH VALUE","")</f>
        <v/>
      </c>
    </row>
    <row r="25" customFormat="false" ht="15" hidden="false" customHeight="false" outlineLevel="0" collapsed="false">
      <c r="A25" s="6" t="s">
        <v>93</v>
      </c>
      <c r="B25" s="6" t="str">
        <f aca="false">INDEX(Data!$H$2:$H$3990,MATCH(A25,Data!$A$2:$A$3990,0))</f>
        <v>United Kingdom</v>
      </c>
      <c r="C25" s="19" t="n">
        <f aca="false">SUMIFS(Data!$I$2:$I$3990,Data!$A$2:$A$3990,A25,Data!$J$2:$J$3990,1)</f>
        <v>203.52</v>
      </c>
      <c r="D25" s="6" t="str">
        <f aca="false">IF(C25&gt;10000,"HIGH VALUE","")</f>
        <v/>
      </c>
    </row>
    <row r="26" customFormat="false" ht="15" hidden="false" customHeight="false" outlineLevel="0" collapsed="false">
      <c r="A26" s="6" t="s">
        <v>94</v>
      </c>
      <c r="B26" s="6" t="str">
        <f aca="false">INDEX(Data!$H$2:$H$3990,MATCH(A26,Data!$A$2:$A$3990,0))</f>
        <v>United Kingdom</v>
      </c>
      <c r="C26" s="19" t="n">
        <f aca="false">SUMIFS(Data!$I$2:$I$3990,Data!$A$2:$A$3990,A26,Data!$J$2:$J$3990,1)</f>
        <v>1410.42</v>
      </c>
      <c r="D26" s="6" t="str">
        <f aca="false">IF(C26&gt;10000,"HIGH VALUE","")</f>
        <v/>
      </c>
    </row>
    <row r="27" customFormat="false" ht="15" hidden="false" customHeight="false" outlineLevel="0" collapsed="false">
      <c r="A27" s="6" t="s">
        <v>95</v>
      </c>
      <c r="B27" s="6" t="str">
        <f aca="false">INDEX(Data!$H$2:$H$3990,MATCH(A27,Data!$A$2:$A$3990,0))</f>
        <v>United Kingdom</v>
      </c>
      <c r="C27" s="19" t="n">
        <f aca="false">SUMIFS(Data!$I$2:$I$3990,Data!$A$2:$A$3990,A27,Data!$J$2:$J$3990,1)</f>
        <v>76.17</v>
      </c>
      <c r="D27" s="6" t="str">
        <f aca="false">IF(C27&gt;10000,"HIGH VALUE","")</f>
        <v/>
      </c>
    </row>
    <row r="28" customFormat="false" ht="15" hidden="false" customHeight="false" outlineLevel="0" collapsed="false">
      <c r="A28" s="6" t="s">
        <v>96</v>
      </c>
      <c r="B28" s="6" t="str">
        <f aca="false">INDEX(Data!$H$2:$H$3990,MATCH(A28,Data!$A$2:$A$3990,0))</f>
        <v>EIRE</v>
      </c>
      <c r="C28" s="19" t="n">
        <f aca="false">SUMIFS(Data!$I$2:$I$3990,Data!$A$2:$A$3990,A28,Data!$J$2:$J$3990,1)</f>
        <v>327.78</v>
      </c>
      <c r="D28" s="6" t="str">
        <f aca="false">IF(C28&gt;10000,"HIGH VALUE","")</f>
        <v/>
      </c>
    </row>
    <row r="29" customFormat="false" ht="15" hidden="false" customHeight="false" outlineLevel="0" collapsed="false">
      <c r="A29" s="6" t="s">
        <v>98</v>
      </c>
      <c r="B29" s="6" t="str">
        <f aca="false">INDEX(Data!$H$2:$H$3990,MATCH(A29,Data!$A$2:$A$3990,0))</f>
        <v>United Kingdom</v>
      </c>
      <c r="C29" s="19" t="n">
        <f aca="false">SUMIFS(Data!$I$2:$I$3990,Data!$A$2:$A$3990,A29,Data!$J$2:$J$3990,1)</f>
        <v>64.92</v>
      </c>
      <c r="D29" s="6" t="str">
        <f aca="false">IF(C29&gt;10000,"HIGH VALUE","")</f>
        <v/>
      </c>
    </row>
    <row r="30" customFormat="false" ht="15" hidden="false" customHeight="false" outlineLevel="0" collapsed="false">
      <c r="A30" s="6" t="s">
        <v>100</v>
      </c>
      <c r="B30" s="6" t="str">
        <f aca="false">INDEX(Data!$H$2:$H$3990,MATCH(A30,Data!$A$2:$A$3990,0))</f>
        <v>Belgium</v>
      </c>
      <c r="C30" s="19" t="n">
        <f aca="false">SUMIFS(Data!$I$2:$I$3990,Data!$A$2:$A$3990,A30,Data!$J$2:$J$3990,1)</f>
        <v>22.45</v>
      </c>
      <c r="D30" s="6" t="str">
        <f aca="false">IF(C30&gt;10000,"HIGH VALUE","")</f>
        <v/>
      </c>
    </row>
    <row r="31" customFormat="false" ht="15" hidden="false" customHeight="false" outlineLevel="0" collapsed="false">
      <c r="A31" s="6" t="s">
        <v>99</v>
      </c>
      <c r="B31" s="6" t="str">
        <f aca="false">INDEX(Data!$H$2:$H$3990,MATCH(A31,Data!$A$2:$A$3990,0))</f>
        <v>United Kingdom</v>
      </c>
      <c r="C31" s="19" t="n">
        <f aca="false">SUMIFS(Data!$I$2:$I$3990,Data!$A$2:$A$3990,A31,Data!$J$2:$J$3990,1)</f>
        <v>13.26</v>
      </c>
      <c r="D31" s="6" t="str">
        <f aca="false">IF(C31&gt;10000,"HIGH VALUE","")</f>
        <v/>
      </c>
    </row>
    <row r="32" customFormat="false" ht="15" hidden="false" customHeight="false" outlineLevel="0" collapsed="false">
      <c r="A32" s="6" t="s">
        <v>102</v>
      </c>
      <c r="B32" s="6" t="str">
        <f aca="false">INDEX(Data!$H$2:$H$3990,MATCH(A32,Data!$A$2:$A$3990,0))</f>
        <v>United Kingdom</v>
      </c>
      <c r="C32" s="19" t="n">
        <f aca="false">SUMIFS(Data!$I$2:$I$3990,Data!$A$2:$A$3990,A32,Data!$J$2:$J$3990,1)</f>
        <v>583.92</v>
      </c>
      <c r="D32" s="6" t="str">
        <f aca="false">IF(C32&gt;10000,"HIGH VALUE","")</f>
        <v/>
      </c>
    </row>
    <row r="33" customFormat="false" ht="15" hidden="false" customHeight="false" outlineLevel="0" collapsed="false">
      <c r="A33" s="6" t="s">
        <v>105</v>
      </c>
      <c r="B33" s="6" t="str">
        <f aca="false">INDEX(Data!$H$2:$H$3990,MATCH(A33,Data!$A$2:$A$3990,0))</f>
        <v>United Kingdom</v>
      </c>
      <c r="C33" s="19" t="n">
        <f aca="false">SUMIFS(Data!$I$2:$I$3990,Data!$A$2:$A$3990,A33,Data!$J$2:$J$3990,1)</f>
        <v>2706.66</v>
      </c>
      <c r="D33" s="6" t="str">
        <f aca="false">IF(C33&gt;10000,"HIGH VALUE","")</f>
        <v/>
      </c>
    </row>
    <row r="34" customFormat="false" ht="15" hidden="false" customHeight="false" outlineLevel="0" collapsed="false">
      <c r="A34" s="6" t="s">
        <v>103</v>
      </c>
      <c r="B34" s="6" t="str">
        <f aca="false">INDEX(Data!$H$2:$H$3990,MATCH(A34,Data!$A$2:$A$3990,0))</f>
        <v>United Kingdom</v>
      </c>
      <c r="C34" s="19" t="n">
        <f aca="false">SUMIFS(Data!$I$2:$I$3990,Data!$A$2:$A$3990,A34,Data!$J$2:$J$3990,1)</f>
        <v>11.88</v>
      </c>
      <c r="D34" s="6" t="str">
        <f aca="false">IF(C34&gt;10000,"HIGH VALUE","")</f>
        <v/>
      </c>
    </row>
    <row r="35" customFormat="false" ht="15" hidden="false" customHeight="false" outlineLevel="0" collapsed="false">
      <c r="A35" s="6" t="s">
        <v>104</v>
      </c>
      <c r="B35" s="6" t="str">
        <f aca="false">INDEX(Data!$H$2:$H$3990,MATCH(A35,Data!$A$2:$A$3990,0))</f>
        <v>United Kingdom</v>
      </c>
      <c r="C35" s="19" t="n">
        <f aca="false">SUMIFS(Data!$I$2:$I$3990,Data!$A$2:$A$3990,A35,Data!$J$2:$J$3990,1)</f>
        <v>48.68</v>
      </c>
      <c r="D35" s="6" t="str">
        <f aca="false">IF(C35&gt;10000,"HIGH VALUE","")</f>
        <v/>
      </c>
    </row>
    <row r="36" customFormat="false" ht="15" hidden="false" customHeight="false" outlineLevel="0" collapsed="false">
      <c r="A36" s="6" t="s">
        <v>106</v>
      </c>
      <c r="B36" s="6" t="str">
        <f aca="false">INDEX(Data!$H$2:$H$3990,MATCH(A36,Data!$A$2:$A$3990,0))</f>
        <v>United Kingdom</v>
      </c>
      <c r="C36" s="19" t="n">
        <f aca="false">SUMIFS(Data!$I$2:$I$3990,Data!$A$2:$A$3990,A36,Data!$J$2:$J$3990,1)</f>
        <v>33.1</v>
      </c>
      <c r="D36" s="6" t="str">
        <f aca="false">IF(C36&gt;10000,"HIGH VALUE","")</f>
        <v/>
      </c>
    </row>
    <row r="37" customFormat="false" ht="15" hidden="false" customHeight="false" outlineLevel="0" collapsed="false">
      <c r="A37" s="6" t="s">
        <v>109</v>
      </c>
      <c r="B37" s="6" t="str">
        <f aca="false">INDEX(Data!$H$2:$H$3990,MATCH(A37,Data!$A$2:$A$3990,0))</f>
        <v>United Kingdom</v>
      </c>
      <c r="C37" s="19" t="n">
        <f aca="false">SUMIFS(Data!$I$2:$I$3990,Data!$A$2:$A$3990,A37,Data!$J$2:$J$3990,1)</f>
        <v>21.75</v>
      </c>
      <c r="D37" s="6" t="str">
        <f aca="false">IF(C37&gt;10000,"HIGH VALUE","")</f>
        <v/>
      </c>
    </row>
    <row r="38" customFormat="false" ht="15" hidden="false" customHeight="false" outlineLevel="0" collapsed="false">
      <c r="A38" s="6" t="s">
        <v>107</v>
      </c>
      <c r="B38" s="6" t="str">
        <f aca="false">INDEX(Data!$H$2:$H$3990,MATCH(A38,Data!$A$2:$A$3990,0))</f>
        <v>United Kingdom</v>
      </c>
      <c r="C38" s="19" t="n">
        <f aca="false">SUMIFS(Data!$I$2:$I$3990,Data!$A$2:$A$3990,A38,Data!$J$2:$J$3990,1)</f>
        <v>32.46</v>
      </c>
      <c r="D38" s="6" t="str">
        <f aca="false">IF(C38&gt;10000,"HIGH VALUE","")</f>
        <v/>
      </c>
    </row>
    <row r="39" customFormat="false" ht="15" hidden="false" customHeight="false" outlineLevel="0" collapsed="false">
      <c r="A39" s="6" t="s">
        <v>108</v>
      </c>
      <c r="B39" s="6" t="str">
        <f aca="false">INDEX(Data!$H$2:$H$3990,MATCH(A39,Data!$A$2:$A$3990,0))</f>
        <v>United Kingdom</v>
      </c>
      <c r="C39" s="19" t="n">
        <f aca="false">SUMIFS(Data!$I$2:$I$3990,Data!$A$2:$A$3990,A39,Data!$J$2:$J$3990,1)</f>
        <v>52.79</v>
      </c>
      <c r="D39" s="6" t="str">
        <f aca="false">IF(C39&gt;10000,"HIGH VALUE","")</f>
        <v/>
      </c>
    </row>
    <row r="40" customFormat="false" ht="15" hidden="false" customHeight="false" outlineLevel="0" collapsed="false">
      <c r="A40" s="6" t="s">
        <v>110</v>
      </c>
      <c r="B40" s="6" t="str">
        <f aca="false">INDEX(Data!$H$2:$H$3990,MATCH(A40,Data!$A$2:$A$3990,0))</f>
        <v>United Kingdom</v>
      </c>
      <c r="C40" s="19" t="n">
        <f aca="false">SUMIFS(Data!$I$2:$I$3990,Data!$A$2:$A$3990,A40,Data!$J$2:$J$3990,1)</f>
        <v>6.82</v>
      </c>
      <c r="D40" s="6" t="str">
        <f aca="false">IF(C40&gt;10000,"HIGH VALUE","")</f>
        <v/>
      </c>
    </row>
    <row r="41" customFormat="false" ht="15" hidden="false" customHeight="false" outlineLevel="0" collapsed="false">
      <c r="A41" s="6" t="s">
        <v>115</v>
      </c>
      <c r="B41" s="6" t="str">
        <f aca="false">INDEX(Data!$H$2:$H$3990,MATCH(A41,Data!$A$2:$A$3990,0))</f>
        <v>United Kingdom</v>
      </c>
      <c r="C41" s="19" t="n">
        <f aca="false">SUMIFS(Data!$I$2:$I$3990,Data!$A$2:$A$3990,A41,Data!$J$2:$J$3990,1)</f>
        <v>743.04</v>
      </c>
      <c r="D41" s="6" t="str">
        <f aca="false">IF(C41&gt;10000,"HIGH VALUE","")</f>
        <v/>
      </c>
    </row>
    <row r="42" customFormat="false" ht="15" hidden="false" customHeight="false" outlineLevel="0" collapsed="false">
      <c r="A42" s="6" t="s">
        <v>112</v>
      </c>
      <c r="B42" s="6" t="str">
        <f aca="false">INDEX(Data!$H$2:$H$3990,MATCH(A42,Data!$A$2:$A$3990,0))</f>
        <v>United Kingdom</v>
      </c>
      <c r="C42" s="19" t="n">
        <f aca="false">SUMIFS(Data!$I$2:$I$3990,Data!$A$2:$A$3990,A42,Data!$J$2:$J$3990,1)</f>
        <v>122.64</v>
      </c>
      <c r="D42" s="6" t="str">
        <f aca="false">IF(C42&gt;10000,"HIGH VALUE","")</f>
        <v/>
      </c>
    </row>
    <row r="43" customFormat="false" ht="15" hidden="false" customHeight="false" outlineLevel="0" collapsed="false">
      <c r="A43" s="6" t="s">
        <v>111</v>
      </c>
      <c r="B43" s="6" t="str">
        <f aca="false">INDEX(Data!$H$2:$H$3990,MATCH(A43,Data!$A$2:$A$3990,0))</f>
        <v>EIRE</v>
      </c>
      <c r="C43" s="19" t="n">
        <f aca="false">SUMIFS(Data!$I$2:$I$3990,Data!$A$2:$A$3990,A43,Data!$J$2:$J$3990,1)</f>
        <v>184.42</v>
      </c>
      <c r="D43" s="6" t="str">
        <f aca="false">IF(C43&gt;10000,"HIGH VALUE","")</f>
        <v/>
      </c>
    </row>
    <row r="44" customFormat="false" ht="15" hidden="false" customHeight="false" outlineLevel="0" collapsed="false">
      <c r="A44" s="6" t="s">
        <v>116</v>
      </c>
      <c r="B44" s="6" t="str">
        <f aca="false">INDEX(Data!$H$2:$H$3990,MATCH(A44,Data!$A$2:$A$3990,0))</f>
        <v>United Kingdom</v>
      </c>
      <c r="C44" s="19" t="n">
        <f aca="false">SUMIFS(Data!$I$2:$I$3990,Data!$A$2:$A$3990,A44,Data!$J$2:$J$3990,1)</f>
        <v>13671.14</v>
      </c>
      <c r="D44" s="6" t="str">
        <f aca="false">IF(C44&gt;10000,"HIGH VALUE","")</f>
        <v>HIGH VALUE</v>
      </c>
    </row>
    <row r="45" customFormat="false" ht="15" hidden="false" customHeight="false" outlineLevel="0" collapsed="false">
      <c r="A45" s="6" t="s">
        <v>119</v>
      </c>
      <c r="B45" s="6" t="str">
        <f aca="false">INDEX(Data!$H$2:$H$3990,MATCH(A45,Data!$A$2:$A$3990,0))</f>
        <v>France</v>
      </c>
      <c r="C45" s="19" t="n">
        <f aca="false">SUMIFS(Data!$I$2:$I$3990,Data!$A$2:$A$3990,A45,Data!$J$2:$J$3990,1)</f>
        <v>26.93</v>
      </c>
      <c r="D45" s="6" t="str">
        <f aca="false">IF(C45&gt;10000,"HIGH VALUE","")</f>
        <v/>
      </c>
    </row>
    <row r="46" customFormat="false" ht="15" hidden="false" customHeight="false" outlineLevel="0" collapsed="false">
      <c r="A46" s="6" t="s">
        <v>121</v>
      </c>
      <c r="B46" s="6" t="str">
        <f aca="false">INDEX(Data!$H$2:$H$3990,MATCH(A46,Data!$A$2:$A$3990,0))</f>
        <v>United Kingdom</v>
      </c>
      <c r="C46" s="19" t="n">
        <f aca="false">SUMIFS(Data!$I$2:$I$3990,Data!$A$2:$A$3990,A46,Data!$J$2:$J$3990,1)</f>
        <v>193.2</v>
      </c>
      <c r="D46" s="6" t="str">
        <f aca="false">IF(C46&gt;10000,"HIGH VALUE","")</f>
        <v/>
      </c>
    </row>
    <row r="47" customFormat="false" ht="15" hidden="false" customHeight="false" outlineLevel="0" collapsed="false">
      <c r="A47" s="6" t="s">
        <v>122</v>
      </c>
      <c r="B47" s="6" t="str">
        <f aca="false">INDEX(Data!$H$2:$H$3990,MATCH(A47,Data!$A$2:$A$3990,0))</f>
        <v>United Kingdom</v>
      </c>
      <c r="C47" s="19" t="n">
        <f aca="false">SUMIFS(Data!$I$2:$I$3990,Data!$A$2:$A$3990,A47,Data!$J$2:$J$3990,1)</f>
        <v>226</v>
      </c>
      <c r="D47" s="6" t="str">
        <f aca="false">IF(C47&gt;10000,"HIGH VALUE","")</f>
        <v/>
      </c>
    </row>
    <row r="48" customFormat="false" ht="15" hidden="false" customHeight="false" outlineLevel="0" collapsed="false">
      <c r="A48" s="6" t="s">
        <v>125</v>
      </c>
      <c r="B48" s="6" t="str">
        <f aca="false">INDEX(Data!$H$2:$H$3990,MATCH(A48,Data!$A$2:$A$3990,0))</f>
        <v>United Kingdom</v>
      </c>
      <c r="C48" s="19" t="n">
        <f aca="false">SUMIFS(Data!$I$2:$I$3990,Data!$A$2:$A$3990,A48,Data!$J$2:$J$3990,1)</f>
        <v>12.24</v>
      </c>
      <c r="D48" s="6" t="str">
        <f aca="false">IF(C48&gt;10000,"HIGH VALUE","")</f>
        <v/>
      </c>
    </row>
    <row r="49" customFormat="false" ht="15" hidden="false" customHeight="false" outlineLevel="0" collapsed="false">
      <c r="A49" s="6" t="s">
        <v>123</v>
      </c>
      <c r="B49" s="6" t="str">
        <f aca="false">INDEX(Data!$H$2:$H$3990,MATCH(A49,Data!$A$2:$A$3990,0))</f>
        <v>Netherlands</v>
      </c>
      <c r="C49" s="19" t="n">
        <f aca="false">SUMIFS(Data!$I$2:$I$3990,Data!$A$2:$A$3990,A49,Data!$J$2:$J$3990,1)</f>
        <v>343.44</v>
      </c>
      <c r="D49" s="6" t="str">
        <f aca="false">IF(C49&gt;10000,"HIGH VALUE","")</f>
        <v/>
      </c>
    </row>
    <row r="50" customFormat="false" ht="15" hidden="false" customHeight="false" outlineLevel="0" collapsed="false">
      <c r="A50" s="6" t="s">
        <v>128</v>
      </c>
      <c r="B50" s="6" t="str">
        <f aca="false">INDEX(Data!$H$2:$H$3990,MATCH(A50,Data!$A$2:$A$3990,0))</f>
        <v>United Kingdom</v>
      </c>
      <c r="C50" s="19" t="n">
        <f aca="false">SUMIFS(Data!$I$2:$I$3990,Data!$A$2:$A$3990,A50,Data!$J$2:$J$3990,1)</f>
        <v>259.87</v>
      </c>
      <c r="D50" s="6" t="str">
        <f aca="false">IF(C50&gt;10000,"HIGH VALUE","")</f>
        <v/>
      </c>
    </row>
    <row r="51" customFormat="false" ht="15" hidden="false" customHeight="false" outlineLevel="0" collapsed="false">
      <c r="A51" s="6" t="s">
        <v>126</v>
      </c>
      <c r="B51" s="6" t="str">
        <f aca="false">INDEX(Data!$H$2:$H$3990,MATCH(A51,Data!$A$2:$A$3990,0))</f>
        <v>United Kingdom</v>
      </c>
      <c r="C51" s="19" t="n">
        <f aca="false">SUMIFS(Data!$I$2:$I$3990,Data!$A$2:$A$3990,A51,Data!$J$2:$J$3990,1)</f>
        <v>71.25</v>
      </c>
      <c r="D51" s="6" t="str">
        <f aca="false">IF(C51&gt;10000,"HIGH VALUE","")</f>
        <v/>
      </c>
    </row>
    <row r="52" customFormat="false" ht="15" hidden="false" customHeight="false" outlineLevel="0" collapsed="false">
      <c r="A52" s="6" t="s">
        <v>127</v>
      </c>
      <c r="B52" s="6" t="str">
        <f aca="false">INDEX(Data!$H$2:$H$3990,MATCH(A52,Data!$A$2:$A$3990,0))</f>
        <v>United Kingdom</v>
      </c>
      <c r="C52" s="19" t="n">
        <f aca="false">SUMIFS(Data!$I$2:$I$3990,Data!$A$2:$A$3990,A52,Data!$J$2:$J$3990,1)</f>
        <v>133.23</v>
      </c>
      <c r="D52" s="6" t="str">
        <f aca="false">IF(C52&gt;10000,"HIGH VALUE","")</f>
        <v/>
      </c>
    </row>
    <row r="53" customFormat="false" ht="15" hidden="false" customHeight="false" outlineLevel="0" collapsed="false">
      <c r="A53" s="6" t="s">
        <v>129</v>
      </c>
      <c r="B53" s="6" t="str">
        <f aca="false">INDEX(Data!$H$2:$H$3990,MATCH(A53,Data!$A$2:$A$3990,0))</f>
        <v>United Kingdom</v>
      </c>
      <c r="C53" s="19" t="n">
        <f aca="false">SUMIFS(Data!$I$2:$I$3990,Data!$A$2:$A$3990,A53,Data!$J$2:$J$3990,1)</f>
        <v>12.92</v>
      </c>
      <c r="D53" s="6" t="str">
        <f aca="false">IF(C53&gt;10000,"HIGH VALUE","")</f>
        <v/>
      </c>
    </row>
    <row r="54" customFormat="false" ht="15" hidden="false" customHeight="false" outlineLevel="0" collapsed="false">
      <c r="A54" s="6" t="s">
        <v>130</v>
      </c>
      <c r="B54" s="6" t="str">
        <f aca="false">INDEX(Data!$H$2:$H$3990,MATCH(A54,Data!$A$2:$A$3990,0))</f>
        <v>United Kingdom</v>
      </c>
      <c r="C54" s="19" t="n">
        <f aca="false">SUMIFS(Data!$I$2:$I$3990,Data!$A$2:$A$3990,A54,Data!$J$2:$J$3990,1)</f>
        <v>99.84</v>
      </c>
      <c r="D54" s="6" t="str">
        <f aca="false">IF(C54&gt;10000,"HIGH VALUE","")</f>
        <v/>
      </c>
    </row>
    <row r="55" customFormat="false" ht="15" hidden="false" customHeight="false" outlineLevel="0" collapsed="false">
      <c r="A55" s="6" t="s">
        <v>131</v>
      </c>
      <c r="B55" s="6" t="str">
        <f aca="false">INDEX(Data!$H$2:$H$3990,MATCH(A55,Data!$A$2:$A$3990,0))</f>
        <v>United Kingdom</v>
      </c>
      <c r="C55" s="19" t="n">
        <f aca="false">SUMIFS(Data!$I$2:$I$3990,Data!$A$2:$A$3990,A55,Data!$J$2:$J$3990,1)</f>
        <v>142.34</v>
      </c>
      <c r="D55" s="6" t="str">
        <f aca="false">IF(C55&gt;10000,"HIGH VALUE","")</f>
        <v/>
      </c>
    </row>
    <row r="56" customFormat="false" ht="15" hidden="false" customHeight="false" outlineLevel="0" collapsed="false">
      <c r="A56" s="6" t="s">
        <v>132</v>
      </c>
      <c r="B56" s="6" t="str">
        <f aca="false">INDEX(Data!$H$2:$H$3990,MATCH(A56,Data!$A$2:$A$3990,0))</f>
        <v>United Kingdom</v>
      </c>
      <c r="C56" s="19" t="n">
        <f aca="false">SUMIFS(Data!$I$2:$I$3990,Data!$A$2:$A$3990,A56,Data!$J$2:$J$3990,1)</f>
        <v>63.94</v>
      </c>
      <c r="D56" s="6" t="str">
        <f aca="false">IF(C56&gt;10000,"HIGH VALUE","")</f>
        <v/>
      </c>
    </row>
    <row r="57" customFormat="false" ht="15" hidden="false" customHeight="false" outlineLevel="0" collapsed="false">
      <c r="A57" s="6" t="s">
        <v>134</v>
      </c>
      <c r="B57" s="6" t="str">
        <f aca="false">INDEX(Data!$H$2:$H$3990,MATCH(A57,Data!$A$2:$A$3990,0))</f>
        <v>United Kingdom</v>
      </c>
      <c r="C57" s="19" t="n">
        <f aca="false">SUMIFS(Data!$I$2:$I$3990,Data!$A$2:$A$3990,A57,Data!$J$2:$J$3990,1)</f>
        <v>81.44</v>
      </c>
      <c r="D57" s="6" t="str">
        <f aca="false">IF(C57&gt;10000,"HIGH VALUE","")</f>
        <v/>
      </c>
    </row>
    <row r="58" customFormat="false" ht="15" hidden="false" customHeight="false" outlineLevel="0" collapsed="false">
      <c r="A58" s="6" t="s">
        <v>133</v>
      </c>
      <c r="B58" s="6" t="str">
        <f aca="false">INDEX(Data!$H$2:$H$3990,MATCH(A58,Data!$A$2:$A$3990,0))</f>
        <v>United Kingdom</v>
      </c>
      <c r="C58" s="19" t="n">
        <f aca="false">SUMIFS(Data!$I$2:$I$3990,Data!$A$2:$A$3990,A58,Data!$J$2:$J$3990,1)</f>
        <v>28.61</v>
      </c>
      <c r="D58" s="6" t="str">
        <f aca="false">IF(C58&gt;10000,"HIGH VALUE","")</f>
        <v/>
      </c>
    </row>
    <row r="59" customFormat="false" ht="15" hidden="false" customHeight="false" outlineLevel="0" collapsed="false">
      <c r="A59" s="6" t="s">
        <v>136</v>
      </c>
      <c r="B59" s="6" t="str">
        <f aca="false">INDEX(Data!$H$2:$H$3990,MATCH(A59,Data!$A$2:$A$3990,0))</f>
        <v>United Kingdom</v>
      </c>
      <c r="C59" s="19" t="n">
        <f aca="false">SUMIFS(Data!$I$2:$I$3990,Data!$A$2:$A$3990,A59,Data!$J$2:$J$3990,1)</f>
        <v>111.75</v>
      </c>
      <c r="D59" s="6" t="str">
        <f aca="false">IF(C59&gt;10000,"HIGH VALUE","")</f>
        <v/>
      </c>
    </row>
    <row r="60" customFormat="false" ht="15" hidden="false" customHeight="false" outlineLevel="0" collapsed="false">
      <c r="A60" s="6" t="s">
        <v>135</v>
      </c>
      <c r="B60" s="6" t="str">
        <f aca="false">INDEX(Data!$H$2:$H$3990,MATCH(A60,Data!$A$2:$A$3990,0))</f>
        <v>United Kingdom</v>
      </c>
      <c r="C60" s="19" t="n">
        <f aca="false">SUMIFS(Data!$I$2:$I$3990,Data!$A$2:$A$3990,A60,Data!$J$2:$J$3990,1)</f>
        <v>49.06</v>
      </c>
      <c r="D60" s="6" t="str">
        <f aca="false">IF(C60&gt;10000,"HIGH VALUE","")</f>
        <v/>
      </c>
    </row>
    <row r="61" customFormat="false" ht="15" hidden="false" customHeight="false" outlineLevel="0" collapsed="false">
      <c r="A61" s="6" t="s">
        <v>137</v>
      </c>
      <c r="B61" s="6" t="str">
        <f aca="false">INDEX(Data!$H$2:$H$3990,MATCH(A61,Data!$A$2:$A$3990,0))</f>
        <v>EIRE</v>
      </c>
      <c r="C61" s="19" t="n">
        <f aca="false">SUMIFS(Data!$I$2:$I$3990,Data!$A$2:$A$3990,A61,Data!$J$2:$J$3990,1)</f>
        <v>195.7</v>
      </c>
      <c r="D61" s="6" t="str">
        <f aca="false">IF(C61&gt;10000,"HIGH VALUE","")</f>
        <v/>
      </c>
    </row>
    <row r="62" customFormat="false" ht="15" hidden="false" customHeight="false" outlineLevel="0" collapsed="false">
      <c r="A62" s="6" t="s">
        <v>138</v>
      </c>
      <c r="B62" s="6" t="str">
        <f aca="false">INDEX(Data!$H$2:$H$3990,MATCH(A62,Data!$A$2:$A$3990,0))</f>
        <v>United Kingdom</v>
      </c>
      <c r="C62" s="19" t="n">
        <f aca="false">SUMIFS(Data!$I$2:$I$3990,Data!$A$2:$A$3990,A62,Data!$J$2:$J$3990,1)</f>
        <v>48.37</v>
      </c>
      <c r="D62" s="6" t="str">
        <f aca="false">IF(C62&gt;10000,"HIGH VALUE","")</f>
        <v/>
      </c>
    </row>
    <row r="63" customFormat="false" ht="15" hidden="false" customHeight="false" outlineLevel="0" collapsed="false">
      <c r="A63" s="6" t="s">
        <v>139</v>
      </c>
      <c r="B63" s="6" t="str">
        <f aca="false">INDEX(Data!$H$2:$H$3990,MATCH(A63,Data!$A$2:$A$3990,0))</f>
        <v>United Kingdom</v>
      </c>
      <c r="C63" s="19" t="n">
        <f aca="false">SUMIFS(Data!$I$2:$I$3990,Data!$A$2:$A$3990,A63,Data!$J$2:$J$3990,1)</f>
        <v>107.34</v>
      </c>
      <c r="D63" s="6" t="str">
        <f aca="false">IF(C63&gt;10000,"HIGH VALUE","")</f>
        <v/>
      </c>
    </row>
    <row r="64" customFormat="false" ht="15" hidden="false" customHeight="false" outlineLevel="0" collapsed="false">
      <c r="A64" s="6" t="s">
        <v>140</v>
      </c>
      <c r="B64" s="6" t="str">
        <f aca="false">INDEX(Data!$H$2:$H$3990,MATCH(A64,Data!$A$2:$A$3990,0))</f>
        <v>United Kingdom</v>
      </c>
      <c r="C64" s="19" t="n">
        <f aca="false">SUMIFS(Data!$I$2:$I$3990,Data!$A$2:$A$3990,A64,Data!$J$2:$J$3990,1)</f>
        <v>217.57</v>
      </c>
      <c r="D64" s="6" t="str">
        <f aca="false">IF(C64&gt;10000,"HIGH VALUE","")</f>
        <v/>
      </c>
    </row>
    <row r="65" customFormat="false" ht="15" hidden="false" customHeight="false" outlineLevel="0" collapsed="false">
      <c r="A65" s="6" t="s">
        <v>142</v>
      </c>
      <c r="B65" s="6" t="str">
        <f aca="false">INDEX(Data!$H$2:$H$3990,MATCH(A65,Data!$A$2:$A$3990,0))</f>
        <v>France</v>
      </c>
      <c r="C65" s="19" t="n">
        <f aca="false">SUMIFS(Data!$I$2:$I$3990,Data!$A$2:$A$3990,A65,Data!$J$2:$J$3990,1)</f>
        <v>109.25</v>
      </c>
      <c r="D65" s="6" t="str">
        <f aca="false">IF(C65&gt;10000,"HIGH VALUE","")</f>
        <v/>
      </c>
    </row>
    <row r="66" customFormat="false" ht="15" hidden="false" customHeight="false" outlineLevel="0" collapsed="false">
      <c r="A66" s="6" t="s">
        <v>143</v>
      </c>
      <c r="B66" s="6" t="str">
        <f aca="false">INDEX(Data!$H$2:$H$3990,MATCH(A66,Data!$A$2:$A$3990,0))</f>
        <v>United Kingdom</v>
      </c>
      <c r="C66" s="19" t="n">
        <f aca="false">SUMIFS(Data!$I$2:$I$3990,Data!$A$2:$A$3990,A66,Data!$J$2:$J$3990,1)</f>
        <v>2599.68</v>
      </c>
      <c r="D66" s="6" t="str">
        <f aca="false">IF(C66&gt;10000,"HIGH VALUE","")</f>
        <v/>
      </c>
    </row>
    <row r="67" customFormat="false" ht="15" hidden="false" customHeight="false" outlineLevel="0" collapsed="false">
      <c r="A67" s="6" t="s">
        <v>144</v>
      </c>
      <c r="B67" s="6" t="str">
        <f aca="false">INDEX(Data!$H$2:$H$3990,MATCH(A67,Data!$A$2:$A$3990,0))</f>
        <v>United Kingdom</v>
      </c>
      <c r="C67" s="19" t="n">
        <f aca="false">SUMIFS(Data!$I$2:$I$3990,Data!$A$2:$A$3990,A67,Data!$J$2:$J$3990,1)</f>
        <v>142.38</v>
      </c>
      <c r="D67" s="6" t="str">
        <f aca="false">IF(C67&gt;10000,"HIGH VALUE","")</f>
        <v/>
      </c>
    </row>
    <row r="68" customFormat="false" ht="15" hidden="false" customHeight="false" outlineLevel="0" collapsed="false">
      <c r="A68" s="6" t="s">
        <v>145</v>
      </c>
      <c r="B68" s="6" t="str">
        <f aca="false">INDEX(Data!$H$2:$H$3990,MATCH(A68,Data!$A$2:$A$3990,0))</f>
        <v>United Kingdom</v>
      </c>
      <c r="C68" s="19" t="n">
        <f aca="false">SUMIFS(Data!$I$2:$I$3990,Data!$A$2:$A$3990,A68,Data!$J$2:$J$3990,1)</f>
        <v>9.99</v>
      </c>
      <c r="D68" s="6" t="str">
        <f aca="false">IF(C68&gt;10000,"HIGH VALUE","")</f>
        <v/>
      </c>
    </row>
    <row r="69" customFormat="false" ht="15" hidden="false" customHeight="false" outlineLevel="0" collapsed="false">
      <c r="A69" s="6" t="s">
        <v>146</v>
      </c>
      <c r="B69" s="6" t="str">
        <f aca="false">INDEX(Data!$H$2:$H$3990,MATCH(A69,Data!$A$2:$A$3990,0))</f>
        <v>United Kingdom</v>
      </c>
      <c r="C69" s="19" t="n">
        <f aca="false">SUMIFS(Data!$I$2:$I$3990,Data!$A$2:$A$3990,A69,Data!$J$2:$J$3990,1)</f>
        <v>86.74</v>
      </c>
      <c r="D69" s="6" t="str">
        <f aca="false">IF(C69&gt;10000,"HIGH VALUE","")</f>
        <v/>
      </c>
    </row>
    <row r="70" customFormat="false" ht="15" hidden="false" customHeight="false" outlineLevel="0" collapsed="false">
      <c r="A70" s="6" t="s">
        <v>148</v>
      </c>
      <c r="B70" s="6" t="str">
        <f aca="false">INDEX(Data!$H$2:$H$3990,MATCH(A70,Data!$A$2:$A$3990,0))</f>
        <v>United Kingdom</v>
      </c>
      <c r="C70" s="19" t="n">
        <f aca="false">SUMIFS(Data!$I$2:$I$3990,Data!$A$2:$A$3990,A70,Data!$J$2:$J$3990,1)</f>
        <v>13.65</v>
      </c>
      <c r="D70" s="6" t="str">
        <f aca="false">IF(C70&gt;10000,"HIGH VALUE","")</f>
        <v/>
      </c>
    </row>
    <row r="71" customFormat="false" ht="15" hidden="false" customHeight="false" outlineLevel="0" collapsed="false">
      <c r="A71" s="6" t="s">
        <v>149</v>
      </c>
      <c r="B71" s="6" t="str">
        <f aca="false">INDEX(Data!$H$2:$H$3990,MATCH(A71,Data!$A$2:$A$3990,0))</f>
        <v>United Kingdom</v>
      </c>
      <c r="C71" s="19" t="n">
        <f aca="false">SUMIFS(Data!$I$2:$I$3990,Data!$A$2:$A$3990,A71,Data!$J$2:$J$3990,1)</f>
        <v>317.09</v>
      </c>
      <c r="D71" s="6" t="str">
        <f aca="false">IF(C71&gt;10000,"HIGH VALUE","")</f>
        <v/>
      </c>
    </row>
    <row r="72" customFormat="false" ht="15" hidden="false" customHeight="false" outlineLevel="0" collapsed="false">
      <c r="A72" s="6" t="s">
        <v>150</v>
      </c>
      <c r="B72" s="6" t="str">
        <f aca="false">INDEX(Data!$H$2:$H$3990,MATCH(A72,Data!$A$2:$A$3990,0))</f>
        <v>United Kingdom</v>
      </c>
      <c r="C72" s="19" t="n">
        <f aca="false">SUMIFS(Data!$I$2:$I$3990,Data!$A$2:$A$3990,A72,Data!$J$2:$J$3990,1)</f>
        <v>72.93</v>
      </c>
      <c r="D72" s="6" t="str">
        <f aca="false">IF(C72&gt;10000,"HIGH VALUE","")</f>
        <v/>
      </c>
    </row>
    <row r="73" customFormat="false" ht="15" hidden="false" customHeight="false" outlineLevel="0" collapsed="false">
      <c r="A73" s="6" t="s">
        <v>151</v>
      </c>
      <c r="B73" s="6" t="str">
        <f aca="false">INDEX(Data!$H$2:$H$3990,MATCH(A73,Data!$A$2:$A$3990,0))</f>
        <v>United Kingdom</v>
      </c>
      <c r="C73" s="19" t="n">
        <f aca="false">SUMIFS(Data!$I$2:$I$3990,Data!$A$2:$A$3990,A73,Data!$J$2:$J$3990,1)</f>
        <v>2851.62</v>
      </c>
      <c r="D73" s="6" t="str">
        <f aca="false">IF(C73&gt;10000,"HIGH VALUE","")</f>
        <v/>
      </c>
    </row>
    <row r="74" customFormat="false" ht="15" hidden="false" customHeight="false" outlineLevel="0" collapsed="false">
      <c r="A74" s="6" t="s">
        <v>153</v>
      </c>
      <c r="B74" s="6" t="str">
        <f aca="false">INDEX(Data!$H$2:$H$3990,MATCH(A74,Data!$A$2:$A$3990,0))</f>
        <v>France</v>
      </c>
      <c r="C74" s="19" t="n">
        <f aca="false">SUMIFS(Data!$I$2:$I$3990,Data!$A$2:$A$3990,A74,Data!$J$2:$J$3990,1)</f>
        <v>256.62</v>
      </c>
      <c r="D74" s="6" t="str">
        <f aca="false">IF(C74&gt;10000,"HIGH VALUE","")</f>
        <v/>
      </c>
    </row>
    <row r="75" customFormat="false" ht="15" hidden="false" customHeight="false" outlineLevel="0" collapsed="false">
      <c r="A75" s="6" t="s">
        <v>152</v>
      </c>
      <c r="B75" s="6" t="str">
        <f aca="false">INDEX(Data!$H$2:$H$3990,MATCH(A75,Data!$A$2:$A$3990,0))</f>
        <v>United Kingdom</v>
      </c>
      <c r="C75" s="19" t="n">
        <f aca="false">SUMIFS(Data!$I$2:$I$3990,Data!$A$2:$A$3990,A75,Data!$J$2:$J$3990,1)</f>
        <v>37.02</v>
      </c>
      <c r="D75" s="6" t="str">
        <f aca="false">IF(C75&gt;10000,"HIGH VALUE","")</f>
        <v/>
      </c>
    </row>
    <row r="76" customFormat="false" ht="15" hidden="false" customHeight="false" outlineLevel="0" collapsed="false">
      <c r="A76" s="6" t="s">
        <v>154</v>
      </c>
      <c r="B76" s="6" t="str">
        <f aca="false">INDEX(Data!$H$2:$H$3990,MATCH(A76,Data!$A$2:$A$3990,0))</f>
        <v>United Kingdom</v>
      </c>
      <c r="C76" s="19" t="n">
        <f aca="false">SUMIFS(Data!$I$2:$I$3990,Data!$A$2:$A$3990,A76,Data!$J$2:$J$3990,1)</f>
        <v>166.66</v>
      </c>
      <c r="D76" s="6" t="str">
        <f aca="false">IF(C76&gt;10000,"HIGH VALUE","")</f>
        <v/>
      </c>
    </row>
    <row r="77" customFormat="false" ht="15" hidden="false" customHeight="false" outlineLevel="0" collapsed="false">
      <c r="A77" s="6" t="s">
        <v>157</v>
      </c>
      <c r="B77" s="6" t="str">
        <f aca="false">INDEX(Data!$H$2:$H$3990,MATCH(A77,Data!$A$2:$A$3990,0))</f>
        <v>United Kingdom</v>
      </c>
      <c r="C77" s="19" t="n">
        <f aca="false">SUMIFS(Data!$I$2:$I$3990,Data!$A$2:$A$3990,A77,Data!$J$2:$J$3990,1)</f>
        <v>54.72</v>
      </c>
      <c r="D77" s="6" t="str">
        <f aca="false">IF(C77&gt;10000,"HIGH VALUE","")</f>
        <v/>
      </c>
    </row>
    <row r="78" customFormat="false" ht="15" hidden="false" customHeight="false" outlineLevel="0" collapsed="false">
      <c r="A78" s="6" t="s">
        <v>155</v>
      </c>
      <c r="B78" s="6" t="str">
        <f aca="false">INDEX(Data!$H$2:$H$3990,MATCH(A78,Data!$A$2:$A$3990,0))</f>
        <v>United Kingdom</v>
      </c>
      <c r="C78" s="19" t="n">
        <f aca="false">SUMIFS(Data!$I$2:$I$3990,Data!$A$2:$A$3990,A78,Data!$J$2:$J$3990,1)</f>
        <v>198.33</v>
      </c>
      <c r="D78" s="6" t="str">
        <f aca="false">IF(C78&gt;10000,"HIGH VALUE","")</f>
        <v/>
      </c>
    </row>
    <row r="79" customFormat="false" ht="15" hidden="false" customHeight="false" outlineLevel="0" collapsed="false">
      <c r="A79" s="6" t="s">
        <v>156</v>
      </c>
      <c r="B79" s="6" t="str">
        <f aca="false">INDEX(Data!$H$2:$H$3990,MATCH(A79,Data!$A$2:$A$3990,0))</f>
        <v>United Kingdom</v>
      </c>
      <c r="C79" s="19" t="n">
        <f aca="false">SUMIFS(Data!$I$2:$I$3990,Data!$A$2:$A$3990,A79,Data!$J$2:$J$3990,1)</f>
        <v>34.37</v>
      </c>
      <c r="D79" s="6" t="str">
        <f aca="false">IF(C79&gt;10000,"HIGH VALUE","")</f>
        <v/>
      </c>
    </row>
    <row r="80" customFormat="false" ht="15" hidden="false" customHeight="false" outlineLevel="0" collapsed="false">
      <c r="A80" s="6" t="s">
        <v>158</v>
      </c>
      <c r="B80" s="6" t="str">
        <f aca="false">INDEX(Data!$H$2:$H$3990,MATCH(A80,Data!$A$2:$A$3990,0))</f>
        <v>France</v>
      </c>
      <c r="C80" s="19" t="n">
        <f aca="false">SUMIFS(Data!$I$2:$I$3990,Data!$A$2:$A$3990,A80,Data!$J$2:$J$3990,1)</f>
        <v>5.42</v>
      </c>
      <c r="D80" s="6" t="str">
        <f aca="false">IF(C80&gt;10000,"HIGH VALUE","")</f>
        <v/>
      </c>
    </row>
    <row r="81" customFormat="false" ht="15" hidden="false" customHeight="false" outlineLevel="0" collapsed="false">
      <c r="A81" s="6" t="s">
        <v>159</v>
      </c>
      <c r="B81" s="6" t="str">
        <f aca="false">INDEX(Data!$H$2:$H$3990,MATCH(A81,Data!$A$2:$A$3990,0))</f>
        <v>United Kingdom</v>
      </c>
      <c r="C81" s="19" t="n">
        <f aca="false">SUMIFS(Data!$I$2:$I$3990,Data!$A$2:$A$3990,A81,Data!$J$2:$J$3990,1)</f>
        <v>126.29</v>
      </c>
      <c r="D81" s="6" t="str">
        <f aca="false">IF(C81&gt;10000,"HIGH VALUE","")</f>
        <v/>
      </c>
    </row>
    <row r="82" customFormat="false" ht="15" hidden="false" customHeight="false" outlineLevel="0" collapsed="false">
      <c r="A82" s="6" t="s">
        <v>160</v>
      </c>
      <c r="B82" s="6" t="str">
        <f aca="false">INDEX(Data!$H$2:$H$3990,MATCH(A82,Data!$A$2:$A$3990,0))</f>
        <v>United Kingdom</v>
      </c>
      <c r="C82" s="19" t="n">
        <f aca="false">SUMIFS(Data!$I$2:$I$3990,Data!$A$2:$A$3990,A82,Data!$J$2:$J$3990,1)</f>
        <v>491.4</v>
      </c>
      <c r="D82" s="6" t="str">
        <f aca="false">IF(C82&gt;10000,"HIGH VALUE","")</f>
        <v/>
      </c>
    </row>
    <row r="83" customFormat="false" ht="15" hidden="false" customHeight="false" outlineLevel="0" collapsed="false">
      <c r="A83" s="6" t="s">
        <v>161</v>
      </c>
      <c r="B83" s="6" t="str">
        <f aca="false">INDEX(Data!$H$2:$H$3990,MATCH(A83,Data!$A$2:$A$3990,0))</f>
        <v>United Kingdom</v>
      </c>
      <c r="C83" s="19" t="n">
        <f aca="false">SUMIFS(Data!$I$2:$I$3990,Data!$A$2:$A$3990,A83,Data!$J$2:$J$3990,1)</f>
        <v>25.27</v>
      </c>
      <c r="D83" s="6" t="str">
        <f aca="false">IF(C83&gt;10000,"HIGH VALUE","")</f>
        <v/>
      </c>
    </row>
    <row r="84" customFormat="false" ht="15" hidden="false" customHeight="false" outlineLevel="0" collapsed="false">
      <c r="A84" s="6" t="s">
        <v>162</v>
      </c>
      <c r="B84" s="6" t="str">
        <f aca="false">INDEX(Data!$H$2:$H$3990,MATCH(A84,Data!$A$2:$A$3990,0))</f>
        <v>United Kingdom</v>
      </c>
      <c r="C84" s="19" t="n">
        <f aca="false">SUMIFS(Data!$I$2:$I$3990,Data!$A$2:$A$3990,A84,Data!$J$2:$J$3990,1)</f>
        <v>4293.84</v>
      </c>
      <c r="D84" s="6" t="str">
        <f aca="false">IF(C84&gt;10000,"HIGH VALUE","")</f>
        <v/>
      </c>
    </row>
    <row r="85" customFormat="false" ht="15" hidden="false" customHeight="false" outlineLevel="0" collapsed="false">
      <c r="A85" s="6" t="s">
        <v>164</v>
      </c>
      <c r="B85" s="6" t="str">
        <f aca="false">INDEX(Data!$H$2:$H$3990,MATCH(A85,Data!$A$2:$A$3990,0))</f>
        <v>United Kingdom</v>
      </c>
      <c r="C85" s="19" t="n">
        <f aca="false">SUMIFS(Data!$I$2:$I$3990,Data!$A$2:$A$3990,A85,Data!$J$2:$J$3990,1)</f>
        <v>54.21</v>
      </c>
      <c r="D85" s="6" t="str">
        <f aca="false">IF(C85&gt;10000,"HIGH VALUE","")</f>
        <v/>
      </c>
    </row>
    <row r="86" customFormat="false" ht="15" hidden="false" customHeight="false" outlineLevel="0" collapsed="false">
      <c r="A86" s="6" t="s">
        <v>163</v>
      </c>
      <c r="B86" s="6" t="str">
        <f aca="false">INDEX(Data!$H$2:$H$3990,MATCH(A86,Data!$A$2:$A$3990,0))</f>
        <v>United Kingdom</v>
      </c>
      <c r="C86" s="19" t="n">
        <f aca="false">SUMIFS(Data!$I$2:$I$3990,Data!$A$2:$A$3990,A86,Data!$J$2:$J$3990,1)</f>
        <v>49.93</v>
      </c>
      <c r="D86" s="6" t="str">
        <f aca="false">IF(C86&gt;10000,"HIGH VALUE","")</f>
        <v/>
      </c>
    </row>
    <row r="87" customFormat="false" ht="15" hidden="false" customHeight="false" outlineLevel="0" collapsed="false">
      <c r="A87" s="6" t="s">
        <v>165</v>
      </c>
      <c r="B87" s="6" t="str">
        <f aca="false">INDEX(Data!$H$2:$H$3990,MATCH(A87,Data!$A$2:$A$3990,0))</f>
        <v>Belgium</v>
      </c>
      <c r="C87" s="19" t="n">
        <f aca="false">SUMIFS(Data!$I$2:$I$3990,Data!$A$2:$A$3990,A87,Data!$J$2:$J$3990,1)</f>
        <v>9.1</v>
      </c>
      <c r="D87" s="6" t="str">
        <f aca="false">IF(C87&gt;10000,"HIGH VALUE","")</f>
        <v/>
      </c>
    </row>
    <row r="88" customFormat="false" ht="15" hidden="false" customHeight="false" outlineLevel="0" collapsed="false">
      <c r="A88" s="6" t="s">
        <v>166</v>
      </c>
      <c r="B88" s="6" t="str">
        <f aca="false">INDEX(Data!$H$2:$H$3990,MATCH(A88,Data!$A$2:$A$3990,0))</f>
        <v>United Kingdom</v>
      </c>
      <c r="C88" s="19" t="n">
        <f aca="false">SUMIFS(Data!$I$2:$I$3990,Data!$A$2:$A$3990,A88,Data!$J$2:$J$3990,1)</f>
        <v>33.42</v>
      </c>
      <c r="D88" s="6" t="str">
        <f aca="false">IF(C88&gt;10000,"HIGH VALUE","")</f>
        <v/>
      </c>
    </row>
    <row r="89" customFormat="false" ht="15" hidden="false" customHeight="false" outlineLevel="0" collapsed="false">
      <c r="A89" s="6" t="s">
        <v>167</v>
      </c>
      <c r="B89" s="6" t="str">
        <f aca="false">INDEX(Data!$H$2:$H$3990,MATCH(A89,Data!$A$2:$A$3990,0))</f>
        <v>United Kingdom</v>
      </c>
      <c r="C89" s="19" t="n">
        <f aca="false">SUMIFS(Data!$I$2:$I$3990,Data!$A$2:$A$3990,A89,Data!$J$2:$J$3990,1)</f>
        <v>136.77</v>
      </c>
      <c r="D89" s="6" t="str">
        <f aca="false">IF(C89&gt;10000,"HIGH VALUE","")</f>
        <v/>
      </c>
    </row>
    <row r="90" customFormat="false" ht="15" hidden="false" customHeight="false" outlineLevel="0" collapsed="false">
      <c r="A90" s="6" t="s">
        <v>168</v>
      </c>
      <c r="B90" s="6" t="str">
        <f aca="false">INDEX(Data!$H$2:$H$3990,MATCH(A90,Data!$A$2:$A$3990,0))</f>
        <v>EIRE</v>
      </c>
      <c r="C90" s="19" t="n">
        <f aca="false">SUMIFS(Data!$I$2:$I$3990,Data!$A$2:$A$3990,A90,Data!$J$2:$J$3990,1)</f>
        <v>59.04</v>
      </c>
      <c r="D90" s="6" t="str">
        <f aca="false">IF(C90&gt;10000,"HIGH VALUE","")</f>
        <v/>
      </c>
    </row>
    <row r="91" customFormat="false" ht="15" hidden="false" customHeight="false" outlineLevel="0" collapsed="false">
      <c r="A91" s="6" t="s">
        <v>169</v>
      </c>
      <c r="B91" s="6" t="str">
        <f aca="false">INDEX(Data!$H$2:$H$3990,MATCH(A91,Data!$A$2:$A$3990,0))</f>
        <v>United Kingdom</v>
      </c>
      <c r="C91" s="19" t="n">
        <f aca="false">SUMIFS(Data!$I$2:$I$3990,Data!$A$2:$A$3990,A91,Data!$J$2:$J$3990,1)</f>
        <v>11.46</v>
      </c>
      <c r="D91" s="6" t="str">
        <f aca="false">IF(C91&gt;10000,"HIGH VALUE","")</f>
        <v/>
      </c>
    </row>
    <row r="92" customFormat="false" ht="15" hidden="false" customHeight="false" outlineLevel="0" collapsed="false">
      <c r="A92" s="6" t="s">
        <v>170</v>
      </c>
      <c r="B92" s="6" t="str">
        <f aca="false">INDEX(Data!$H$2:$H$3990,MATCH(A92,Data!$A$2:$A$3990,0))</f>
        <v>United Kingdom</v>
      </c>
      <c r="C92" s="19" t="n">
        <f aca="false">SUMIFS(Data!$I$2:$I$3990,Data!$A$2:$A$3990,A92,Data!$J$2:$J$3990,1)</f>
        <v>38.16</v>
      </c>
      <c r="D92" s="6" t="str">
        <f aca="false">IF(C92&gt;10000,"HIGH VALUE","")</f>
        <v/>
      </c>
    </row>
    <row r="93" customFormat="false" ht="15" hidden="false" customHeight="false" outlineLevel="0" collapsed="false">
      <c r="A93" s="6" t="s">
        <v>171</v>
      </c>
      <c r="B93" s="6" t="str">
        <f aca="false">INDEX(Data!$H$2:$H$3990,MATCH(A93,Data!$A$2:$A$3990,0))</f>
        <v>France</v>
      </c>
      <c r="C93" s="19" t="n">
        <f aca="false">SUMIFS(Data!$I$2:$I$3990,Data!$A$2:$A$3990,A93,Data!$J$2:$J$3990,1)</f>
        <v>994.83</v>
      </c>
      <c r="D93" s="6" t="str">
        <f aca="false">IF(C93&gt;10000,"HIGH VALUE","")</f>
        <v/>
      </c>
    </row>
    <row r="94" customFormat="false" ht="15" hidden="false" customHeight="false" outlineLevel="0" collapsed="false">
      <c r="A94" s="6" t="s">
        <v>172</v>
      </c>
      <c r="B94" s="6" t="str">
        <f aca="false">INDEX(Data!$H$2:$H$3990,MATCH(A94,Data!$A$2:$A$3990,0))</f>
        <v>Germany</v>
      </c>
      <c r="C94" s="19" t="n">
        <f aca="false">SUMIFS(Data!$I$2:$I$3990,Data!$A$2:$A$3990,A94,Data!$J$2:$J$3990,1)</f>
        <v>54.54</v>
      </c>
      <c r="D94" s="6" t="str">
        <f aca="false">IF(C94&gt;10000,"HIGH VALUE","")</f>
        <v/>
      </c>
    </row>
    <row r="95" customFormat="false" ht="15" hidden="false" customHeight="false" outlineLevel="0" collapsed="false">
      <c r="A95" s="6" t="s">
        <v>173</v>
      </c>
      <c r="B95" s="6" t="str">
        <f aca="false">INDEX(Data!$H$2:$H$3990,MATCH(A95,Data!$A$2:$A$3990,0))</f>
        <v>United Kingdom</v>
      </c>
      <c r="C95" s="19" t="n">
        <f aca="false">SUMIFS(Data!$I$2:$I$3990,Data!$A$2:$A$3990,A95,Data!$J$2:$J$3990,1)</f>
        <v>25.16</v>
      </c>
      <c r="D95" s="6" t="str">
        <f aca="false">IF(C95&gt;10000,"HIGH VALUE","")</f>
        <v/>
      </c>
    </row>
    <row r="96" customFormat="false" ht="15" hidden="false" customHeight="false" outlineLevel="0" collapsed="false">
      <c r="A96" s="6" t="s">
        <v>178</v>
      </c>
      <c r="B96" s="6" t="str">
        <f aca="false">INDEX(Data!$H$2:$H$3990,MATCH(A96,Data!$A$2:$A$3990,0))</f>
        <v>United Kingdom</v>
      </c>
      <c r="C96" s="19" t="n">
        <f aca="false">SUMIFS(Data!$I$2:$I$3990,Data!$A$2:$A$3990,A96,Data!$J$2:$J$3990,1)</f>
        <v>244.99</v>
      </c>
      <c r="D96" s="6" t="str">
        <f aca="false">IF(C96&gt;10000,"HIGH VALUE","")</f>
        <v/>
      </c>
    </row>
    <row r="97" customFormat="false" ht="15" hidden="false" customHeight="false" outlineLevel="0" collapsed="false">
      <c r="A97" s="6" t="s">
        <v>174</v>
      </c>
      <c r="B97" s="6" t="str">
        <f aca="false">INDEX(Data!$H$2:$H$3990,MATCH(A97,Data!$A$2:$A$3990,0))</f>
        <v>United Kingdom</v>
      </c>
      <c r="C97" s="19" t="n">
        <f aca="false">SUMIFS(Data!$I$2:$I$3990,Data!$A$2:$A$3990,A97,Data!$J$2:$J$3990,1)</f>
        <v>227.22</v>
      </c>
      <c r="D97" s="6" t="str">
        <f aca="false">IF(C97&gt;10000,"HIGH VALUE","")</f>
        <v/>
      </c>
    </row>
    <row r="98" customFormat="false" ht="15" hidden="false" customHeight="false" outlineLevel="0" collapsed="false">
      <c r="A98" s="6" t="s">
        <v>176</v>
      </c>
      <c r="B98" s="6" t="str">
        <f aca="false">INDEX(Data!$H$2:$H$3990,MATCH(A98,Data!$A$2:$A$3990,0))</f>
        <v>Australia</v>
      </c>
      <c r="C98" s="19" t="n">
        <f aca="false">SUMIFS(Data!$I$2:$I$3990,Data!$A$2:$A$3990,A98,Data!$J$2:$J$3990,1)</f>
        <v>7015.05</v>
      </c>
      <c r="D98" s="6" t="str">
        <f aca="false">IF(C98&gt;10000,"HIGH VALUE","")</f>
        <v/>
      </c>
    </row>
    <row r="99" customFormat="false" ht="15" hidden="false" customHeight="false" outlineLevel="0" collapsed="false">
      <c r="A99" s="6" t="s">
        <v>175</v>
      </c>
      <c r="B99" s="6" t="str">
        <f aca="false">INDEX(Data!$H$2:$H$3990,MATCH(A99,Data!$A$2:$A$3990,0))</f>
        <v>United Kingdom</v>
      </c>
      <c r="C99" s="19" t="n">
        <f aca="false">SUMIFS(Data!$I$2:$I$3990,Data!$A$2:$A$3990,A99,Data!$J$2:$J$3990,1)</f>
        <v>38.41</v>
      </c>
      <c r="D99" s="6" t="str">
        <f aca="false">IF(C99&gt;10000,"HIGH VALUE","")</f>
        <v/>
      </c>
    </row>
    <row r="100" customFormat="false" ht="15" hidden="false" customHeight="false" outlineLevel="0" collapsed="false">
      <c r="A100" s="6" t="s">
        <v>181</v>
      </c>
      <c r="B100" s="6" t="str">
        <f aca="false">INDEX(Data!$H$2:$H$3990,MATCH(A100,Data!$A$2:$A$3990,0))</f>
        <v>United Kingdom</v>
      </c>
      <c r="C100" s="19" t="n">
        <f aca="false">SUMIFS(Data!$I$2:$I$3990,Data!$A$2:$A$3990,A100,Data!$J$2:$J$3990,1)</f>
        <v>129.9</v>
      </c>
      <c r="D100" s="6" t="str">
        <f aca="false">IF(C100&gt;10000,"HIGH VALUE","")</f>
        <v/>
      </c>
    </row>
    <row r="101" customFormat="false" ht="15" hidden="false" customHeight="false" outlineLevel="0" collapsed="false">
      <c r="A101" s="6" t="s">
        <v>179</v>
      </c>
      <c r="B101" s="6" t="str">
        <f aca="false">INDEX(Data!$H$2:$H$3990,MATCH(A101,Data!$A$2:$A$3990,0))</f>
        <v>United Kingdom</v>
      </c>
      <c r="C101" s="19" t="n">
        <f aca="false">SUMIFS(Data!$I$2:$I$3990,Data!$A$2:$A$3990,A101,Data!$J$2:$J$3990,1)</f>
        <v>1982.76</v>
      </c>
      <c r="D101" s="6" t="str">
        <f aca="false">IF(C101&gt;10000,"HIGH VALUE","")</f>
        <v/>
      </c>
    </row>
    <row r="102" customFormat="false" ht="15" hidden="false" customHeight="false" outlineLevel="0" collapsed="false">
      <c r="A102" s="6" t="s">
        <v>180</v>
      </c>
      <c r="B102" s="6" t="str">
        <f aca="false">INDEX(Data!$H$2:$H$3990,MATCH(A102,Data!$A$2:$A$3990,0))</f>
        <v>United Kingdom</v>
      </c>
      <c r="C102" s="19" t="n">
        <f aca="false">SUMIFS(Data!$I$2:$I$3990,Data!$A$2:$A$3990,A102,Data!$J$2:$J$3990,1)</f>
        <v>1336.32</v>
      </c>
      <c r="D102" s="6" t="str">
        <f aca="false">IF(C102&gt;10000,"HIGH VALUE","")</f>
        <v/>
      </c>
    </row>
    <row r="103" customFormat="false" ht="15" hidden="false" customHeight="false" outlineLevel="0" collapsed="false">
      <c r="A103" s="6" t="s">
        <v>182</v>
      </c>
      <c r="B103" s="6" t="str">
        <f aca="false">INDEX(Data!$H$2:$H$3990,MATCH(A103,Data!$A$2:$A$3990,0))</f>
        <v>Germany</v>
      </c>
      <c r="C103" s="19" t="n">
        <f aca="false">SUMIFS(Data!$I$2:$I$3990,Data!$A$2:$A$3990,A103,Data!$J$2:$J$3990,1)</f>
        <v>8356.81</v>
      </c>
      <c r="D103" s="6" t="str">
        <f aca="false">IF(C103&gt;10000,"HIGH VALUE","")</f>
        <v/>
      </c>
    </row>
    <row r="104" customFormat="false" ht="15" hidden="false" customHeight="false" outlineLevel="0" collapsed="false">
      <c r="A104" s="6" t="s">
        <v>183</v>
      </c>
      <c r="B104" s="6" t="str">
        <f aca="false">INDEX(Data!$H$2:$H$3990,MATCH(A104,Data!$A$2:$A$3990,0))</f>
        <v>United Kingdom</v>
      </c>
      <c r="C104" s="19" t="n">
        <f aca="false">SUMIFS(Data!$I$2:$I$3990,Data!$A$2:$A$3990,A104,Data!$J$2:$J$3990,1)</f>
        <v>139.98</v>
      </c>
      <c r="D104" s="6" t="str">
        <f aca="false">IF(C104&gt;10000,"HIGH VALUE","")</f>
        <v/>
      </c>
    </row>
    <row r="105" customFormat="false" ht="15" hidden="false" customHeight="false" outlineLevel="0" collapsed="false">
      <c r="A105" s="6" t="s">
        <v>184</v>
      </c>
      <c r="B105" s="6" t="str">
        <f aca="false">INDEX(Data!$H$2:$H$3990,MATCH(A105,Data!$A$2:$A$3990,0))</f>
        <v>United Kingdom</v>
      </c>
      <c r="C105" s="19" t="n">
        <f aca="false">SUMIFS(Data!$I$2:$I$3990,Data!$A$2:$A$3990,A105,Data!$J$2:$J$3990,1)</f>
        <v>5.25</v>
      </c>
      <c r="D105" s="6" t="str">
        <f aca="false">IF(C105&gt;10000,"HIGH VALUE","")</f>
        <v/>
      </c>
    </row>
    <row r="106" customFormat="false" ht="15" hidden="false" customHeight="false" outlineLevel="0" collapsed="false">
      <c r="A106" s="6" t="s">
        <v>187</v>
      </c>
      <c r="B106" s="6" t="str">
        <f aca="false">INDEX(Data!$H$2:$H$3990,MATCH(A106,Data!$A$2:$A$3990,0))</f>
        <v>United Kingdom</v>
      </c>
      <c r="C106" s="19" t="n">
        <f aca="false">SUMIFS(Data!$I$2:$I$3990,Data!$A$2:$A$3990,A106,Data!$J$2:$J$3990,1)</f>
        <v>18.76</v>
      </c>
      <c r="D106" s="6" t="str">
        <f aca="false">IF(C106&gt;10000,"HIGH VALUE","")</f>
        <v/>
      </c>
    </row>
    <row r="107" customFormat="false" ht="15" hidden="false" customHeight="false" outlineLevel="0" collapsed="false">
      <c r="A107" s="6" t="s">
        <v>186</v>
      </c>
      <c r="B107" s="6" t="str">
        <f aca="false">INDEX(Data!$H$2:$H$3990,MATCH(A107,Data!$A$2:$A$3990,0))</f>
        <v>United Kingdom</v>
      </c>
      <c r="C107" s="19" t="n">
        <f aca="false">SUMIFS(Data!$I$2:$I$3990,Data!$A$2:$A$3990,A107,Data!$J$2:$J$3990,1)</f>
        <v>25.44</v>
      </c>
      <c r="D107" s="6" t="str">
        <f aca="false">IF(C107&gt;10000,"HIGH VALUE","")</f>
        <v/>
      </c>
    </row>
    <row r="108" customFormat="false" ht="15" hidden="false" customHeight="false" outlineLevel="0" collapsed="false">
      <c r="A108" s="6" t="s">
        <v>185</v>
      </c>
      <c r="B108" s="6" t="str">
        <f aca="false">INDEX(Data!$H$2:$H$3990,MATCH(A108,Data!$A$2:$A$3990,0))</f>
        <v>United Kingdom</v>
      </c>
      <c r="C108" s="19" t="n">
        <f aca="false">SUMIFS(Data!$I$2:$I$3990,Data!$A$2:$A$3990,A108,Data!$J$2:$J$3990,1)</f>
        <v>1067.28</v>
      </c>
      <c r="D108" s="6" t="str">
        <f aca="false">IF(C108&gt;10000,"HIGH VALUE","")</f>
        <v/>
      </c>
    </row>
    <row r="109" customFormat="false" ht="15" hidden="false" customHeight="false" outlineLevel="0" collapsed="false">
      <c r="A109" s="6" t="s">
        <v>189</v>
      </c>
      <c r="B109" s="6" t="str">
        <f aca="false">INDEX(Data!$H$2:$H$3990,MATCH(A109,Data!$A$2:$A$3990,0))</f>
        <v>United Kingdom</v>
      </c>
      <c r="C109" s="19" t="n">
        <f aca="false">SUMIFS(Data!$I$2:$I$3990,Data!$A$2:$A$3990,A109,Data!$J$2:$J$3990,1)</f>
        <v>10.39</v>
      </c>
      <c r="D109" s="6" t="str">
        <f aca="false">IF(C109&gt;10000,"HIGH VALUE","")</f>
        <v/>
      </c>
    </row>
    <row r="110" customFormat="false" ht="15" hidden="false" customHeight="false" outlineLevel="0" collapsed="false">
      <c r="A110" s="6" t="s">
        <v>188</v>
      </c>
      <c r="B110" s="6" t="str">
        <f aca="false">INDEX(Data!$H$2:$H$3990,MATCH(A110,Data!$A$2:$A$3990,0))</f>
        <v>United Kingdom</v>
      </c>
      <c r="C110" s="19" t="n">
        <f aca="false">SUMIFS(Data!$I$2:$I$3990,Data!$A$2:$A$3990,A110,Data!$J$2:$J$3990,1)</f>
        <v>27.86</v>
      </c>
      <c r="D110" s="6" t="str">
        <f aca="false">IF(C110&gt;10000,"HIGH VALUE","")</f>
        <v/>
      </c>
    </row>
    <row r="111" customFormat="false" ht="15" hidden="false" customHeight="false" outlineLevel="0" collapsed="false">
      <c r="A111" s="6" t="s">
        <v>190</v>
      </c>
      <c r="B111" s="6" t="str">
        <f aca="false">INDEX(Data!$H$2:$H$3990,MATCH(A111,Data!$A$2:$A$3990,0))</f>
        <v>United Kingdom</v>
      </c>
      <c r="C111" s="19" t="n">
        <f aca="false">SUMIFS(Data!$I$2:$I$3990,Data!$A$2:$A$3990,A111,Data!$J$2:$J$3990,1)</f>
        <v>22.88</v>
      </c>
      <c r="D111" s="6" t="str">
        <f aca="false">IF(C111&gt;10000,"HIGH VALUE","")</f>
        <v/>
      </c>
    </row>
    <row r="112" customFormat="false" ht="15" hidden="false" customHeight="false" outlineLevel="0" collapsed="false">
      <c r="A112" s="6" t="s">
        <v>191</v>
      </c>
      <c r="B112" s="6" t="str">
        <f aca="false">INDEX(Data!$H$2:$H$3990,MATCH(A112,Data!$A$2:$A$3990,0))</f>
        <v>Netherlands</v>
      </c>
      <c r="C112" s="19" t="n">
        <f aca="false">SUMIFS(Data!$I$2:$I$3990,Data!$A$2:$A$3990,A112,Data!$J$2:$J$3990,1)</f>
        <v>1670.22</v>
      </c>
      <c r="D112" s="6" t="str">
        <f aca="false">IF(C112&gt;10000,"HIGH VALUE","")</f>
        <v/>
      </c>
    </row>
    <row r="113" customFormat="false" ht="15" hidden="false" customHeight="false" outlineLevel="0" collapsed="false">
      <c r="A113" s="6" t="s">
        <v>192</v>
      </c>
      <c r="B113" s="6" t="str">
        <f aca="false">INDEX(Data!$H$2:$H$3990,MATCH(A113,Data!$A$2:$A$3990,0))</f>
        <v>United Kingdom</v>
      </c>
      <c r="C113" s="19" t="n">
        <f aca="false">SUMIFS(Data!$I$2:$I$3990,Data!$A$2:$A$3990,A113,Data!$J$2:$J$3990,1)</f>
        <v>4.05</v>
      </c>
      <c r="D113" s="6" t="str">
        <f aca="false">IF(C113&gt;10000,"HIGH VALUE","")</f>
        <v/>
      </c>
    </row>
    <row r="114" customFormat="false" ht="15" hidden="false" customHeight="false" outlineLevel="0" collapsed="false">
      <c r="A114" s="6" t="s">
        <v>194</v>
      </c>
      <c r="B114" s="6" t="str">
        <f aca="false">INDEX(Data!$H$2:$H$3990,MATCH(A114,Data!$A$2:$A$3990,0))</f>
        <v>United Kingdom</v>
      </c>
      <c r="C114" s="19" t="n">
        <f aca="false">SUMIFS(Data!$I$2:$I$3990,Data!$A$2:$A$3990,A114,Data!$J$2:$J$3990,1)</f>
        <v>38.16</v>
      </c>
      <c r="D114" s="6" t="str">
        <f aca="false">IF(C114&gt;10000,"HIGH VALUE","")</f>
        <v/>
      </c>
    </row>
    <row r="115" customFormat="false" ht="15" hidden="false" customHeight="false" outlineLevel="0" collapsed="false">
      <c r="A115" s="6" t="s">
        <v>193</v>
      </c>
      <c r="B115" s="6" t="str">
        <f aca="false">INDEX(Data!$H$2:$H$3990,MATCH(A115,Data!$A$2:$A$3990,0))</f>
        <v>United Kingdom</v>
      </c>
      <c r="C115" s="19" t="n">
        <f aca="false">SUMIFS(Data!$I$2:$I$3990,Data!$A$2:$A$3990,A115,Data!$J$2:$J$3990,1)</f>
        <v>9.18</v>
      </c>
      <c r="D115" s="6" t="str">
        <f aca="false">IF(C115&gt;10000,"HIGH VALUE","")</f>
        <v/>
      </c>
    </row>
    <row r="116" customFormat="false" ht="15" hidden="false" customHeight="false" outlineLevel="0" collapsed="false">
      <c r="A116" s="6" t="s">
        <v>196</v>
      </c>
      <c r="B116" s="6" t="str">
        <f aca="false">INDEX(Data!$H$2:$H$3990,MATCH(A116,Data!$A$2:$A$3990,0))</f>
        <v>United Kingdom</v>
      </c>
      <c r="C116" s="19" t="n">
        <f aca="false">SUMIFS(Data!$I$2:$I$3990,Data!$A$2:$A$3990,A116,Data!$J$2:$J$3990,1)</f>
        <v>516.48</v>
      </c>
      <c r="D116" s="6" t="str">
        <f aca="false">IF(C116&gt;10000,"HIGH VALUE","")</f>
        <v/>
      </c>
    </row>
    <row r="117" customFormat="false" ht="15" hidden="false" customHeight="false" outlineLevel="0" collapsed="false">
      <c r="A117" s="6" t="s">
        <v>195</v>
      </c>
      <c r="B117" s="6" t="str">
        <f aca="false">INDEX(Data!$H$2:$H$3990,MATCH(A117,Data!$A$2:$A$3990,0))</f>
        <v>Germany</v>
      </c>
      <c r="C117" s="19" t="n">
        <f aca="false">SUMIFS(Data!$I$2:$I$3990,Data!$A$2:$A$3990,A117,Data!$J$2:$J$3990,1)</f>
        <v>18.31</v>
      </c>
      <c r="D117" s="6" t="str">
        <f aca="false">IF(C117&gt;10000,"HIGH VALUE","")</f>
        <v/>
      </c>
    </row>
    <row r="118" customFormat="false" ht="15" hidden="false" customHeight="false" outlineLevel="0" collapsed="false">
      <c r="A118" s="6" t="s">
        <v>197</v>
      </c>
      <c r="B118" s="6" t="str">
        <f aca="false">INDEX(Data!$H$2:$H$3990,MATCH(A118,Data!$A$2:$A$3990,0))</f>
        <v>United Kingdom</v>
      </c>
      <c r="C118" s="19" t="n">
        <f aca="false">SUMIFS(Data!$I$2:$I$3990,Data!$A$2:$A$3990,A118,Data!$J$2:$J$3990,1)</f>
        <v>576.71</v>
      </c>
      <c r="D118" s="6" t="str">
        <f aca="false">IF(C118&gt;10000,"HIGH VALUE","")</f>
        <v/>
      </c>
    </row>
    <row r="119" customFormat="false" ht="15" hidden="false" customHeight="false" outlineLevel="0" collapsed="false">
      <c r="A119" s="6" t="s">
        <v>198</v>
      </c>
      <c r="B119" s="6" t="str">
        <f aca="false">INDEX(Data!$H$2:$H$3990,MATCH(A119,Data!$A$2:$A$3990,0))</f>
        <v>Germany</v>
      </c>
      <c r="C119" s="19" t="n">
        <f aca="false">SUMIFS(Data!$I$2:$I$3990,Data!$A$2:$A$3990,A119,Data!$J$2:$J$3990,1)</f>
        <v>3140.61</v>
      </c>
      <c r="D119" s="6" t="str">
        <f aca="false">IF(C119&gt;10000,"HIGH VALUE","")</f>
        <v/>
      </c>
    </row>
    <row r="120" customFormat="false" ht="15" hidden="false" customHeight="false" outlineLevel="0" collapsed="false">
      <c r="A120" s="6" t="s">
        <v>199</v>
      </c>
      <c r="B120" s="6" t="str">
        <f aca="false">INDEX(Data!$H$2:$H$3990,MATCH(A120,Data!$A$2:$A$3990,0))</f>
        <v>Netherlands</v>
      </c>
      <c r="C120" s="19" t="n">
        <f aca="false">SUMIFS(Data!$I$2:$I$3990,Data!$A$2:$A$3990,A120,Data!$J$2:$J$3990,1)</f>
        <v>4323.6</v>
      </c>
      <c r="D120" s="6" t="str">
        <f aca="false">IF(C120&gt;10000,"HIGH VALUE","")</f>
        <v/>
      </c>
    </row>
    <row r="121" customFormat="false" ht="15" hidden="false" customHeight="false" outlineLevel="0" collapsed="false">
      <c r="A121" s="6" t="s">
        <v>200</v>
      </c>
      <c r="B121" s="6" t="str">
        <f aca="false">INDEX(Data!$H$2:$H$3990,MATCH(A121,Data!$A$2:$A$3990,0))</f>
        <v>United Kingdom</v>
      </c>
      <c r="C121" s="19" t="n">
        <f aca="false">SUMIFS(Data!$I$2:$I$3990,Data!$A$2:$A$3990,A121,Data!$J$2:$J$3990,1)</f>
        <v>46.78</v>
      </c>
      <c r="D121" s="6" t="str">
        <f aca="false">IF(C121&gt;10000,"HIGH VALUE","")</f>
        <v/>
      </c>
    </row>
    <row r="122" customFormat="false" ht="15" hidden="false" customHeight="false" outlineLevel="0" collapsed="false">
      <c r="A122" s="6" t="s">
        <v>202</v>
      </c>
      <c r="B122" s="6" t="str">
        <f aca="false">INDEX(Data!$H$2:$H$3990,MATCH(A122,Data!$A$2:$A$3990,0))</f>
        <v>United Kingdom</v>
      </c>
      <c r="C122" s="19" t="n">
        <f aca="false">SUMIFS(Data!$I$2:$I$3990,Data!$A$2:$A$3990,A122,Data!$J$2:$J$3990,1)</f>
        <v>72.95</v>
      </c>
      <c r="D122" s="6" t="str">
        <f aca="false">IF(C122&gt;10000,"HIGH VALUE","")</f>
        <v/>
      </c>
    </row>
    <row r="123" customFormat="false" ht="15" hidden="false" customHeight="false" outlineLevel="0" collapsed="false">
      <c r="A123" s="6" t="s">
        <v>201</v>
      </c>
      <c r="B123" s="6" t="str">
        <f aca="false">INDEX(Data!$H$2:$H$3990,MATCH(A123,Data!$A$2:$A$3990,0))</f>
        <v>United Kingdom</v>
      </c>
      <c r="C123" s="19" t="n">
        <f aca="false">SUMIFS(Data!$I$2:$I$3990,Data!$A$2:$A$3990,A123,Data!$J$2:$J$3990,1)</f>
        <v>48.12</v>
      </c>
      <c r="D123" s="6" t="str">
        <f aca="false">IF(C123&gt;10000,"HIGH VALUE","")</f>
        <v/>
      </c>
    </row>
    <row r="124" customFormat="false" ht="15" hidden="false" customHeight="false" outlineLevel="0" collapsed="false">
      <c r="A124" s="6" t="s">
        <v>204</v>
      </c>
      <c r="B124" s="6" t="str">
        <f aca="false">INDEX(Data!$H$2:$H$3990,MATCH(A124,Data!$A$2:$A$3990,0))</f>
        <v>United Kingdom</v>
      </c>
      <c r="C124" s="19" t="n">
        <f aca="false">SUMIFS(Data!$I$2:$I$3990,Data!$A$2:$A$3990,A124,Data!$J$2:$J$3990,1)</f>
        <v>272</v>
      </c>
      <c r="D124" s="6" t="str">
        <f aca="false">IF(C124&gt;10000,"HIGH VALUE","")</f>
        <v/>
      </c>
    </row>
    <row r="125" customFormat="false" ht="15" hidden="false" customHeight="false" outlineLevel="0" collapsed="false">
      <c r="A125" s="6" t="s">
        <v>203</v>
      </c>
      <c r="B125" s="6" t="str">
        <f aca="false">INDEX(Data!$H$2:$H$3990,MATCH(A125,Data!$A$2:$A$3990,0))</f>
        <v>United Kingdom</v>
      </c>
      <c r="C125" s="19" t="n">
        <f aca="false">SUMIFS(Data!$I$2:$I$3990,Data!$A$2:$A$3990,A125,Data!$J$2:$J$3990,1)</f>
        <v>120.64</v>
      </c>
      <c r="D125" s="6" t="str">
        <f aca="false">IF(C125&gt;10000,"HIGH VALUE","")</f>
        <v/>
      </c>
    </row>
    <row r="126" customFormat="false" ht="15" hidden="false" customHeight="false" outlineLevel="0" collapsed="false">
      <c r="A126" s="6" t="s">
        <v>206</v>
      </c>
      <c r="B126" s="6" t="str">
        <f aca="false">INDEX(Data!$H$2:$H$3990,MATCH(A126,Data!$A$2:$A$3990,0))</f>
        <v>Australia</v>
      </c>
      <c r="C126" s="19" t="n">
        <f aca="false">SUMIFS(Data!$I$2:$I$3990,Data!$A$2:$A$3990,A126,Data!$J$2:$J$3990,1)</f>
        <v>45.36</v>
      </c>
      <c r="D126" s="6" t="str">
        <f aca="false">IF(C126&gt;10000,"HIGH VALUE","")</f>
        <v/>
      </c>
    </row>
    <row r="127" customFormat="false" ht="15" hidden="false" customHeight="false" outlineLevel="0" collapsed="false">
      <c r="A127" s="6" t="s">
        <v>205</v>
      </c>
      <c r="B127" s="6" t="str">
        <f aca="false">INDEX(Data!$H$2:$H$3990,MATCH(A127,Data!$A$2:$A$3990,0))</f>
        <v>United Kingdom</v>
      </c>
      <c r="C127" s="19" t="n">
        <f aca="false">SUMIFS(Data!$I$2:$I$3990,Data!$A$2:$A$3990,A127,Data!$J$2:$J$3990,1)</f>
        <v>69.48</v>
      </c>
      <c r="D127" s="6" t="str">
        <f aca="false">IF(C127&gt;10000,"HIGH VALUE","")</f>
        <v/>
      </c>
    </row>
    <row r="128" customFormat="false" ht="15" hidden="false" customHeight="false" outlineLevel="0" collapsed="false">
      <c r="A128" s="6" t="s">
        <v>207</v>
      </c>
      <c r="B128" s="6" t="str">
        <f aca="false">INDEX(Data!$H$2:$H$3990,MATCH(A128,Data!$A$2:$A$3990,0))</f>
        <v>United Kingdom</v>
      </c>
      <c r="C128" s="19" t="n">
        <f aca="false">SUMIFS(Data!$I$2:$I$3990,Data!$A$2:$A$3990,A128,Data!$J$2:$J$3990,1)</f>
        <v>36.46</v>
      </c>
      <c r="D128" s="6" t="str">
        <f aca="false">IF(C128&gt;10000,"HIGH VALUE","")</f>
        <v/>
      </c>
    </row>
    <row r="129" customFormat="false" ht="15" hidden="false" customHeight="false" outlineLevel="0" collapsed="false">
      <c r="A129" s="6" t="s">
        <v>210</v>
      </c>
      <c r="B129" s="6" t="str">
        <f aca="false">INDEX(Data!$H$2:$H$3990,MATCH(A129,Data!$A$2:$A$3990,0))</f>
        <v>United Kingdom</v>
      </c>
      <c r="C129" s="19" t="n">
        <f aca="false">SUMIFS(Data!$I$2:$I$3990,Data!$A$2:$A$3990,A129,Data!$J$2:$J$3990,1)</f>
        <v>1763.88</v>
      </c>
      <c r="D129" s="6" t="str">
        <f aca="false">IF(C129&gt;10000,"HIGH VALUE","")</f>
        <v/>
      </c>
    </row>
    <row r="130" customFormat="false" ht="15" hidden="false" customHeight="false" outlineLevel="0" collapsed="false">
      <c r="A130" s="6" t="s">
        <v>208</v>
      </c>
      <c r="B130" s="6" t="str">
        <f aca="false">INDEX(Data!$H$2:$H$3990,MATCH(A130,Data!$A$2:$A$3990,0))</f>
        <v>United Kingdom</v>
      </c>
      <c r="C130" s="19" t="n">
        <f aca="false">SUMIFS(Data!$I$2:$I$3990,Data!$A$2:$A$3990,A130,Data!$J$2:$J$3990,1)</f>
        <v>425.26</v>
      </c>
      <c r="D130" s="6" t="str">
        <f aca="false">IF(C130&gt;10000,"HIGH VALUE","")</f>
        <v/>
      </c>
    </row>
    <row r="131" customFormat="false" ht="15" hidden="false" customHeight="false" outlineLevel="0" collapsed="false">
      <c r="A131" s="6" t="s">
        <v>209</v>
      </c>
      <c r="B131" s="6" t="str">
        <f aca="false">INDEX(Data!$H$2:$H$3990,MATCH(A131,Data!$A$2:$A$3990,0))</f>
        <v>United Kingdom</v>
      </c>
      <c r="C131" s="19" t="n">
        <f aca="false">SUMIFS(Data!$I$2:$I$3990,Data!$A$2:$A$3990,A131,Data!$J$2:$J$3990,1)</f>
        <v>52.83</v>
      </c>
      <c r="D131" s="6" t="str">
        <f aca="false">IF(C131&gt;10000,"HIGH VALUE","")</f>
        <v/>
      </c>
    </row>
    <row r="132" customFormat="false" ht="15" hidden="false" customHeight="false" outlineLevel="0" collapsed="false">
      <c r="A132" s="6" t="s">
        <v>211</v>
      </c>
      <c r="B132" s="6" t="str">
        <f aca="false">INDEX(Data!$H$2:$H$3990,MATCH(A132,Data!$A$2:$A$3990,0))</f>
        <v>United Kingdom</v>
      </c>
      <c r="C132" s="19" t="n">
        <f aca="false">SUMIFS(Data!$I$2:$I$3990,Data!$A$2:$A$3990,A132,Data!$J$2:$J$3990,1)</f>
        <v>5542.74</v>
      </c>
      <c r="D132" s="6" t="str">
        <f aca="false">IF(C132&gt;10000,"HIGH VALUE","")</f>
        <v/>
      </c>
    </row>
    <row r="133" customFormat="false" ht="15" hidden="false" customHeight="false" outlineLevel="0" collapsed="false">
      <c r="A133" s="6" t="s">
        <v>212</v>
      </c>
      <c r="B133" s="6" t="str">
        <f aca="false">INDEX(Data!$H$2:$H$3990,MATCH(A133,Data!$A$2:$A$3990,0))</f>
        <v>United Kingdom</v>
      </c>
      <c r="C133" s="19" t="n">
        <f aca="false">SUMIFS(Data!$I$2:$I$3990,Data!$A$2:$A$3990,A133,Data!$J$2:$J$3990,1)</f>
        <v>25.92</v>
      </c>
      <c r="D133" s="6" t="str">
        <f aca="false">IF(C133&gt;10000,"HIGH VALUE","")</f>
        <v/>
      </c>
    </row>
    <row r="134" customFormat="false" ht="15" hidden="false" customHeight="false" outlineLevel="0" collapsed="false">
      <c r="A134" s="6" t="s">
        <v>213</v>
      </c>
      <c r="B134" s="6" t="str">
        <f aca="false">INDEX(Data!$H$2:$H$3990,MATCH(A134,Data!$A$2:$A$3990,0))</f>
        <v>United Kingdom</v>
      </c>
      <c r="C134" s="19" t="n">
        <f aca="false">SUMIFS(Data!$I$2:$I$3990,Data!$A$2:$A$3990,A134,Data!$J$2:$J$3990,1)</f>
        <v>140.52</v>
      </c>
      <c r="D134" s="6" t="str">
        <f aca="false">IF(C134&gt;10000,"HIGH VALUE","")</f>
        <v/>
      </c>
    </row>
    <row r="135" customFormat="false" ht="15" hidden="false" customHeight="false" outlineLevel="0" collapsed="false">
      <c r="A135" s="6" t="s">
        <v>216</v>
      </c>
      <c r="B135" s="6" t="str">
        <f aca="false">INDEX(Data!$H$2:$H$3990,MATCH(A135,Data!$A$2:$A$3990,0))</f>
        <v>United Kingdom</v>
      </c>
      <c r="C135" s="19" t="n">
        <f aca="false">SUMIFS(Data!$I$2:$I$3990,Data!$A$2:$A$3990,A135,Data!$J$2:$J$3990,1)</f>
        <v>19.04</v>
      </c>
      <c r="D135" s="6" t="str">
        <f aca="false">IF(C135&gt;10000,"HIGH VALUE","")</f>
        <v/>
      </c>
    </row>
    <row r="136" customFormat="false" ht="15" hidden="false" customHeight="false" outlineLevel="0" collapsed="false">
      <c r="A136" s="6" t="s">
        <v>214</v>
      </c>
      <c r="B136" s="6" t="str">
        <f aca="false">INDEX(Data!$H$2:$H$3990,MATCH(A136,Data!$A$2:$A$3990,0))</f>
        <v>United Kingdom</v>
      </c>
      <c r="C136" s="19" t="n">
        <f aca="false">SUMIFS(Data!$I$2:$I$3990,Data!$A$2:$A$3990,A136,Data!$J$2:$J$3990,1)</f>
        <v>23.99</v>
      </c>
      <c r="D136" s="6" t="str">
        <f aca="false">IF(C136&gt;10000,"HIGH VALUE","")</f>
        <v/>
      </c>
    </row>
    <row r="137" customFormat="false" ht="15" hidden="false" customHeight="false" outlineLevel="0" collapsed="false">
      <c r="A137" s="6" t="s">
        <v>215</v>
      </c>
      <c r="B137" s="6" t="str">
        <f aca="false">INDEX(Data!$H$2:$H$3990,MATCH(A137,Data!$A$2:$A$3990,0))</f>
        <v>United Kingdom</v>
      </c>
      <c r="C137" s="19" t="n">
        <f aca="false">SUMIFS(Data!$I$2:$I$3990,Data!$A$2:$A$3990,A137,Data!$J$2:$J$3990,1)</f>
        <v>79.24</v>
      </c>
      <c r="D137" s="6" t="str">
        <f aca="false">IF(C137&gt;10000,"HIGH VALUE","")</f>
        <v/>
      </c>
    </row>
    <row r="138" customFormat="false" ht="15" hidden="false" customHeight="false" outlineLevel="0" collapsed="false">
      <c r="A138" s="6" t="s">
        <v>219</v>
      </c>
      <c r="B138" s="6" t="str">
        <f aca="false">INDEX(Data!$H$2:$H$3990,MATCH(A138,Data!$A$2:$A$3990,0))</f>
        <v>United Kingdom</v>
      </c>
      <c r="C138" s="19" t="n">
        <f aca="false">SUMIFS(Data!$I$2:$I$3990,Data!$A$2:$A$3990,A138,Data!$J$2:$J$3990,1)</f>
        <v>192.91</v>
      </c>
      <c r="D138" s="6" t="str">
        <f aca="false">IF(C138&gt;10000,"HIGH VALUE","")</f>
        <v/>
      </c>
    </row>
    <row r="139" customFormat="false" ht="15" hidden="false" customHeight="false" outlineLevel="0" collapsed="false">
      <c r="A139" s="6" t="s">
        <v>220</v>
      </c>
      <c r="B139" s="6" t="str">
        <f aca="false">INDEX(Data!$H$2:$H$3990,MATCH(A139,Data!$A$2:$A$3990,0))</f>
        <v>United Kingdom</v>
      </c>
      <c r="C139" s="19" t="n">
        <f aca="false">SUMIFS(Data!$I$2:$I$3990,Data!$A$2:$A$3990,A139,Data!$J$2:$J$3990,1)</f>
        <v>1.98</v>
      </c>
      <c r="D139" s="6" t="str">
        <f aca="false">IF(C139&gt;10000,"HIGH VALUE","")</f>
        <v/>
      </c>
    </row>
    <row r="140" customFormat="false" ht="15" hidden="false" customHeight="false" outlineLevel="0" collapsed="false">
      <c r="A140" s="6" t="s">
        <v>217</v>
      </c>
      <c r="B140" s="6" t="str">
        <f aca="false">INDEX(Data!$H$2:$H$3990,MATCH(A140,Data!$A$2:$A$3990,0))</f>
        <v>United Kingdom</v>
      </c>
      <c r="C140" s="19" t="n">
        <f aca="false">SUMIFS(Data!$I$2:$I$3990,Data!$A$2:$A$3990,A140,Data!$J$2:$J$3990,1)</f>
        <v>84.33</v>
      </c>
      <c r="D140" s="6" t="str">
        <f aca="false">IF(C140&gt;10000,"HIGH VALUE","")</f>
        <v/>
      </c>
    </row>
    <row r="141" customFormat="false" ht="15" hidden="false" customHeight="false" outlineLevel="0" collapsed="false">
      <c r="A141" s="6" t="s">
        <v>218</v>
      </c>
      <c r="B141" s="6" t="str">
        <f aca="false">INDEX(Data!$H$2:$H$3990,MATCH(A141,Data!$A$2:$A$3990,0))</f>
        <v>Australia</v>
      </c>
      <c r="C141" s="19" t="n">
        <f aca="false">SUMIFS(Data!$I$2:$I$3990,Data!$A$2:$A$3990,A141,Data!$J$2:$J$3990,1)</f>
        <v>129.64</v>
      </c>
      <c r="D141" s="6" t="str">
        <f aca="false">IF(C141&gt;10000,"HIGH VALUE","")</f>
        <v/>
      </c>
    </row>
    <row r="142" customFormat="false" ht="15" hidden="false" customHeight="false" outlineLevel="0" collapsed="false">
      <c r="A142" s="6" t="s">
        <v>221</v>
      </c>
      <c r="B142" s="6" t="str">
        <f aca="false">INDEX(Data!$H$2:$H$3990,MATCH(A142,Data!$A$2:$A$3990,0))</f>
        <v>France</v>
      </c>
      <c r="C142" s="19" t="n">
        <f aca="false">SUMIFS(Data!$I$2:$I$3990,Data!$A$2:$A$3990,A142,Data!$J$2:$J$3990,1)</f>
        <v>1743.74</v>
      </c>
      <c r="D142" s="6" t="str">
        <f aca="false">IF(C142&gt;10000,"HIGH VALUE","")</f>
        <v/>
      </c>
    </row>
    <row r="143" customFormat="false" ht="15" hidden="false" customHeight="false" outlineLevel="0" collapsed="false">
      <c r="A143" s="6" t="s">
        <v>224</v>
      </c>
      <c r="B143" s="6" t="str">
        <f aca="false">INDEX(Data!$H$2:$H$3990,MATCH(A143,Data!$A$2:$A$3990,0))</f>
        <v>United Kingdom</v>
      </c>
      <c r="C143" s="19" t="n">
        <f aca="false">SUMIFS(Data!$I$2:$I$3990,Data!$A$2:$A$3990,A143,Data!$J$2:$J$3990,1)</f>
        <v>164.52</v>
      </c>
      <c r="D143" s="6" t="str">
        <f aca="false">IF(C143&gt;10000,"HIGH VALUE","")</f>
        <v/>
      </c>
    </row>
    <row r="144" customFormat="false" ht="15" hidden="false" customHeight="false" outlineLevel="0" collapsed="false">
      <c r="A144" s="6" t="s">
        <v>223</v>
      </c>
      <c r="B144" s="6" t="str">
        <f aca="false">INDEX(Data!$H$2:$H$3990,MATCH(A144,Data!$A$2:$A$3990,0))</f>
        <v>United Kingdom</v>
      </c>
      <c r="C144" s="19" t="n">
        <f aca="false">SUMIFS(Data!$I$2:$I$3990,Data!$A$2:$A$3990,A144,Data!$J$2:$J$3990,1)</f>
        <v>54</v>
      </c>
      <c r="D144" s="6" t="str">
        <f aca="false">IF(C144&gt;10000,"HIGH VALUE","")</f>
        <v/>
      </c>
    </row>
    <row r="145" customFormat="false" ht="15" hidden="false" customHeight="false" outlineLevel="0" collapsed="false">
      <c r="A145" s="6" t="s">
        <v>222</v>
      </c>
      <c r="B145" s="6" t="str">
        <f aca="false">INDEX(Data!$H$2:$H$3990,MATCH(A145,Data!$A$2:$A$3990,0))</f>
        <v>United Kingdom</v>
      </c>
      <c r="C145" s="19" t="n">
        <f aca="false">SUMIFS(Data!$I$2:$I$3990,Data!$A$2:$A$3990,A145,Data!$J$2:$J$3990,1)</f>
        <v>422.4</v>
      </c>
      <c r="D145" s="6" t="str">
        <f aca="false">IF(C145&gt;10000,"HIGH VALUE","")</f>
        <v/>
      </c>
    </row>
    <row r="146" customFormat="false" ht="15" hidden="false" customHeight="false" outlineLevel="0" collapsed="false">
      <c r="A146" s="6" t="s">
        <v>225</v>
      </c>
      <c r="B146" s="6" t="str">
        <f aca="false">INDEX(Data!$H$2:$H$3990,MATCH(A146,Data!$A$2:$A$3990,0))</f>
        <v>United Kingdom</v>
      </c>
      <c r="C146" s="19" t="n">
        <f aca="false">SUMIFS(Data!$I$2:$I$3990,Data!$A$2:$A$3990,A146,Data!$J$2:$J$3990,1)</f>
        <v>34.04</v>
      </c>
      <c r="D146" s="6" t="str">
        <f aca="false">IF(C146&gt;10000,"HIGH VALUE","")</f>
        <v/>
      </c>
    </row>
    <row r="147" customFormat="false" ht="15" hidden="false" customHeight="false" outlineLevel="0" collapsed="false">
      <c r="A147" s="6" t="s">
        <v>226</v>
      </c>
      <c r="B147" s="6" t="str">
        <f aca="false">INDEX(Data!$H$2:$H$3990,MATCH(A147,Data!$A$2:$A$3990,0))</f>
        <v>United Kingdom</v>
      </c>
      <c r="C147" s="19" t="n">
        <f aca="false">SUMIFS(Data!$I$2:$I$3990,Data!$A$2:$A$3990,A147,Data!$J$2:$J$3990,1)</f>
        <v>21.55</v>
      </c>
      <c r="D147" s="6" t="str">
        <f aca="false">IF(C147&gt;10000,"HIGH VALUE","")</f>
        <v/>
      </c>
    </row>
    <row r="148" customFormat="false" ht="15" hidden="false" customHeight="false" outlineLevel="0" collapsed="false">
      <c r="A148" s="6" t="s">
        <v>227</v>
      </c>
      <c r="B148" s="6" t="str">
        <f aca="false">INDEX(Data!$H$2:$H$3990,MATCH(A148,Data!$A$2:$A$3990,0))</f>
        <v>United Kingdom</v>
      </c>
      <c r="C148" s="19" t="n">
        <f aca="false">SUMIFS(Data!$I$2:$I$3990,Data!$A$2:$A$3990,A148,Data!$J$2:$J$3990,1)</f>
        <v>2.38</v>
      </c>
      <c r="D148" s="6" t="str">
        <f aca="false">IF(C148&gt;10000,"HIGH VALUE","")</f>
        <v/>
      </c>
    </row>
    <row r="149" customFormat="false" ht="15" hidden="false" customHeight="false" outlineLevel="0" collapsed="false">
      <c r="A149" s="6" t="s">
        <v>229</v>
      </c>
      <c r="B149" s="6" t="str">
        <f aca="false">INDEX(Data!$H$2:$H$3990,MATCH(A149,Data!$A$2:$A$3990,0))</f>
        <v>United Kingdom</v>
      </c>
      <c r="C149" s="19" t="n">
        <f aca="false">SUMIFS(Data!$I$2:$I$3990,Data!$A$2:$A$3990,A149,Data!$J$2:$J$3990,1)</f>
        <v>52.11</v>
      </c>
      <c r="D149" s="6" t="str">
        <f aca="false">IF(C149&gt;10000,"HIGH VALUE","")</f>
        <v/>
      </c>
    </row>
    <row r="150" customFormat="false" ht="15" hidden="false" customHeight="false" outlineLevel="0" collapsed="false">
      <c r="A150" s="6" t="s">
        <v>228</v>
      </c>
      <c r="B150" s="6" t="str">
        <f aca="false">INDEX(Data!$H$2:$H$3990,MATCH(A150,Data!$A$2:$A$3990,0))</f>
        <v>France</v>
      </c>
      <c r="C150" s="19" t="n">
        <f aca="false">SUMIFS(Data!$I$2:$I$3990,Data!$A$2:$A$3990,A150,Data!$J$2:$J$3990,1)</f>
        <v>75.26</v>
      </c>
      <c r="D150" s="6" t="str">
        <f aca="false">IF(C150&gt;10000,"HIGH VALUE","")</f>
        <v/>
      </c>
    </row>
    <row r="151" customFormat="false" ht="15" hidden="false" customHeight="false" outlineLevel="0" collapsed="false">
      <c r="A151" s="6" t="s">
        <v>230</v>
      </c>
      <c r="B151" s="6" t="str">
        <f aca="false">INDEX(Data!$H$2:$H$3990,MATCH(A151,Data!$A$2:$A$3990,0))</f>
        <v>United Kingdom</v>
      </c>
      <c r="C151" s="19" t="n">
        <f aca="false">SUMIFS(Data!$I$2:$I$3990,Data!$A$2:$A$3990,A151,Data!$J$2:$J$3990,1)</f>
        <v>58.92</v>
      </c>
      <c r="D151" s="6" t="str">
        <f aca="false">IF(C151&gt;10000,"HIGH VALUE","")</f>
        <v/>
      </c>
    </row>
    <row r="152" customFormat="false" ht="15" hidden="false" customHeight="false" outlineLevel="0" collapsed="false">
      <c r="A152" s="6" t="s">
        <v>233</v>
      </c>
      <c r="B152" s="6" t="str">
        <f aca="false">INDEX(Data!$H$2:$H$3990,MATCH(A152,Data!$A$2:$A$3990,0))</f>
        <v>United Kingdom</v>
      </c>
      <c r="C152" s="19" t="n">
        <f aca="false">SUMIFS(Data!$I$2:$I$3990,Data!$A$2:$A$3990,A152,Data!$J$2:$J$3990,1)</f>
        <v>13.89</v>
      </c>
      <c r="D152" s="6" t="str">
        <f aca="false">IF(C152&gt;10000,"HIGH VALUE","")</f>
        <v/>
      </c>
    </row>
    <row r="153" customFormat="false" ht="15" hidden="false" customHeight="false" outlineLevel="0" collapsed="false">
      <c r="A153" s="6" t="s">
        <v>232</v>
      </c>
      <c r="B153" s="6" t="str">
        <f aca="false">INDEX(Data!$H$2:$H$3990,MATCH(A153,Data!$A$2:$A$3990,0))</f>
        <v>United Kingdom</v>
      </c>
      <c r="C153" s="19" t="n">
        <f aca="false">SUMIFS(Data!$I$2:$I$3990,Data!$A$2:$A$3990,A153,Data!$J$2:$J$3990,1)</f>
        <v>246.48</v>
      </c>
      <c r="D153" s="6" t="str">
        <f aca="false">IF(C153&gt;10000,"HIGH VALUE","")</f>
        <v/>
      </c>
    </row>
    <row r="154" customFormat="false" ht="15" hidden="false" customHeight="false" outlineLevel="0" collapsed="false">
      <c r="A154" s="6" t="s">
        <v>235</v>
      </c>
      <c r="B154" s="6" t="str">
        <f aca="false">INDEX(Data!$H$2:$H$3990,MATCH(A154,Data!$A$2:$A$3990,0))</f>
        <v>United Kingdom</v>
      </c>
      <c r="C154" s="19" t="n">
        <f aca="false">SUMIFS(Data!$I$2:$I$3990,Data!$A$2:$A$3990,A154,Data!$J$2:$J$3990,1)</f>
        <v>60.6</v>
      </c>
      <c r="D154" s="6" t="str">
        <f aca="false">IF(C154&gt;10000,"HIGH VALUE","")</f>
        <v/>
      </c>
    </row>
    <row r="155" customFormat="false" ht="15" hidden="false" customHeight="false" outlineLevel="0" collapsed="false">
      <c r="A155" s="6" t="s">
        <v>234</v>
      </c>
      <c r="B155" s="6" t="str">
        <f aca="false">INDEX(Data!$H$2:$H$3990,MATCH(A155,Data!$A$2:$A$3990,0))</f>
        <v>United Kingdom</v>
      </c>
      <c r="C155" s="19" t="n">
        <f aca="false">SUMIFS(Data!$I$2:$I$3990,Data!$A$2:$A$3990,A155,Data!$J$2:$J$3990,1)</f>
        <v>8.32</v>
      </c>
      <c r="D155" s="6" t="str">
        <f aca="false">IF(C155&gt;10000,"HIGH VALUE","")</f>
        <v/>
      </c>
    </row>
    <row r="156" customFormat="false" ht="15" hidden="false" customHeight="false" outlineLevel="0" collapsed="false">
      <c r="A156" s="6" t="s">
        <v>236</v>
      </c>
      <c r="B156" s="6" t="str">
        <f aca="false">INDEX(Data!$H$2:$H$3990,MATCH(A156,Data!$A$2:$A$3990,0))</f>
        <v>United Kingdom</v>
      </c>
      <c r="C156" s="19" t="n">
        <f aca="false">SUMIFS(Data!$I$2:$I$3990,Data!$A$2:$A$3990,A156,Data!$J$2:$J$3990,1)</f>
        <v>58.6</v>
      </c>
      <c r="D156" s="6" t="str">
        <f aca="false">IF(C156&gt;10000,"HIGH VALUE","")</f>
        <v/>
      </c>
    </row>
    <row r="157" customFormat="false" ht="15" hidden="false" customHeight="false" outlineLevel="0" collapsed="false">
      <c r="A157" s="6" t="s">
        <v>237</v>
      </c>
      <c r="B157" s="6" t="str">
        <f aca="false">INDEX(Data!$H$2:$H$3990,MATCH(A157,Data!$A$2:$A$3990,0))</f>
        <v>United Kingdom</v>
      </c>
      <c r="C157" s="19" t="n">
        <f aca="false">SUMIFS(Data!$I$2:$I$3990,Data!$A$2:$A$3990,A157,Data!$J$2:$J$3990,1)</f>
        <v>73.8</v>
      </c>
      <c r="D157" s="6" t="str">
        <f aca="false">IF(C157&gt;10000,"HIGH VALUE","")</f>
        <v/>
      </c>
    </row>
    <row r="158" customFormat="false" ht="15" hidden="false" customHeight="false" outlineLevel="0" collapsed="false">
      <c r="A158" s="6" t="s">
        <v>238</v>
      </c>
      <c r="B158" s="6" t="str">
        <f aca="false">INDEX(Data!$H$2:$H$3990,MATCH(A158,Data!$A$2:$A$3990,0))</f>
        <v>United Kingdom</v>
      </c>
      <c r="C158" s="19" t="n">
        <f aca="false">SUMIFS(Data!$I$2:$I$3990,Data!$A$2:$A$3990,A158,Data!$J$2:$J$3990,1)</f>
        <v>30.74</v>
      </c>
      <c r="D158" s="6" t="str">
        <f aca="false">IF(C158&gt;10000,"HIGH VALUE","")</f>
        <v/>
      </c>
    </row>
    <row r="159" customFormat="false" ht="15" hidden="false" customHeight="false" outlineLevel="0" collapsed="false">
      <c r="A159" s="6" t="s">
        <v>239</v>
      </c>
      <c r="B159" s="6" t="str">
        <f aca="false">INDEX(Data!$H$2:$H$3990,MATCH(A159,Data!$A$2:$A$3990,0))</f>
        <v>United Kingdom</v>
      </c>
      <c r="C159" s="19" t="n">
        <f aca="false">SUMIFS(Data!$I$2:$I$3990,Data!$A$2:$A$3990,A159,Data!$J$2:$J$3990,1)</f>
        <v>103.38</v>
      </c>
      <c r="D159" s="6" t="str">
        <f aca="false">IF(C159&gt;10000,"HIGH VALUE","")</f>
        <v/>
      </c>
    </row>
    <row r="160" customFormat="false" ht="15" hidden="false" customHeight="false" outlineLevel="0" collapsed="false">
      <c r="A160" s="6" t="s">
        <v>240</v>
      </c>
      <c r="B160" s="6" t="str">
        <f aca="false">INDEX(Data!$H$2:$H$3990,MATCH(A160,Data!$A$2:$A$3990,0))</f>
        <v>United Kingdom</v>
      </c>
      <c r="C160" s="19" t="n">
        <f aca="false">SUMIFS(Data!$I$2:$I$3990,Data!$A$2:$A$3990,A160,Data!$J$2:$J$3990,1)</f>
        <v>56.75</v>
      </c>
      <c r="D160" s="6" t="str">
        <f aca="false">IF(C160&gt;10000,"HIGH VALUE","")</f>
        <v/>
      </c>
    </row>
    <row r="161" customFormat="false" ht="15" hidden="false" customHeight="false" outlineLevel="0" collapsed="false">
      <c r="A161" s="6" t="s">
        <v>241</v>
      </c>
      <c r="B161" s="6" t="str">
        <f aca="false">INDEX(Data!$H$2:$H$3990,MATCH(A161,Data!$A$2:$A$3990,0))</f>
        <v>United Kingdom</v>
      </c>
      <c r="C161" s="19" t="n">
        <f aca="false">SUMIFS(Data!$I$2:$I$3990,Data!$A$2:$A$3990,A161,Data!$J$2:$J$3990,1)</f>
        <v>115.58</v>
      </c>
      <c r="D161" s="6" t="str">
        <f aca="false">IF(C161&gt;10000,"HIGH VALUE","")</f>
        <v/>
      </c>
    </row>
    <row r="162" customFormat="false" ht="15" hidden="false" customHeight="false" outlineLevel="0" collapsed="false">
      <c r="A162" s="6" t="s">
        <v>242</v>
      </c>
      <c r="B162" s="6" t="str">
        <f aca="false">INDEX(Data!$H$2:$H$3990,MATCH(A162,Data!$A$2:$A$3990,0))</f>
        <v>United Kingdom</v>
      </c>
      <c r="C162" s="19" t="n">
        <f aca="false">SUMIFS(Data!$I$2:$I$3990,Data!$A$2:$A$3990,A162,Data!$J$2:$J$3990,1)</f>
        <v>16.55</v>
      </c>
      <c r="D162" s="6" t="str">
        <f aca="false">IF(C162&gt;10000,"HIGH VALUE","")</f>
        <v/>
      </c>
    </row>
    <row r="163" customFormat="false" ht="15" hidden="false" customHeight="false" outlineLevel="0" collapsed="false">
      <c r="A163" s="6" t="s">
        <v>244</v>
      </c>
      <c r="B163" s="6" t="str">
        <f aca="false">INDEX(Data!$H$2:$H$3990,MATCH(A163,Data!$A$2:$A$3990,0))</f>
        <v>United Kingdom</v>
      </c>
      <c r="C163" s="19" t="n">
        <f aca="false">SUMIFS(Data!$I$2:$I$3990,Data!$A$2:$A$3990,A163,Data!$J$2:$J$3990,1)</f>
        <v>18.2</v>
      </c>
      <c r="D163" s="6" t="str">
        <f aca="false">IF(C163&gt;10000,"HIGH VALUE","")</f>
        <v/>
      </c>
    </row>
    <row r="164" customFormat="false" ht="15" hidden="false" customHeight="false" outlineLevel="0" collapsed="false">
      <c r="A164" s="6" t="s">
        <v>243</v>
      </c>
      <c r="B164" s="6" t="str">
        <f aca="false">INDEX(Data!$H$2:$H$3990,MATCH(A164,Data!$A$2:$A$3990,0))</f>
        <v>United Kingdom</v>
      </c>
      <c r="C164" s="19" t="n">
        <f aca="false">SUMIFS(Data!$I$2:$I$3990,Data!$A$2:$A$3990,A164,Data!$J$2:$J$3990,1)</f>
        <v>9.21</v>
      </c>
      <c r="D164" s="6" t="str">
        <f aca="false">IF(C164&gt;10000,"HIGH VALUE","")</f>
        <v/>
      </c>
    </row>
    <row r="165" customFormat="false" ht="15" hidden="false" customHeight="false" outlineLevel="0" collapsed="false">
      <c r="A165" s="6" t="s">
        <v>245</v>
      </c>
      <c r="B165" s="6" t="str">
        <f aca="false">INDEX(Data!$H$2:$H$3990,MATCH(A165,Data!$A$2:$A$3990,0))</f>
        <v>United Kingdom</v>
      </c>
      <c r="C165" s="19" t="n">
        <f aca="false">SUMIFS(Data!$I$2:$I$3990,Data!$A$2:$A$3990,A165,Data!$J$2:$J$3990,1)</f>
        <v>27.42</v>
      </c>
      <c r="D165" s="6" t="str">
        <f aca="false">IF(C165&gt;10000,"HIGH VALUE","")</f>
        <v/>
      </c>
    </row>
    <row r="166" customFormat="false" ht="15" hidden="false" customHeight="false" outlineLevel="0" collapsed="false">
      <c r="A166" s="6" t="s">
        <v>246</v>
      </c>
      <c r="B166" s="6" t="str">
        <f aca="false">INDEX(Data!$H$2:$H$3990,MATCH(A166,Data!$A$2:$A$3990,0))</f>
        <v>United Kingdom</v>
      </c>
      <c r="C166" s="19" t="n">
        <f aca="false">SUMIFS(Data!$I$2:$I$3990,Data!$A$2:$A$3990,A166,Data!$J$2:$J$3990,1)</f>
        <v>5.51</v>
      </c>
      <c r="D166" s="6" t="str">
        <f aca="false">IF(C166&gt;10000,"HIGH VALUE","")</f>
        <v/>
      </c>
    </row>
    <row r="167" customFormat="false" ht="15" hidden="false" customHeight="false" outlineLevel="0" collapsed="false">
      <c r="A167" s="6" t="s">
        <v>247</v>
      </c>
      <c r="B167" s="6" t="str">
        <f aca="false">INDEX(Data!$H$2:$H$3990,MATCH(A167,Data!$A$2:$A$3990,0))</f>
        <v>United Kingdom</v>
      </c>
      <c r="C167" s="19" t="n">
        <f aca="false">SUMIFS(Data!$I$2:$I$3990,Data!$A$2:$A$3990,A167,Data!$J$2:$J$3990,1)</f>
        <v>27.46</v>
      </c>
      <c r="D167" s="6" t="str">
        <f aca="false">IF(C167&gt;10000,"HIGH VALUE","")</f>
        <v/>
      </c>
    </row>
    <row r="168" customFormat="false" ht="15" hidden="false" customHeight="false" outlineLevel="0" collapsed="false">
      <c r="A168" s="6" t="s">
        <v>248</v>
      </c>
      <c r="B168" s="6" t="str">
        <f aca="false">INDEX(Data!$H$2:$H$3990,MATCH(A168,Data!$A$2:$A$3990,0))</f>
        <v>United Kingdom</v>
      </c>
      <c r="C168" s="19" t="n">
        <f aca="false">SUMIFS(Data!$I$2:$I$3990,Data!$A$2:$A$3990,A168,Data!$J$2:$J$3990,1)</f>
        <v>157.44</v>
      </c>
      <c r="D168" s="6" t="str">
        <f aca="false">IF(C168&gt;10000,"HIGH VALUE","")</f>
        <v/>
      </c>
    </row>
    <row r="169" customFormat="false" ht="15" hidden="false" customHeight="false" outlineLevel="0" collapsed="false">
      <c r="A169" s="6" t="s">
        <v>249</v>
      </c>
      <c r="B169" s="6" t="str">
        <f aca="false">INDEX(Data!$H$2:$H$3990,MATCH(A169,Data!$A$2:$A$3990,0))</f>
        <v>United Kingdom</v>
      </c>
      <c r="C169" s="19" t="n">
        <f aca="false">SUMIFS(Data!$I$2:$I$3990,Data!$A$2:$A$3990,A169,Data!$J$2:$J$3990,1)</f>
        <v>65.97</v>
      </c>
      <c r="D169" s="6" t="str">
        <f aca="false">IF(C169&gt;10000,"HIGH VALUE","")</f>
        <v/>
      </c>
    </row>
    <row r="170" customFormat="false" ht="15" hidden="false" customHeight="false" outlineLevel="0" collapsed="false">
      <c r="A170" s="6" t="s">
        <v>250</v>
      </c>
      <c r="B170" s="6" t="str">
        <f aca="false">INDEX(Data!$H$2:$H$3990,MATCH(A170,Data!$A$2:$A$3990,0))</f>
        <v>United Kingdom</v>
      </c>
      <c r="C170" s="19" t="n">
        <f aca="false">SUMIFS(Data!$I$2:$I$3990,Data!$A$2:$A$3990,A170,Data!$J$2:$J$3990,1)</f>
        <v>51.49</v>
      </c>
      <c r="D170" s="6" t="str">
        <f aca="false">IF(C170&gt;10000,"HIGH VALUE","")</f>
        <v/>
      </c>
    </row>
    <row r="171" customFormat="false" ht="15" hidden="false" customHeight="false" outlineLevel="0" collapsed="false">
      <c r="A171" s="6" t="s">
        <v>251</v>
      </c>
      <c r="B171" s="6" t="str">
        <f aca="false">INDEX(Data!$H$2:$H$3990,MATCH(A171,Data!$A$2:$A$3990,0))</f>
        <v>United Kingdom</v>
      </c>
      <c r="C171" s="19" t="n">
        <f aca="false">SUMIFS(Data!$I$2:$I$3990,Data!$A$2:$A$3990,A171,Data!$J$2:$J$3990,1)</f>
        <v>56.27</v>
      </c>
      <c r="D171" s="6" t="str">
        <f aca="false">IF(C171&gt;10000,"HIGH VALUE","")</f>
        <v/>
      </c>
    </row>
    <row r="172" customFormat="false" ht="15" hidden="false" customHeight="false" outlineLevel="0" collapsed="false">
      <c r="A172" s="6" t="s">
        <v>252</v>
      </c>
      <c r="B172" s="6" t="str">
        <f aca="false">INDEX(Data!$H$2:$H$3990,MATCH(A172,Data!$A$2:$A$3990,0))</f>
        <v>United Kingdom</v>
      </c>
      <c r="C172" s="19" t="n">
        <f aca="false">SUMIFS(Data!$I$2:$I$3990,Data!$A$2:$A$3990,A172,Data!$J$2:$J$3990,1)</f>
        <v>172.56</v>
      </c>
      <c r="D172" s="6" t="str">
        <f aca="false">IF(C172&gt;10000,"HIGH VALUE","")</f>
        <v/>
      </c>
    </row>
    <row r="173" customFormat="false" ht="15" hidden="false" customHeight="false" outlineLevel="0" collapsed="false">
      <c r="A173" s="6" t="s">
        <v>256</v>
      </c>
      <c r="B173" s="6" t="str">
        <f aca="false">INDEX(Data!$H$2:$H$3990,MATCH(A173,Data!$A$2:$A$3990,0))</f>
        <v>United Kingdom</v>
      </c>
      <c r="C173" s="19" t="n">
        <f aca="false">SUMIFS(Data!$I$2:$I$3990,Data!$A$2:$A$3990,A173,Data!$J$2:$J$3990,1)</f>
        <v>57.24</v>
      </c>
      <c r="D173" s="6" t="str">
        <f aca="false">IF(C173&gt;10000,"HIGH VALUE","")</f>
        <v/>
      </c>
    </row>
    <row r="174" customFormat="false" ht="15" hidden="false" customHeight="false" outlineLevel="0" collapsed="false">
      <c r="A174" s="6" t="s">
        <v>254</v>
      </c>
      <c r="B174" s="6" t="str">
        <f aca="false">INDEX(Data!$H$2:$H$3990,MATCH(A174,Data!$A$2:$A$3990,0))</f>
        <v>United Kingdom</v>
      </c>
      <c r="C174" s="19" t="n">
        <f aca="false">SUMIFS(Data!$I$2:$I$3990,Data!$A$2:$A$3990,A174,Data!$J$2:$J$3990,1)</f>
        <v>52.38</v>
      </c>
      <c r="D174" s="6" t="str">
        <f aca="false">IF(C174&gt;10000,"HIGH VALUE","")</f>
        <v/>
      </c>
    </row>
    <row r="175" customFormat="false" ht="15" hidden="false" customHeight="false" outlineLevel="0" collapsed="false">
      <c r="A175" s="6" t="s">
        <v>253</v>
      </c>
      <c r="B175" s="6" t="str">
        <f aca="false">INDEX(Data!$H$2:$H$3990,MATCH(A175,Data!$A$2:$A$3990,0))</f>
        <v>United Kingdom</v>
      </c>
      <c r="C175" s="19" t="n">
        <f aca="false">SUMIFS(Data!$I$2:$I$3990,Data!$A$2:$A$3990,A175,Data!$J$2:$J$3990,1)</f>
        <v>14.54</v>
      </c>
      <c r="D175" s="6" t="str">
        <f aca="false">IF(C175&gt;10000,"HIGH VALUE","")</f>
        <v/>
      </c>
    </row>
    <row r="176" customFormat="false" ht="15" hidden="false" customHeight="false" outlineLevel="0" collapsed="false">
      <c r="A176" s="6" t="s">
        <v>255</v>
      </c>
      <c r="B176" s="6" t="str">
        <f aca="false">INDEX(Data!$H$2:$H$3990,MATCH(A176,Data!$A$2:$A$3990,0))</f>
        <v>United Kingdom</v>
      </c>
      <c r="C176" s="19" t="n">
        <f aca="false">SUMIFS(Data!$I$2:$I$3990,Data!$A$2:$A$3990,A176,Data!$J$2:$J$3990,1)</f>
        <v>49.67</v>
      </c>
      <c r="D176" s="6" t="str">
        <f aca="false">IF(C176&gt;10000,"HIGH VALUE","")</f>
        <v/>
      </c>
    </row>
    <row r="177" customFormat="false" ht="15" hidden="false" customHeight="false" outlineLevel="0" collapsed="false">
      <c r="A177" s="6" t="s">
        <v>257</v>
      </c>
      <c r="B177" s="6" t="str">
        <f aca="false">INDEX(Data!$H$2:$H$3990,MATCH(A177,Data!$A$2:$A$3990,0))</f>
        <v>Germany</v>
      </c>
      <c r="C177" s="19" t="n">
        <f aca="false">SUMIFS(Data!$I$2:$I$3990,Data!$A$2:$A$3990,A177,Data!$J$2:$J$3990,1)</f>
        <v>36.99</v>
      </c>
      <c r="D177" s="6" t="str">
        <f aca="false">IF(C177&gt;10000,"HIGH VALUE","")</f>
        <v/>
      </c>
    </row>
    <row r="178" customFormat="false" ht="15" hidden="false" customHeight="false" outlineLevel="0" collapsed="false">
      <c r="A178" s="6" t="s">
        <v>259</v>
      </c>
      <c r="B178" s="6" t="str">
        <f aca="false">INDEX(Data!$H$2:$H$3990,MATCH(A178,Data!$A$2:$A$3990,0))</f>
        <v>United Kingdom</v>
      </c>
      <c r="C178" s="19" t="n">
        <f aca="false">SUMIFS(Data!$I$2:$I$3990,Data!$A$2:$A$3990,A178,Data!$J$2:$J$3990,1)</f>
        <v>69.85</v>
      </c>
      <c r="D178" s="6" t="str">
        <f aca="false">IF(C178&gt;10000,"HIGH VALUE","")</f>
        <v/>
      </c>
    </row>
    <row r="179" customFormat="false" ht="15" hidden="false" customHeight="false" outlineLevel="0" collapsed="false">
      <c r="A179" s="6" t="s">
        <v>258</v>
      </c>
      <c r="B179" s="6" t="str">
        <f aca="false">INDEX(Data!$H$2:$H$3990,MATCH(A179,Data!$A$2:$A$3990,0))</f>
        <v>United Kingdom</v>
      </c>
      <c r="C179" s="19" t="n">
        <f aca="false">SUMIFS(Data!$I$2:$I$3990,Data!$A$2:$A$3990,A179,Data!$J$2:$J$3990,1)</f>
        <v>52.1</v>
      </c>
      <c r="D179" s="6" t="str">
        <f aca="false">IF(C179&gt;10000,"HIGH VALUE","")</f>
        <v/>
      </c>
    </row>
    <row r="180" customFormat="false" ht="15" hidden="false" customHeight="false" outlineLevel="0" collapsed="false">
      <c r="A180" s="6" t="s">
        <v>260</v>
      </c>
      <c r="B180" s="6" t="str">
        <f aca="false">INDEX(Data!$H$2:$H$3990,MATCH(A180,Data!$A$2:$A$3990,0))</f>
        <v>United Kingdom</v>
      </c>
      <c r="C180" s="19" t="n">
        <f aca="false">SUMIFS(Data!$I$2:$I$3990,Data!$A$2:$A$3990,A180,Data!$J$2:$J$3990,1)</f>
        <v>59.2</v>
      </c>
      <c r="D180" s="6" t="str">
        <f aca="false">IF(C180&gt;10000,"HIGH VALUE","")</f>
        <v/>
      </c>
    </row>
    <row r="181" customFormat="false" ht="15" hidden="false" customHeight="false" outlineLevel="0" collapsed="false">
      <c r="A181" s="6" t="s">
        <v>261</v>
      </c>
      <c r="B181" s="6" t="str">
        <f aca="false">INDEX(Data!$H$2:$H$3990,MATCH(A181,Data!$A$2:$A$3990,0))</f>
        <v>United Kingdom</v>
      </c>
      <c r="C181" s="19" t="n">
        <f aca="false">SUMIFS(Data!$I$2:$I$3990,Data!$A$2:$A$3990,A181,Data!$J$2:$J$3990,1)</f>
        <v>41.97</v>
      </c>
      <c r="D181" s="6" t="str">
        <f aca="false">IF(C181&gt;10000,"HIGH VALUE","")</f>
        <v/>
      </c>
    </row>
    <row r="182" customFormat="false" ht="15" hidden="false" customHeight="false" outlineLevel="0" collapsed="false">
      <c r="A182" s="6" t="s">
        <v>262</v>
      </c>
      <c r="B182" s="6" t="str">
        <f aca="false">INDEX(Data!$H$2:$H$3990,MATCH(A182,Data!$A$2:$A$3990,0))</f>
        <v>United Kingdom</v>
      </c>
      <c r="C182" s="19" t="n">
        <f aca="false">SUMIFS(Data!$I$2:$I$3990,Data!$A$2:$A$3990,A182,Data!$J$2:$J$3990,1)</f>
        <v>38.96</v>
      </c>
      <c r="D182" s="6" t="str">
        <f aca="false">IF(C182&gt;10000,"HIGH VALUE","")</f>
        <v/>
      </c>
    </row>
    <row r="183" customFormat="false" ht="15" hidden="false" customHeight="false" outlineLevel="0" collapsed="false">
      <c r="A183" s="6" t="s">
        <v>263</v>
      </c>
      <c r="B183" s="6" t="str">
        <f aca="false">INDEX(Data!$H$2:$H$3990,MATCH(A183,Data!$A$2:$A$3990,0))</f>
        <v>United Kingdom</v>
      </c>
      <c r="C183" s="19" t="n">
        <f aca="false">SUMIFS(Data!$I$2:$I$3990,Data!$A$2:$A$3990,A183,Data!$J$2:$J$3990,1)</f>
        <v>266.06</v>
      </c>
      <c r="D183" s="6" t="str">
        <f aca="false">IF(C183&gt;10000,"HIGH VALUE","")</f>
        <v/>
      </c>
    </row>
    <row r="184" customFormat="false" ht="15" hidden="false" customHeight="false" outlineLevel="0" collapsed="false">
      <c r="A184" s="6" t="s">
        <v>266</v>
      </c>
      <c r="B184" s="6" t="str">
        <f aca="false">INDEX(Data!$H$2:$H$3990,MATCH(A184,Data!$A$2:$A$3990,0))</f>
        <v>United Kingdom</v>
      </c>
      <c r="C184" s="19" t="n">
        <f aca="false">SUMIFS(Data!$I$2:$I$3990,Data!$A$2:$A$3990,A184,Data!$J$2:$J$3990,1)</f>
        <v>34.24</v>
      </c>
      <c r="D184" s="6" t="str">
        <f aca="false">IF(C184&gt;10000,"HIGH VALUE","")</f>
        <v/>
      </c>
    </row>
    <row r="185" customFormat="false" ht="15" hidden="false" customHeight="false" outlineLevel="0" collapsed="false">
      <c r="A185" s="6" t="s">
        <v>264</v>
      </c>
      <c r="B185" s="6" t="str">
        <f aca="false">INDEX(Data!$H$2:$H$3990,MATCH(A185,Data!$A$2:$A$3990,0))</f>
        <v>United Kingdom</v>
      </c>
      <c r="C185" s="19" t="n">
        <f aca="false">SUMIFS(Data!$I$2:$I$3990,Data!$A$2:$A$3990,A185,Data!$J$2:$J$3990,1)</f>
        <v>5.38</v>
      </c>
      <c r="D185" s="6" t="str">
        <f aca="false">IF(C185&gt;10000,"HIGH VALUE","")</f>
        <v/>
      </c>
    </row>
    <row r="186" customFormat="false" ht="15" hidden="false" customHeight="false" outlineLevel="0" collapsed="false">
      <c r="A186" s="6" t="s">
        <v>265</v>
      </c>
      <c r="B186" s="6" t="str">
        <f aca="false">INDEX(Data!$H$2:$H$3990,MATCH(A186,Data!$A$2:$A$3990,0))</f>
        <v>France</v>
      </c>
      <c r="C186" s="19" t="n">
        <f aca="false">SUMIFS(Data!$I$2:$I$3990,Data!$A$2:$A$3990,A186,Data!$J$2:$J$3990,1)</f>
        <v>6.63</v>
      </c>
      <c r="D186" s="6" t="str">
        <f aca="false">IF(C186&gt;10000,"HIGH VALUE","")</f>
        <v/>
      </c>
    </row>
    <row r="187" customFormat="false" ht="15" hidden="false" customHeight="false" outlineLevel="0" collapsed="false">
      <c r="A187" s="6" t="s">
        <v>267</v>
      </c>
      <c r="B187" s="6" t="str">
        <f aca="false">INDEX(Data!$H$2:$H$3990,MATCH(A187,Data!$A$2:$A$3990,0))</f>
        <v>United Kingdom</v>
      </c>
      <c r="C187" s="19" t="n">
        <f aca="false">SUMIFS(Data!$I$2:$I$3990,Data!$A$2:$A$3990,A187,Data!$J$2:$J$3990,1)</f>
        <v>105.26</v>
      </c>
      <c r="D187" s="6" t="str">
        <f aca="false">IF(C187&gt;10000,"HIGH VALUE","")</f>
        <v/>
      </c>
    </row>
    <row r="188" customFormat="false" ht="15" hidden="false" customHeight="false" outlineLevel="0" collapsed="false">
      <c r="A188" s="6" t="s">
        <v>268</v>
      </c>
      <c r="B188" s="6" t="str">
        <f aca="false">INDEX(Data!$H$2:$H$3990,MATCH(A188,Data!$A$2:$A$3990,0))</f>
        <v>United Kingdom</v>
      </c>
      <c r="C188" s="19" t="n">
        <f aca="false">SUMIFS(Data!$I$2:$I$3990,Data!$A$2:$A$3990,A188,Data!$J$2:$J$3990,1)</f>
        <v>39.52</v>
      </c>
      <c r="D188" s="6" t="str">
        <f aca="false">IF(C188&gt;10000,"HIGH VALUE","")</f>
        <v/>
      </c>
    </row>
    <row r="189" customFormat="false" ht="15" hidden="false" customHeight="false" outlineLevel="0" collapsed="false">
      <c r="A189" s="6" t="s">
        <v>269</v>
      </c>
      <c r="B189" s="6" t="str">
        <f aca="false">INDEX(Data!$H$2:$H$3990,MATCH(A189,Data!$A$2:$A$3990,0))</f>
        <v>United Kingdom</v>
      </c>
      <c r="C189" s="19" t="n">
        <f aca="false">SUMIFS(Data!$I$2:$I$3990,Data!$A$2:$A$3990,A189,Data!$J$2:$J$3990,1)</f>
        <v>9.93</v>
      </c>
      <c r="D189" s="6" t="str">
        <f aca="false">IF(C189&gt;10000,"HIGH VALUE","")</f>
        <v/>
      </c>
    </row>
    <row r="190" customFormat="false" ht="15" hidden="false" customHeight="false" outlineLevel="0" collapsed="false">
      <c r="A190" s="6" t="s">
        <v>270</v>
      </c>
      <c r="B190" s="6" t="str">
        <f aca="false">INDEX(Data!$H$2:$H$3990,MATCH(A190,Data!$A$2:$A$3990,0))</f>
        <v>United Kingdom</v>
      </c>
      <c r="C190" s="19" t="n">
        <f aca="false">SUMIFS(Data!$I$2:$I$3990,Data!$A$2:$A$3990,A190,Data!$J$2:$J$3990,1)</f>
        <v>52.27</v>
      </c>
      <c r="D190" s="6" t="str">
        <f aca="false">IF(C190&gt;10000,"HIGH VALUE","")</f>
        <v/>
      </c>
    </row>
    <row r="191" customFormat="false" ht="15" hidden="false" customHeight="false" outlineLevel="0" collapsed="false">
      <c r="A191" s="6" t="s">
        <v>271</v>
      </c>
      <c r="B191" s="6" t="str">
        <f aca="false">INDEX(Data!$H$2:$H$3990,MATCH(A191,Data!$A$2:$A$3990,0))</f>
        <v>United Kingdom</v>
      </c>
      <c r="C191" s="19" t="n">
        <f aca="false">SUMIFS(Data!$I$2:$I$3990,Data!$A$2:$A$3990,A191,Data!$J$2:$J$3990,1)</f>
        <v>90.26</v>
      </c>
      <c r="D191" s="6" t="str">
        <f aca="false">IF(C191&gt;10000,"HIGH VALUE","")</f>
        <v/>
      </c>
    </row>
    <row r="192" customFormat="false" ht="15" hidden="false" customHeight="false" outlineLevel="0" collapsed="false">
      <c r="A192" s="6" t="s">
        <v>274</v>
      </c>
      <c r="B192" s="6" t="str">
        <f aca="false">INDEX(Data!$H$2:$H$3990,MATCH(A192,Data!$A$2:$A$3990,0))</f>
        <v>United Kingdom</v>
      </c>
      <c r="C192" s="19" t="n">
        <f aca="false">SUMIFS(Data!$I$2:$I$3990,Data!$A$2:$A$3990,A192,Data!$J$2:$J$3990,1)</f>
        <v>37.39</v>
      </c>
      <c r="D192" s="6" t="str">
        <f aca="false">IF(C192&gt;10000,"HIGH VALUE","")</f>
        <v/>
      </c>
    </row>
    <row r="193" customFormat="false" ht="15" hidden="false" customHeight="false" outlineLevel="0" collapsed="false">
      <c r="A193" s="6" t="s">
        <v>272</v>
      </c>
      <c r="B193" s="6" t="str">
        <f aca="false">INDEX(Data!$H$2:$H$3990,MATCH(A193,Data!$A$2:$A$3990,0))</f>
        <v>United Kingdom</v>
      </c>
      <c r="C193" s="19" t="n">
        <f aca="false">SUMIFS(Data!$I$2:$I$3990,Data!$A$2:$A$3990,A193,Data!$J$2:$J$3990,1)</f>
        <v>5291.7</v>
      </c>
      <c r="D193" s="6" t="str">
        <f aca="false">IF(C193&gt;10000,"HIGH VALUE","")</f>
        <v/>
      </c>
    </row>
    <row r="194" customFormat="false" ht="15" hidden="false" customHeight="false" outlineLevel="0" collapsed="false">
      <c r="A194" s="6" t="s">
        <v>273</v>
      </c>
      <c r="B194" s="6" t="str">
        <f aca="false">INDEX(Data!$H$2:$H$3990,MATCH(A194,Data!$A$2:$A$3990,0))</f>
        <v>United Kingdom</v>
      </c>
      <c r="C194" s="19" t="n">
        <f aca="false">SUMIFS(Data!$I$2:$I$3990,Data!$A$2:$A$3990,A194,Data!$J$2:$J$3990,1)</f>
        <v>9.52</v>
      </c>
      <c r="D194" s="6" t="str">
        <f aca="false">IF(C194&gt;10000,"HIGH VALUE","")</f>
        <v/>
      </c>
    </row>
    <row r="195" customFormat="false" ht="15" hidden="false" customHeight="false" outlineLevel="0" collapsed="false">
      <c r="A195" s="6" t="s">
        <v>276</v>
      </c>
      <c r="B195" s="6" t="str">
        <f aca="false">INDEX(Data!$H$2:$H$3990,MATCH(A195,Data!$A$2:$A$3990,0))</f>
        <v>United Kingdom</v>
      </c>
      <c r="C195" s="19" t="n">
        <f aca="false">SUMIFS(Data!$I$2:$I$3990,Data!$A$2:$A$3990,A195,Data!$J$2:$J$3990,1)</f>
        <v>29.91</v>
      </c>
      <c r="D195" s="6" t="str">
        <f aca="false">IF(C195&gt;10000,"HIGH VALUE","")</f>
        <v/>
      </c>
    </row>
    <row r="196" customFormat="false" ht="15" hidden="false" customHeight="false" outlineLevel="0" collapsed="false">
      <c r="A196" s="6" t="s">
        <v>275</v>
      </c>
      <c r="B196" s="6" t="str">
        <f aca="false">INDEX(Data!$H$2:$H$3990,MATCH(A196,Data!$A$2:$A$3990,0))</f>
        <v>United Kingdom</v>
      </c>
      <c r="C196" s="19" t="n">
        <f aca="false">SUMIFS(Data!$I$2:$I$3990,Data!$A$2:$A$3990,A196,Data!$J$2:$J$3990,1)</f>
        <v>6.37</v>
      </c>
      <c r="D196" s="6" t="str">
        <f aca="false">IF(C196&gt;10000,"HIGH VALUE","")</f>
        <v/>
      </c>
    </row>
    <row r="197" customFormat="false" ht="15" hidden="false" customHeight="false" outlineLevel="0" collapsed="false">
      <c r="A197" s="6" t="s">
        <v>277</v>
      </c>
      <c r="B197" s="6" t="str">
        <f aca="false">INDEX(Data!$H$2:$H$3990,MATCH(A197,Data!$A$2:$A$3990,0))</f>
        <v>United Kingdom</v>
      </c>
      <c r="C197" s="19" t="n">
        <f aca="false">SUMIFS(Data!$I$2:$I$3990,Data!$A$2:$A$3990,A197,Data!$J$2:$J$3990,1)</f>
        <v>20.54</v>
      </c>
      <c r="D197" s="6" t="str">
        <f aca="false">IF(C197&gt;10000,"HIGH VALUE","")</f>
        <v/>
      </c>
    </row>
    <row r="198" customFormat="false" ht="15" hidden="false" customHeight="false" outlineLevel="0" collapsed="false">
      <c r="A198" s="6" t="s">
        <v>278</v>
      </c>
      <c r="B198" s="6" t="str">
        <f aca="false">INDEX(Data!$H$2:$H$3990,MATCH(A198,Data!$A$2:$A$3990,0))</f>
        <v>United Kingdom</v>
      </c>
      <c r="C198" s="19" t="n">
        <f aca="false">SUMIFS(Data!$I$2:$I$3990,Data!$A$2:$A$3990,A198,Data!$J$2:$J$3990,1)</f>
        <v>140.36</v>
      </c>
      <c r="D198" s="6" t="str">
        <f aca="false">IF(C198&gt;10000,"HIGH VALUE","")</f>
        <v/>
      </c>
    </row>
    <row r="199" customFormat="false" ht="15" hidden="false" customHeight="false" outlineLevel="0" collapsed="false">
      <c r="A199" s="6" t="s">
        <v>279</v>
      </c>
      <c r="B199" s="6" t="str">
        <f aca="false">INDEX(Data!$H$2:$H$3990,MATCH(A199,Data!$A$2:$A$3990,0))</f>
        <v>United Kingdom</v>
      </c>
      <c r="C199" s="19" t="n">
        <f aca="false">SUMIFS(Data!$I$2:$I$3990,Data!$A$2:$A$3990,A199,Data!$J$2:$J$3990,1)</f>
        <v>495.72</v>
      </c>
      <c r="D199" s="6" t="str">
        <f aca="false">IF(C199&gt;10000,"HIGH VALUE","")</f>
        <v/>
      </c>
    </row>
    <row r="200" customFormat="false" ht="15" hidden="false" customHeight="false" outlineLevel="0" collapsed="false">
      <c r="A200" s="6" t="s">
        <v>280</v>
      </c>
      <c r="B200" s="6" t="str">
        <f aca="false">INDEX(Data!$H$2:$H$3990,MATCH(A200,Data!$A$2:$A$3990,0))</f>
        <v>United Kingdom</v>
      </c>
      <c r="C200" s="19" t="n">
        <f aca="false">SUMIFS(Data!$I$2:$I$3990,Data!$A$2:$A$3990,A200,Data!$J$2:$J$3990,1)</f>
        <v>2.38</v>
      </c>
      <c r="D200" s="6" t="str">
        <f aca="false">IF(C200&gt;10000,"HIGH VALUE","")</f>
        <v/>
      </c>
    </row>
    <row r="201" customFormat="false" ht="15" hidden="false" customHeight="false" outlineLevel="0" collapsed="false">
      <c r="A201" s="6" t="s">
        <v>281</v>
      </c>
      <c r="B201" s="6" t="str">
        <f aca="false">INDEX(Data!$H$2:$H$3990,MATCH(A201,Data!$A$2:$A$3990,0))</f>
        <v>Germany</v>
      </c>
      <c r="C201" s="19" t="n">
        <f aca="false">SUMIFS(Data!$I$2:$I$3990,Data!$A$2:$A$3990,A201,Data!$J$2:$J$3990,1)</f>
        <v>6301.44</v>
      </c>
      <c r="D201" s="6" t="str">
        <f aca="false">IF(C201&gt;10000,"HIGH VALUE","")</f>
        <v/>
      </c>
    </row>
    <row r="202" customFormat="false" ht="15" hidden="false" customHeight="false" outlineLevel="0" collapsed="false">
      <c r="A202" s="6" t="s">
        <v>282</v>
      </c>
      <c r="B202" s="6" t="str">
        <f aca="false">INDEX(Data!$H$2:$H$3990,MATCH(A202,Data!$A$2:$A$3990,0))</f>
        <v>United Kingdom</v>
      </c>
      <c r="C202" s="19" t="n">
        <f aca="false">SUMIFS(Data!$I$2:$I$3990,Data!$A$2:$A$3990,A202,Data!$J$2:$J$3990,1)</f>
        <v>76</v>
      </c>
      <c r="D202" s="6" t="str">
        <f aca="false">IF(C202&gt;10000,"HIGH VALUE","")</f>
        <v/>
      </c>
    </row>
    <row r="203" customFormat="false" ht="15" hidden="false" customHeight="false" outlineLevel="0" collapsed="false">
      <c r="A203" s="6" t="s">
        <v>283</v>
      </c>
      <c r="B203" s="6" t="str">
        <f aca="false">INDEX(Data!$H$2:$H$3990,MATCH(A203,Data!$A$2:$A$3990,0))</f>
        <v>United Kingdom</v>
      </c>
      <c r="C203" s="19" t="n">
        <f aca="false">SUMIFS(Data!$I$2:$I$3990,Data!$A$2:$A$3990,A203,Data!$J$2:$J$3990,1)</f>
        <v>113.08</v>
      </c>
      <c r="D203" s="6" t="str">
        <f aca="false">IF(C203&gt;10000,"HIGH VALUE","")</f>
        <v/>
      </c>
    </row>
    <row r="204" customFormat="false" ht="15" hidden="false" customHeight="false" outlineLevel="0" collapsed="false">
      <c r="A204" s="6" t="s">
        <v>285</v>
      </c>
      <c r="B204" s="6" t="str">
        <f aca="false">INDEX(Data!$H$2:$H$3990,MATCH(A204,Data!$A$2:$A$3990,0))</f>
        <v>United Kingdom</v>
      </c>
      <c r="C204" s="19" t="n">
        <f aca="false">SUMIFS(Data!$I$2:$I$3990,Data!$A$2:$A$3990,A204,Data!$J$2:$J$3990,1)</f>
        <v>9911.43</v>
      </c>
      <c r="D204" s="6" t="str">
        <f aca="false">IF(C204&gt;10000,"HIGH VALUE","")</f>
        <v/>
      </c>
    </row>
    <row r="205" customFormat="false" ht="15" hidden="false" customHeight="false" outlineLevel="0" collapsed="false">
      <c r="A205" s="6" t="s">
        <v>284</v>
      </c>
      <c r="B205" s="6" t="str">
        <f aca="false">INDEX(Data!$H$2:$H$3990,MATCH(A205,Data!$A$2:$A$3990,0))</f>
        <v>United Kingdom</v>
      </c>
      <c r="C205" s="19" t="n">
        <f aca="false">SUMIFS(Data!$I$2:$I$3990,Data!$A$2:$A$3990,A205,Data!$J$2:$J$3990,1)</f>
        <v>31.62</v>
      </c>
      <c r="D205" s="6" t="str">
        <f aca="false">IF(C205&gt;10000,"HIGH VALUE","")</f>
        <v/>
      </c>
    </row>
    <row r="206" customFormat="false" ht="15" hidden="false" customHeight="false" outlineLevel="0" collapsed="false">
      <c r="A206" s="6" t="s">
        <v>286</v>
      </c>
      <c r="B206" s="6" t="str">
        <f aca="false">INDEX(Data!$H$2:$H$3990,MATCH(A206,Data!$A$2:$A$3990,0))</f>
        <v>France</v>
      </c>
      <c r="C206" s="19" t="n">
        <f aca="false">SUMIFS(Data!$I$2:$I$3990,Data!$A$2:$A$3990,A206,Data!$J$2:$J$3990,1)</f>
        <v>24.21</v>
      </c>
      <c r="D206" s="6" t="str">
        <f aca="false">IF(C206&gt;10000,"HIGH VALUE","")</f>
        <v/>
      </c>
    </row>
    <row r="207" customFormat="false" ht="15" hidden="false" customHeight="false" outlineLevel="0" collapsed="false">
      <c r="A207" s="6" t="s">
        <v>287</v>
      </c>
      <c r="B207" s="6" t="str">
        <f aca="false">INDEX(Data!$H$2:$H$3990,MATCH(A207,Data!$A$2:$A$3990,0))</f>
        <v>United Kingdom</v>
      </c>
      <c r="C207" s="19" t="n">
        <f aca="false">SUMIFS(Data!$I$2:$I$3990,Data!$A$2:$A$3990,A207,Data!$J$2:$J$3990,1)</f>
        <v>18.62</v>
      </c>
      <c r="D207" s="6" t="str">
        <f aca="false">IF(C207&gt;10000,"HIGH VALUE","")</f>
        <v/>
      </c>
    </row>
    <row r="208" customFormat="false" ht="15" hidden="false" customHeight="false" outlineLevel="0" collapsed="false">
      <c r="A208" s="6" t="s">
        <v>288</v>
      </c>
      <c r="B208" s="6" t="str">
        <f aca="false">INDEX(Data!$H$2:$H$3990,MATCH(A208,Data!$A$2:$A$3990,0))</f>
        <v>EIRE</v>
      </c>
      <c r="C208" s="19" t="n">
        <f aca="false">SUMIFS(Data!$I$2:$I$3990,Data!$A$2:$A$3990,A208,Data!$J$2:$J$3990,1)</f>
        <v>82.6</v>
      </c>
      <c r="D208" s="6" t="str">
        <f aca="false">IF(C208&gt;10000,"HIGH VALUE","")</f>
        <v/>
      </c>
    </row>
    <row r="209" customFormat="false" ht="15" hidden="false" customHeight="false" outlineLevel="0" collapsed="false">
      <c r="A209" s="6" t="s">
        <v>291</v>
      </c>
      <c r="B209" s="6" t="str">
        <f aca="false">INDEX(Data!$H$2:$H$3990,MATCH(A209,Data!$A$2:$A$3990,0))</f>
        <v>United Kingdom</v>
      </c>
      <c r="C209" s="19" t="n">
        <f aca="false">SUMIFS(Data!$I$2:$I$3990,Data!$A$2:$A$3990,A209,Data!$J$2:$J$3990,1)</f>
        <v>122.03</v>
      </c>
      <c r="D209" s="6" t="str">
        <f aca="false">IF(C209&gt;10000,"HIGH VALUE","")</f>
        <v/>
      </c>
    </row>
    <row r="210" customFormat="false" ht="15" hidden="false" customHeight="false" outlineLevel="0" collapsed="false">
      <c r="A210" s="6" t="s">
        <v>289</v>
      </c>
      <c r="B210" s="6" t="str">
        <f aca="false">INDEX(Data!$H$2:$H$3990,MATCH(A210,Data!$A$2:$A$3990,0))</f>
        <v>United Kingdom</v>
      </c>
      <c r="C210" s="19" t="n">
        <f aca="false">SUMIFS(Data!$I$2:$I$3990,Data!$A$2:$A$3990,A210,Data!$J$2:$J$3990,1)</f>
        <v>19.86</v>
      </c>
      <c r="D210" s="6" t="str">
        <f aca="false">IF(C210&gt;10000,"HIGH VALUE","")</f>
        <v/>
      </c>
    </row>
    <row r="211" customFormat="false" ht="15" hidden="false" customHeight="false" outlineLevel="0" collapsed="false">
      <c r="A211" s="6" t="s">
        <v>290</v>
      </c>
      <c r="B211" s="6" t="str">
        <f aca="false">INDEX(Data!$H$2:$H$3990,MATCH(A211,Data!$A$2:$A$3990,0))</f>
        <v>United Kingdom</v>
      </c>
      <c r="C211" s="19" t="n">
        <f aca="false">SUMIFS(Data!$I$2:$I$3990,Data!$A$2:$A$3990,A211,Data!$J$2:$J$3990,1)</f>
        <v>20.57</v>
      </c>
      <c r="D211" s="6" t="str">
        <f aca="false">IF(C211&gt;10000,"HIGH VALUE","")</f>
        <v/>
      </c>
    </row>
    <row r="212" customFormat="false" ht="15" hidden="false" customHeight="false" outlineLevel="0" collapsed="false">
      <c r="A212" s="6" t="s">
        <v>292</v>
      </c>
      <c r="B212" s="6" t="str">
        <f aca="false">INDEX(Data!$H$2:$H$3990,MATCH(A212,Data!$A$2:$A$3990,0))</f>
        <v>United Kingdom</v>
      </c>
      <c r="C212" s="19" t="n">
        <f aca="false">SUMIFS(Data!$I$2:$I$3990,Data!$A$2:$A$3990,A212,Data!$J$2:$J$3990,1)</f>
        <v>95.75</v>
      </c>
      <c r="D212" s="6" t="str">
        <f aca="false">IF(C212&gt;10000,"HIGH VALUE","")</f>
        <v/>
      </c>
    </row>
    <row r="213" customFormat="false" ht="15" hidden="false" customHeight="false" outlineLevel="0" collapsed="false">
      <c r="A213" s="6" t="s">
        <v>294</v>
      </c>
      <c r="B213" s="6" t="str">
        <f aca="false">INDEX(Data!$H$2:$H$3990,MATCH(A213,Data!$A$2:$A$3990,0))</f>
        <v>United Kingdom</v>
      </c>
      <c r="C213" s="19" t="n">
        <f aca="false">SUMIFS(Data!$I$2:$I$3990,Data!$A$2:$A$3990,A213,Data!$J$2:$J$3990,1)</f>
        <v>17.16</v>
      </c>
      <c r="D213" s="6" t="str">
        <f aca="false">IF(C213&gt;10000,"HIGH VALUE","")</f>
        <v/>
      </c>
    </row>
    <row r="214" customFormat="false" ht="15" hidden="false" customHeight="false" outlineLevel="0" collapsed="false">
      <c r="A214" s="6" t="s">
        <v>293</v>
      </c>
      <c r="B214" s="6" t="str">
        <f aca="false">INDEX(Data!$H$2:$H$3990,MATCH(A214,Data!$A$2:$A$3990,0))</f>
        <v>United Kingdom</v>
      </c>
      <c r="C214" s="19" t="n">
        <f aca="false">SUMIFS(Data!$I$2:$I$3990,Data!$A$2:$A$3990,A214,Data!$J$2:$J$3990,1)</f>
        <v>68.7</v>
      </c>
      <c r="D214" s="6" t="str">
        <f aca="false">IF(C214&gt;10000,"HIGH VALUE","")</f>
        <v/>
      </c>
    </row>
    <row r="215" customFormat="false" ht="15" hidden="false" customHeight="false" outlineLevel="0" collapsed="false">
      <c r="A215" s="6" t="s">
        <v>295</v>
      </c>
      <c r="B215" s="6" t="str">
        <f aca="false">INDEX(Data!$H$2:$H$3990,MATCH(A215,Data!$A$2:$A$3990,0))</f>
        <v>France</v>
      </c>
      <c r="C215" s="19" t="n">
        <f aca="false">SUMIFS(Data!$I$2:$I$3990,Data!$A$2:$A$3990,A215,Data!$J$2:$J$3990,1)</f>
        <v>300.07</v>
      </c>
      <c r="D215" s="6" t="str">
        <f aca="false">IF(C215&gt;10000,"HIGH VALUE","")</f>
        <v/>
      </c>
    </row>
    <row r="216" customFormat="false" ht="15" hidden="false" customHeight="false" outlineLevel="0" collapsed="false">
      <c r="A216" s="6" t="s">
        <v>296</v>
      </c>
      <c r="B216" s="6" t="str">
        <f aca="false">INDEX(Data!$H$2:$H$3990,MATCH(A216,Data!$A$2:$A$3990,0))</f>
        <v>United Kingdom</v>
      </c>
      <c r="C216" s="19" t="n">
        <f aca="false">SUMIFS(Data!$I$2:$I$3990,Data!$A$2:$A$3990,A216,Data!$J$2:$J$3990,1)</f>
        <v>184.18</v>
      </c>
      <c r="D216" s="6" t="str">
        <f aca="false">IF(C216&gt;10000,"HIGH VALUE","")</f>
        <v/>
      </c>
    </row>
    <row r="217" customFormat="false" ht="15" hidden="false" customHeight="false" outlineLevel="0" collapsed="false">
      <c r="A217" s="6" t="s">
        <v>298</v>
      </c>
      <c r="B217" s="6" t="str">
        <f aca="false">INDEX(Data!$H$2:$H$3990,MATCH(A217,Data!$A$2:$A$3990,0))</f>
        <v>United Kingdom</v>
      </c>
      <c r="C217" s="19" t="n">
        <f aca="false">SUMIFS(Data!$I$2:$I$3990,Data!$A$2:$A$3990,A217,Data!$J$2:$J$3990,1)</f>
        <v>6.08</v>
      </c>
      <c r="D217" s="6" t="str">
        <f aca="false">IF(C217&gt;10000,"HIGH VALUE","")</f>
        <v/>
      </c>
    </row>
    <row r="218" customFormat="false" ht="15" hidden="false" customHeight="false" outlineLevel="0" collapsed="false">
      <c r="A218" s="6" t="s">
        <v>300</v>
      </c>
      <c r="B218" s="6" t="str">
        <f aca="false">INDEX(Data!$H$2:$H$3990,MATCH(A218,Data!$A$2:$A$3990,0))</f>
        <v>United Kingdom</v>
      </c>
      <c r="C218" s="19" t="n">
        <f aca="false">SUMIFS(Data!$I$2:$I$3990,Data!$A$2:$A$3990,A218,Data!$J$2:$J$3990,1)</f>
        <v>176.88</v>
      </c>
      <c r="D218" s="6" t="str">
        <f aca="false">IF(C218&gt;10000,"HIGH VALUE","")</f>
        <v/>
      </c>
    </row>
    <row r="219" customFormat="false" ht="15" hidden="false" customHeight="false" outlineLevel="0" collapsed="false">
      <c r="A219" s="6" t="s">
        <v>297</v>
      </c>
      <c r="B219" s="6" t="str">
        <f aca="false">INDEX(Data!$H$2:$H$3990,MATCH(A219,Data!$A$2:$A$3990,0))</f>
        <v>United Kingdom</v>
      </c>
      <c r="C219" s="19" t="n">
        <f aca="false">SUMIFS(Data!$I$2:$I$3990,Data!$A$2:$A$3990,A219,Data!$J$2:$J$3990,1)</f>
        <v>50.04</v>
      </c>
      <c r="D219" s="6" t="str">
        <f aca="false">IF(C219&gt;10000,"HIGH VALUE","")</f>
        <v/>
      </c>
    </row>
    <row r="220" customFormat="false" ht="15" hidden="false" customHeight="false" outlineLevel="0" collapsed="false">
      <c r="A220" s="6" t="s">
        <v>299</v>
      </c>
      <c r="B220" s="6" t="str">
        <f aca="false">INDEX(Data!$H$2:$H$3990,MATCH(A220,Data!$A$2:$A$3990,0))</f>
        <v>United Kingdom</v>
      </c>
      <c r="C220" s="19" t="n">
        <f aca="false">SUMIFS(Data!$I$2:$I$3990,Data!$A$2:$A$3990,A220,Data!$J$2:$J$3990,1)</f>
        <v>108.63</v>
      </c>
      <c r="D220" s="6" t="str">
        <f aca="false">IF(C220&gt;10000,"HIGH VALUE","")</f>
        <v/>
      </c>
    </row>
    <row r="221" customFormat="false" ht="15" hidden="false" customHeight="false" outlineLevel="0" collapsed="false">
      <c r="A221" s="6" t="s">
        <v>301</v>
      </c>
      <c r="B221" s="6" t="str">
        <f aca="false">INDEX(Data!$H$2:$H$3990,MATCH(A221,Data!$A$2:$A$3990,0))</f>
        <v>United Kingdom</v>
      </c>
      <c r="C221" s="19" t="n">
        <f aca="false">SUMIFS(Data!$I$2:$I$3990,Data!$A$2:$A$3990,A221,Data!$J$2:$J$3990,1)</f>
        <v>108.38</v>
      </c>
      <c r="D221" s="6" t="str">
        <f aca="false">IF(C221&gt;10000,"HIGH VALUE","")</f>
        <v/>
      </c>
    </row>
    <row r="222" customFormat="false" ht="15" hidden="false" customHeight="false" outlineLevel="0" collapsed="false">
      <c r="A222" s="6" t="s">
        <v>304</v>
      </c>
      <c r="B222" s="6" t="str">
        <f aca="false">INDEX(Data!$H$2:$H$3990,MATCH(A222,Data!$A$2:$A$3990,0))</f>
        <v>United Kingdom</v>
      </c>
      <c r="C222" s="19" t="n">
        <f aca="false">SUMIFS(Data!$I$2:$I$3990,Data!$A$2:$A$3990,A222,Data!$J$2:$J$3990,1)</f>
        <v>195.25</v>
      </c>
      <c r="D222" s="6" t="str">
        <f aca="false">IF(C222&gt;10000,"HIGH VALUE","")</f>
        <v/>
      </c>
    </row>
    <row r="223" customFormat="false" ht="15" hidden="false" customHeight="false" outlineLevel="0" collapsed="false">
      <c r="A223" s="6" t="s">
        <v>303</v>
      </c>
      <c r="B223" s="6" t="str">
        <f aca="false">INDEX(Data!$H$2:$H$3990,MATCH(A223,Data!$A$2:$A$3990,0))</f>
        <v>France</v>
      </c>
      <c r="C223" s="19" t="n">
        <f aca="false">SUMIFS(Data!$I$2:$I$3990,Data!$A$2:$A$3990,A223,Data!$J$2:$J$3990,1)</f>
        <v>45.36</v>
      </c>
      <c r="D223" s="6" t="str">
        <f aca="false">IF(C223&gt;10000,"HIGH VALUE","")</f>
        <v/>
      </c>
    </row>
    <row r="224" customFormat="false" ht="15" hidden="false" customHeight="false" outlineLevel="0" collapsed="false">
      <c r="A224" s="6" t="s">
        <v>302</v>
      </c>
      <c r="B224" s="6" t="str">
        <f aca="false">INDEX(Data!$H$2:$H$3990,MATCH(A224,Data!$A$2:$A$3990,0))</f>
        <v>EIRE</v>
      </c>
      <c r="C224" s="19" t="n">
        <f aca="false">SUMIFS(Data!$I$2:$I$3990,Data!$A$2:$A$3990,A224,Data!$J$2:$J$3990,1)</f>
        <v>101.76</v>
      </c>
      <c r="D224" s="6" t="str">
        <f aca="false">IF(C224&gt;10000,"HIGH VALUE","")</f>
        <v/>
      </c>
    </row>
    <row r="225" customFormat="false" ht="15" hidden="false" customHeight="false" outlineLevel="0" collapsed="false">
      <c r="A225" s="6" t="s">
        <v>307</v>
      </c>
      <c r="B225" s="6" t="str">
        <f aca="false">INDEX(Data!$H$2:$H$3990,MATCH(A225,Data!$A$2:$A$3990,0))</f>
        <v>United Kingdom</v>
      </c>
      <c r="C225" s="19" t="n">
        <f aca="false">SUMIFS(Data!$I$2:$I$3990,Data!$A$2:$A$3990,A225,Data!$J$2:$J$3990,1)</f>
        <v>41.15</v>
      </c>
      <c r="D225" s="6" t="str">
        <f aca="false">IF(C225&gt;10000,"HIGH VALUE","")</f>
        <v/>
      </c>
    </row>
    <row r="226" customFormat="false" ht="15" hidden="false" customHeight="false" outlineLevel="0" collapsed="false">
      <c r="A226" s="6" t="s">
        <v>305</v>
      </c>
      <c r="B226" s="6" t="str">
        <f aca="false">INDEX(Data!$H$2:$H$3990,MATCH(A226,Data!$A$2:$A$3990,0))</f>
        <v>United Kingdom</v>
      </c>
      <c r="C226" s="19" t="n">
        <f aca="false">SUMIFS(Data!$I$2:$I$3990,Data!$A$2:$A$3990,A226,Data!$J$2:$J$3990,1)</f>
        <v>118.69</v>
      </c>
      <c r="D226" s="6" t="str">
        <f aca="false">IF(C226&gt;10000,"HIGH VALUE","")</f>
        <v/>
      </c>
    </row>
    <row r="227" customFormat="false" ht="15" hidden="false" customHeight="false" outlineLevel="0" collapsed="false">
      <c r="A227" s="6" t="s">
        <v>306</v>
      </c>
      <c r="B227" s="6" t="str">
        <f aca="false">INDEX(Data!$H$2:$H$3990,MATCH(A227,Data!$A$2:$A$3990,0))</f>
        <v>United Kingdom</v>
      </c>
      <c r="C227" s="19" t="n">
        <f aca="false">SUMIFS(Data!$I$2:$I$3990,Data!$A$2:$A$3990,A227,Data!$J$2:$J$3990,1)</f>
        <v>13.32</v>
      </c>
      <c r="D227" s="6" t="str">
        <f aca="false">IF(C227&gt;10000,"HIGH VALUE","")</f>
        <v/>
      </c>
    </row>
    <row r="228" customFormat="false" ht="15" hidden="false" customHeight="false" outlineLevel="0" collapsed="false">
      <c r="A228" s="6" t="s">
        <v>309</v>
      </c>
      <c r="B228" s="6" t="str">
        <f aca="false">INDEX(Data!$H$2:$H$3990,MATCH(A228,Data!$A$2:$A$3990,0))</f>
        <v>France</v>
      </c>
      <c r="C228" s="19" t="n">
        <f aca="false">SUMIFS(Data!$I$2:$I$3990,Data!$A$2:$A$3990,A228,Data!$J$2:$J$3990,1)</f>
        <v>18.2</v>
      </c>
      <c r="D228" s="6" t="str">
        <f aca="false">IF(C228&gt;10000,"HIGH VALUE","")</f>
        <v/>
      </c>
    </row>
    <row r="229" customFormat="false" ht="15" hidden="false" customHeight="false" outlineLevel="0" collapsed="false">
      <c r="A229" s="6" t="s">
        <v>308</v>
      </c>
      <c r="B229" s="6" t="str">
        <f aca="false">INDEX(Data!$H$2:$H$3990,MATCH(A229,Data!$A$2:$A$3990,0))</f>
        <v>United Kingdom</v>
      </c>
      <c r="C229" s="19" t="n">
        <f aca="false">SUMIFS(Data!$I$2:$I$3990,Data!$A$2:$A$3990,A229,Data!$J$2:$J$3990,1)</f>
        <v>94.47</v>
      </c>
      <c r="D229" s="6" t="str">
        <f aca="false">IF(C229&gt;10000,"HIGH VALUE","")</f>
        <v/>
      </c>
    </row>
    <row r="230" customFormat="false" ht="15" hidden="false" customHeight="false" outlineLevel="0" collapsed="false">
      <c r="A230" s="6" t="s">
        <v>310</v>
      </c>
      <c r="B230" s="6" t="str">
        <f aca="false">INDEX(Data!$H$2:$H$3990,MATCH(A230,Data!$A$2:$A$3990,0))</f>
        <v>United Kingdom</v>
      </c>
      <c r="C230" s="19" t="n">
        <f aca="false">SUMIFS(Data!$I$2:$I$3990,Data!$A$2:$A$3990,A230,Data!$J$2:$J$3990,1)</f>
        <v>26.07</v>
      </c>
      <c r="D230" s="6" t="str">
        <f aca="false">IF(C230&gt;10000,"HIGH VALUE","")</f>
        <v/>
      </c>
    </row>
    <row r="231" customFormat="false" ht="15" hidden="false" customHeight="false" outlineLevel="0" collapsed="false">
      <c r="A231" s="6" t="s">
        <v>312</v>
      </c>
      <c r="B231" s="6" t="str">
        <f aca="false">INDEX(Data!$H$2:$H$3990,MATCH(A231,Data!$A$2:$A$3990,0))</f>
        <v>Germany</v>
      </c>
      <c r="C231" s="19" t="n">
        <f aca="false">SUMIFS(Data!$I$2:$I$3990,Data!$A$2:$A$3990,A231,Data!$J$2:$J$3990,1)</f>
        <v>236.56</v>
      </c>
      <c r="D231" s="6" t="str">
        <f aca="false">IF(C231&gt;10000,"HIGH VALUE","")</f>
        <v/>
      </c>
    </row>
    <row r="232" customFormat="false" ht="15" hidden="false" customHeight="false" outlineLevel="0" collapsed="false">
      <c r="A232" s="6" t="s">
        <v>311</v>
      </c>
      <c r="B232" s="6" t="str">
        <f aca="false">INDEX(Data!$H$2:$H$3990,MATCH(A232,Data!$A$2:$A$3990,0))</f>
        <v>United Kingdom</v>
      </c>
      <c r="C232" s="19" t="n">
        <f aca="false">SUMIFS(Data!$I$2:$I$3990,Data!$A$2:$A$3990,A232,Data!$J$2:$J$3990,1)</f>
        <v>2.16</v>
      </c>
      <c r="D232" s="6" t="str">
        <f aca="false">IF(C232&gt;10000,"HIGH VALUE","")</f>
        <v/>
      </c>
    </row>
    <row r="233" customFormat="false" ht="15" hidden="false" customHeight="false" outlineLevel="0" collapsed="false">
      <c r="A233" s="6" t="s">
        <v>315</v>
      </c>
      <c r="B233" s="6" t="str">
        <f aca="false">INDEX(Data!$H$2:$H$3990,MATCH(A233,Data!$A$2:$A$3990,0))</f>
        <v>United Kingdom</v>
      </c>
      <c r="C233" s="19" t="n">
        <f aca="false">SUMIFS(Data!$I$2:$I$3990,Data!$A$2:$A$3990,A233,Data!$J$2:$J$3990,1)</f>
        <v>100.83</v>
      </c>
      <c r="D233" s="6" t="str">
        <f aca="false">IF(C233&gt;10000,"HIGH VALUE","")</f>
        <v/>
      </c>
    </row>
    <row r="234" customFormat="false" ht="15" hidden="false" customHeight="false" outlineLevel="0" collapsed="false">
      <c r="A234" s="6" t="s">
        <v>313</v>
      </c>
      <c r="B234" s="6" t="str">
        <f aca="false">INDEX(Data!$H$2:$H$3990,MATCH(A234,Data!$A$2:$A$3990,0))</f>
        <v>United Kingdom</v>
      </c>
      <c r="C234" s="19" t="n">
        <f aca="false">SUMIFS(Data!$I$2:$I$3990,Data!$A$2:$A$3990,A234,Data!$J$2:$J$3990,1)</f>
        <v>649.32</v>
      </c>
      <c r="D234" s="6" t="str">
        <f aca="false">IF(C234&gt;10000,"HIGH VALUE","")</f>
        <v/>
      </c>
    </row>
    <row r="235" customFormat="false" ht="15" hidden="false" customHeight="false" outlineLevel="0" collapsed="false">
      <c r="A235" s="6" t="s">
        <v>316</v>
      </c>
      <c r="B235" s="6" t="str">
        <f aca="false">INDEX(Data!$H$2:$H$3990,MATCH(A235,Data!$A$2:$A$3990,0))</f>
        <v>United Kingdom</v>
      </c>
      <c r="C235" s="19" t="n">
        <f aca="false">SUMIFS(Data!$I$2:$I$3990,Data!$A$2:$A$3990,A235,Data!$J$2:$J$3990,1)</f>
        <v>23.97</v>
      </c>
      <c r="D235" s="6" t="str">
        <f aca="false">IF(C235&gt;10000,"HIGH VALUE","")</f>
        <v/>
      </c>
    </row>
    <row r="236" customFormat="false" ht="15" hidden="false" customHeight="false" outlineLevel="0" collapsed="false">
      <c r="A236" s="6" t="s">
        <v>314</v>
      </c>
      <c r="B236" s="6" t="str">
        <f aca="false">INDEX(Data!$H$2:$H$3990,MATCH(A236,Data!$A$2:$A$3990,0))</f>
        <v>United Kingdom</v>
      </c>
      <c r="C236" s="19" t="n">
        <f aca="false">SUMIFS(Data!$I$2:$I$3990,Data!$A$2:$A$3990,A236,Data!$J$2:$J$3990,1)</f>
        <v>103.18</v>
      </c>
      <c r="D236" s="6" t="str">
        <f aca="false">IF(C236&gt;10000,"HIGH VALUE","")</f>
        <v/>
      </c>
    </row>
    <row r="237" customFormat="false" ht="15" hidden="false" customHeight="false" outlineLevel="0" collapsed="false">
      <c r="A237" s="6" t="s">
        <v>317</v>
      </c>
      <c r="B237" s="6" t="str">
        <f aca="false">INDEX(Data!$H$2:$H$3990,MATCH(A237,Data!$A$2:$A$3990,0))</f>
        <v>United Kingdom</v>
      </c>
      <c r="C237" s="19" t="n">
        <f aca="false">SUMIFS(Data!$I$2:$I$3990,Data!$A$2:$A$3990,A237,Data!$J$2:$J$3990,1)</f>
        <v>81.39</v>
      </c>
      <c r="D237" s="6" t="str">
        <f aca="false">IF(C237&gt;10000,"HIGH VALUE","")</f>
        <v/>
      </c>
    </row>
    <row r="238" customFormat="false" ht="15" hidden="false" customHeight="false" outlineLevel="0" collapsed="false">
      <c r="A238" s="6" t="s">
        <v>318</v>
      </c>
      <c r="B238" s="6" t="str">
        <f aca="false">INDEX(Data!$H$2:$H$3990,MATCH(A238,Data!$A$2:$A$3990,0))</f>
        <v>United Kingdom</v>
      </c>
      <c r="C238" s="19" t="n">
        <f aca="false">SUMIFS(Data!$I$2:$I$3990,Data!$A$2:$A$3990,A238,Data!$J$2:$J$3990,1)</f>
        <v>8320.08</v>
      </c>
      <c r="D238" s="6" t="str">
        <f aca="false">IF(C238&gt;10000,"HIGH VALUE","")</f>
        <v/>
      </c>
    </row>
    <row r="239" customFormat="false" ht="15" hidden="false" customHeight="false" outlineLevel="0" collapsed="false">
      <c r="A239" s="6" t="s">
        <v>323</v>
      </c>
      <c r="B239" s="6" t="str">
        <f aca="false">INDEX(Data!$H$2:$H$3990,MATCH(A239,Data!$A$2:$A$3990,0))</f>
        <v>United Kingdom</v>
      </c>
      <c r="C239" s="19" t="n">
        <f aca="false">SUMIFS(Data!$I$2:$I$3990,Data!$A$2:$A$3990,A239,Data!$J$2:$J$3990,1)</f>
        <v>1886.28</v>
      </c>
      <c r="D239" s="6" t="str">
        <f aca="false">IF(C239&gt;10000,"HIGH VALUE","")</f>
        <v/>
      </c>
    </row>
    <row r="240" customFormat="false" ht="15" hidden="false" customHeight="false" outlineLevel="0" collapsed="false">
      <c r="A240" s="6" t="s">
        <v>320</v>
      </c>
      <c r="B240" s="6" t="str">
        <f aca="false">INDEX(Data!$H$2:$H$3990,MATCH(A240,Data!$A$2:$A$3990,0))</f>
        <v>United Kingdom</v>
      </c>
      <c r="C240" s="19" t="n">
        <f aca="false">SUMIFS(Data!$I$2:$I$3990,Data!$A$2:$A$3990,A240,Data!$J$2:$J$3990,1)</f>
        <v>2.7</v>
      </c>
      <c r="D240" s="6" t="str">
        <f aca="false">IF(C240&gt;10000,"HIGH VALUE","")</f>
        <v/>
      </c>
    </row>
    <row r="241" customFormat="false" ht="15" hidden="false" customHeight="false" outlineLevel="0" collapsed="false">
      <c r="A241" s="6" t="s">
        <v>322</v>
      </c>
      <c r="B241" s="6" t="str">
        <f aca="false">INDEX(Data!$H$2:$H$3990,MATCH(A241,Data!$A$2:$A$3990,0))</f>
        <v>United Kingdom</v>
      </c>
      <c r="C241" s="19" t="n">
        <f aca="false">SUMIFS(Data!$I$2:$I$3990,Data!$A$2:$A$3990,A241,Data!$J$2:$J$3990,1)</f>
        <v>194.63</v>
      </c>
      <c r="D241" s="6" t="str">
        <f aca="false">IF(C241&gt;10000,"HIGH VALUE","")</f>
        <v/>
      </c>
    </row>
    <row r="242" customFormat="false" ht="15" hidden="false" customHeight="false" outlineLevel="0" collapsed="false">
      <c r="A242" s="6" t="s">
        <v>319</v>
      </c>
      <c r="B242" s="6" t="str">
        <f aca="false">INDEX(Data!$H$2:$H$3990,MATCH(A242,Data!$A$2:$A$3990,0))</f>
        <v>United Kingdom</v>
      </c>
      <c r="C242" s="19" t="n">
        <f aca="false">SUMIFS(Data!$I$2:$I$3990,Data!$A$2:$A$3990,A242,Data!$J$2:$J$3990,1)</f>
        <v>28.6</v>
      </c>
      <c r="D242" s="6" t="str">
        <f aca="false">IF(C242&gt;10000,"HIGH VALUE","")</f>
        <v/>
      </c>
    </row>
    <row r="243" customFormat="false" ht="15" hidden="false" customHeight="false" outlineLevel="0" collapsed="false">
      <c r="A243" s="6" t="s">
        <v>321</v>
      </c>
      <c r="B243" s="6" t="str">
        <f aca="false">INDEX(Data!$H$2:$H$3990,MATCH(A243,Data!$A$2:$A$3990,0))</f>
        <v>United Kingdom</v>
      </c>
      <c r="C243" s="19" t="n">
        <f aca="false">SUMIFS(Data!$I$2:$I$3990,Data!$A$2:$A$3990,A243,Data!$J$2:$J$3990,1)</f>
        <v>2.38</v>
      </c>
      <c r="D243" s="6" t="str">
        <f aca="false">IF(C243&gt;10000,"HIGH VALUE","")</f>
        <v/>
      </c>
    </row>
    <row r="244" customFormat="false" ht="15" hidden="false" customHeight="false" outlineLevel="0" collapsed="false">
      <c r="A244" s="6" t="s">
        <v>325</v>
      </c>
      <c r="B244" s="6" t="str">
        <f aca="false">INDEX(Data!$H$2:$H$3990,MATCH(A244,Data!$A$2:$A$3990,0))</f>
        <v>United Kingdom</v>
      </c>
      <c r="C244" s="19" t="n">
        <f aca="false">SUMIFS(Data!$I$2:$I$3990,Data!$A$2:$A$3990,A244,Data!$J$2:$J$3990,1)</f>
        <v>258.69</v>
      </c>
      <c r="D244" s="6" t="str">
        <f aca="false">IF(C244&gt;10000,"HIGH VALUE","")</f>
        <v/>
      </c>
    </row>
    <row r="245" customFormat="false" ht="15" hidden="false" customHeight="false" outlineLevel="0" collapsed="false">
      <c r="A245" s="6" t="s">
        <v>324</v>
      </c>
      <c r="B245" s="6" t="str">
        <f aca="false">INDEX(Data!$H$2:$H$3990,MATCH(A245,Data!$A$2:$A$3990,0))</f>
        <v>United Kingdom</v>
      </c>
      <c r="C245" s="19" t="n">
        <f aca="false">SUMIFS(Data!$I$2:$I$3990,Data!$A$2:$A$3990,A245,Data!$J$2:$J$3990,1)</f>
        <v>54.62</v>
      </c>
      <c r="D245" s="6" t="str">
        <f aca="false">IF(C245&gt;10000,"HIGH VALUE","")</f>
        <v/>
      </c>
    </row>
    <row r="246" customFormat="false" ht="15" hidden="false" customHeight="false" outlineLevel="0" collapsed="false">
      <c r="A246" s="6" t="s">
        <v>327</v>
      </c>
      <c r="B246" s="6" t="str">
        <f aca="false">INDEX(Data!$H$2:$H$3990,MATCH(A246,Data!$A$2:$A$3990,0))</f>
        <v>United Kingdom</v>
      </c>
      <c r="C246" s="19" t="n">
        <f aca="false">SUMIFS(Data!$I$2:$I$3990,Data!$A$2:$A$3990,A246,Data!$J$2:$J$3990,1)</f>
        <v>27.29</v>
      </c>
      <c r="D246" s="6" t="str">
        <f aca="false">IF(C246&gt;10000,"HIGH VALUE","")</f>
        <v/>
      </c>
    </row>
    <row r="247" customFormat="false" ht="15" hidden="false" customHeight="false" outlineLevel="0" collapsed="false">
      <c r="A247" s="6" t="s">
        <v>329</v>
      </c>
      <c r="B247" s="6" t="str">
        <f aca="false">INDEX(Data!$H$2:$H$3990,MATCH(A247,Data!$A$2:$A$3990,0))</f>
        <v>United Kingdom</v>
      </c>
      <c r="C247" s="19" t="n">
        <f aca="false">SUMIFS(Data!$I$2:$I$3990,Data!$A$2:$A$3990,A247,Data!$J$2:$J$3990,1)</f>
        <v>350.36</v>
      </c>
      <c r="D247" s="6" t="str">
        <f aca="false">IF(C247&gt;10000,"HIGH VALUE","")</f>
        <v/>
      </c>
    </row>
    <row r="248" customFormat="false" ht="15" hidden="false" customHeight="false" outlineLevel="0" collapsed="false">
      <c r="A248" s="6" t="s">
        <v>328</v>
      </c>
      <c r="B248" s="6" t="str">
        <f aca="false">INDEX(Data!$H$2:$H$3990,MATCH(A248,Data!$A$2:$A$3990,0))</f>
        <v>United Kingdom</v>
      </c>
      <c r="C248" s="19" t="n">
        <f aca="false">SUMIFS(Data!$I$2:$I$3990,Data!$A$2:$A$3990,A248,Data!$J$2:$J$3990,1)</f>
        <v>26.52</v>
      </c>
      <c r="D248" s="6" t="str">
        <f aca="false">IF(C248&gt;10000,"HIGH VALUE","")</f>
        <v/>
      </c>
    </row>
    <row r="249" customFormat="false" ht="15" hidden="false" customHeight="false" outlineLevel="0" collapsed="false">
      <c r="A249" s="6" t="s">
        <v>330</v>
      </c>
      <c r="B249" s="6" t="str">
        <f aca="false">INDEX(Data!$H$2:$H$3990,MATCH(A249,Data!$A$2:$A$3990,0))</f>
        <v>France</v>
      </c>
      <c r="C249" s="19" t="n">
        <f aca="false">SUMIFS(Data!$I$2:$I$3990,Data!$A$2:$A$3990,A249,Data!$J$2:$J$3990,1)</f>
        <v>281.01</v>
      </c>
      <c r="D249" s="6" t="str">
        <f aca="false">IF(C249&gt;10000,"HIGH VALUE","")</f>
        <v/>
      </c>
    </row>
    <row r="250" customFormat="false" ht="15" hidden="false" customHeight="false" outlineLevel="0" collapsed="false">
      <c r="A250" s="6" t="s">
        <v>331</v>
      </c>
      <c r="B250" s="6" t="str">
        <f aca="false">INDEX(Data!$H$2:$H$3990,MATCH(A250,Data!$A$2:$A$3990,0))</f>
        <v>United Kingdom</v>
      </c>
      <c r="C250" s="19" t="n">
        <f aca="false">SUMIFS(Data!$I$2:$I$3990,Data!$A$2:$A$3990,A250,Data!$J$2:$J$3990,1)</f>
        <v>200.48</v>
      </c>
      <c r="D250" s="6" t="str">
        <f aca="false">IF(C250&gt;10000,"HIGH VALUE","")</f>
        <v/>
      </c>
    </row>
    <row r="251" customFormat="false" ht="15" hidden="false" customHeight="false" outlineLevel="0" collapsed="false">
      <c r="A251" s="6" t="s">
        <v>332</v>
      </c>
      <c r="B251" s="6" t="str">
        <f aca="false">INDEX(Data!$H$2:$H$3990,MATCH(A251,Data!$A$2:$A$3990,0))</f>
        <v>United Kingdom</v>
      </c>
      <c r="C251" s="19" t="n">
        <f aca="false">SUMIFS(Data!$I$2:$I$3990,Data!$A$2:$A$3990,A251,Data!$J$2:$J$3990,1)</f>
        <v>80.25</v>
      </c>
      <c r="D251" s="6" t="str">
        <f aca="false">IF(C251&gt;10000,"HIGH VALUE","")</f>
        <v/>
      </c>
    </row>
    <row r="252" customFormat="false" ht="15" hidden="false" customHeight="false" outlineLevel="0" collapsed="false">
      <c r="A252" s="6" t="s">
        <v>333</v>
      </c>
      <c r="B252" s="6" t="str">
        <f aca="false">INDEX(Data!$H$2:$H$3990,MATCH(A252,Data!$A$2:$A$3990,0))</f>
        <v>United Kingdom</v>
      </c>
      <c r="C252" s="19" t="n">
        <f aca="false">SUMIFS(Data!$I$2:$I$3990,Data!$A$2:$A$3990,A252,Data!$J$2:$J$3990,1)</f>
        <v>14.94</v>
      </c>
      <c r="D252" s="6" t="str">
        <f aca="false">IF(C252&gt;10000,"HIGH VALUE","")</f>
        <v/>
      </c>
    </row>
    <row r="253" customFormat="false" ht="15" hidden="false" customHeight="false" outlineLevel="0" collapsed="false">
      <c r="A253" s="6" t="s">
        <v>334</v>
      </c>
      <c r="B253" s="6" t="str">
        <f aca="false">INDEX(Data!$H$2:$H$3990,MATCH(A253,Data!$A$2:$A$3990,0))</f>
        <v>United Kingdom</v>
      </c>
      <c r="C253" s="19" t="n">
        <f aca="false">SUMIFS(Data!$I$2:$I$3990,Data!$A$2:$A$3990,A253,Data!$J$2:$J$3990,1)</f>
        <v>160.51</v>
      </c>
      <c r="D253" s="6" t="str">
        <f aca="false">IF(C253&gt;10000,"HIGH VALUE","")</f>
        <v/>
      </c>
    </row>
    <row r="254" customFormat="false" ht="15" hidden="false" customHeight="false" outlineLevel="0" collapsed="false">
      <c r="A254" s="6" t="s">
        <v>335</v>
      </c>
      <c r="B254" s="6" t="str">
        <f aca="false">INDEX(Data!$H$2:$H$3990,MATCH(A254,Data!$A$2:$A$3990,0))</f>
        <v>United Kingdom</v>
      </c>
      <c r="C254" s="19" t="n">
        <f aca="false">SUMIFS(Data!$I$2:$I$3990,Data!$A$2:$A$3990,A254,Data!$J$2:$J$3990,1)</f>
        <v>32.06</v>
      </c>
      <c r="D254" s="6" t="str">
        <f aca="false">IF(C254&gt;10000,"HIGH VALUE","")</f>
        <v/>
      </c>
    </row>
    <row r="255" customFormat="false" ht="15" hidden="false" customHeight="false" outlineLevel="0" collapsed="false">
      <c r="A255" s="6" t="s">
        <v>336</v>
      </c>
      <c r="B255" s="6" t="str">
        <f aca="false">INDEX(Data!$H$2:$H$3990,MATCH(A255,Data!$A$2:$A$3990,0))</f>
        <v>United Kingdom</v>
      </c>
      <c r="C255" s="19" t="n">
        <f aca="false">SUMIFS(Data!$I$2:$I$3990,Data!$A$2:$A$3990,A255,Data!$J$2:$J$3990,1)</f>
        <v>572.85</v>
      </c>
      <c r="D255" s="6" t="str">
        <f aca="false">IF(C255&gt;10000,"HIGH VALUE","")</f>
        <v/>
      </c>
    </row>
    <row r="256" customFormat="false" ht="15" hidden="false" customHeight="false" outlineLevel="0" collapsed="false">
      <c r="A256" s="6" t="s">
        <v>337</v>
      </c>
      <c r="B256" s="6" t="str">
        <f aca="false">INDEX(Data!$H$2:$H$3990,MATCH(A256,Data!$A$2:$A$3990,0))</f>
        <v>Australia</v>
      </c>
      <c r="C256" s="19" t="n">
        <f aca="false">SUMIFS(Data!$I$2:$I$3990,Data!$A$2:$A$3990,A256,Data!$J$2:$J$3990,1)</f>
        <v>6296.64</v>
      </c>
      <c r="D256" s="6" t="str">
        <f aca="false">IF(C256&gt;10000,"HIGH VALUE","")</f>
        <v/>
      </c>
    </row>
    <row r="257" customFormat="false" ht="15" hidden="false" customHeight="false" outlineLevel="0" collapsed="false">
      <c r="A257" s="6" t="s">
        <v>338</v>
      </c>
      <c r="B257" s="6" t="str">
        <f aca="false">INDEX(Data!$H$2:$H$3990,MATCH(A257,Data!$A$2:$A$3990,0))</f>
        <v>United Kingdom</v>
      </c>
      <c r="C257" s="19" t="n">
        <f aca="false">SUMIFS(Data!$I$2:$I$3990,Data!$A$2:$A$3990,A257,Data!$J$2:$J$3990,1)</f>
        <v>347.72</v>
      </c>
      <c r="D257" s="6" t="str">
        <f aca="false">IF(C257&gt;10000,"HIGH VALUE","")</f>
        <v/>
      </c>
    </row>
    <row r="258" customFormat="false" ht="15" hidden="false" customHeight="false" outlineLevel="0" collapsed="false">
      <c r="A258" s="6" t="s">
        <v>339</v>
      </c>
      <c r="B258" s="6" t="str">
        <f aca="false">INDEX(Data!$H$2:$H$3990,MATCH(A258,Data!$A$2:$A$3990,0))</f>
        <v>United Kingdom</v>
      </c>
      <c r="C258" s="19" t="n">
        <f aca="false">SUMIFS(Data!$I$2:$I$3990,Data!$A$2:$A$3990,A258,Data!$J$2:$J$3990,1)</f>
        <v>48.85</v>
      </c>
      <c r="D258" s="6" t="str">
        <f aca="false">IF(C258&gt;10000,"HIGH VALUE","")</f>
        <v/>
      </c>
    </row>
    <row r="259" customFormat="false" ht="15" hidden="false" customHeight="false" outlineLevel="0" collapsed="false">
      <c r="A259" s="6" t="s">
        <v>342</v>
      </c>
      <c r="B259" s="6" t="str">
        <f aca="false">INDEX(Data!$H$2:$H$3990,MATCH(A259,Data!$A$2:$A$3990,0))</f>
        <v>United Kingdom</v>
      </c>
      <c r="C259" s="19" t="n">
        <f aca="false">SUMIFS(Data!$I$2:$I$3990,Data!$A$2:$A$3990,A259,Data!$J$2:$J$3990,1)</f>
        <v>112.78</v>
      </c>
      <c r="D259" s="6" t="str">
        <f aca="false">IF(C259&gt;10000,"HIGH VALUE","")</f>
        <v/>
      </c>
    </row>
    <row r="260" customFormat="false" ht="15" hidden="false" customHeight="false" outlineLevel="0" collapsed="false">
      <c r="A260" s="6" t="s">
        <v>340</v>
      </c>
      <c r="B260" s="6" t="str">
        <f aca="false">INDEX(Data!$H$2:$H$3990,MATCH(A260,Data!$A$2:$A$3990,0))</f>
        <v>United Kingdom</v>
      </c>
      <c r="C260" s="19" t="n">
        <f aca="false">SUMIFS(Data!$I$2:$I$3990,Data!$A$2:$A$3990,A260,Data!$J$2:$J$3990,1)</f>
        <v>51.56</v>
      </c>
      <c r="D260" s="6" t="str">
        <f aca="false">IF(C260&gt;10000,"HIGH VALUE","")</f>
        <v/>
      </c>
    </row>
    <row r="261" customFormat="false" ht="15" hidden="false" customHeight="false" outlineLevel="0" collapsed="false">
      <c r="A261" s="6" t="s">
        <v>341</v>
      </c>
      <c r="B261" s="6" t="str">
        <f aca="false">INDEX(Data!$H$2:$H$3990,MATCH(A261,Data!$A$2:$A$3990,0))</f>
        <v>United Kingdom</v>
      </c>
      <c r="C261" s="19" t="n">
        <f aca="false">SUMIFS(Data!$I$2:$I$3990,Data!$A$2:$A$3990,A261,Data!$J$2:$J$3990,1)</f>
        <v>75.94</v>
      </c>
      <c r="D261" s="6" t="str">
        <f aca="false">IF(C261&gt;10000,"HIGH VALUE","")</f>
        <v/>
      </c>
    </row>
    <row r="262" customFormat="false" ht="15" hidden="false" customHeight="false" outlineLevel="0" collapsed="false">
      <c r="A262" s="6" t="s">
        <v>343</v>
      </c>
      <c r="B262" s="6" t="str">
        <f aca="false">INDEX(Data!$H$2:$H$3990,MATCH(A262,Data!$A$2:$A$3990,0))</f>
        <v>Germany</v>
      </c>
      <c r="C262" s="19" t="n">
        <f aca="false">SUMIFS(Data!$I$2:$I$3990,Data!$A$2:$A$3990,A262,Data!$J$2:$J$3990,1)</f>
        <v>59.71</v>
      </c>
      <c r="D262" s="6" t="str">
        <f aca="false">IF(C262&gt;10000,"HIGH VALUE","")</f>
        <v/>
      </c>
    </row>
    <row r="263" customFormat="false" ht="15" hidden="false" customHeight="false" outlineLevel="0" collapsed="false">
      <c r="A263" s="6" t="s">
        <v>344</v>
      </c>
      <c r="B263" s="6" t="str">
        <f aca="false">INDEX(Data!$H$2:$H$3990,MATCH(A263,Data!$A$2:$A$3990,0))</f>
        <v>France</v>
      </c>
      <c r="C263" s="19" t="n">
        <f aca="false">SUMIFS(Data!$I$2:$I$3990,Data!$A$2:$A$3990,A263,Data!$J$2:$J$3990,1)</f>
        <v>40.36</v>
      </c>
      <c r="D263" s="6" t="str">
        <f aca="false">IF(C263&gt;10000,"HIGH VALUE","")</f>
        <v/>
      </c>
    </row>
    <row r="264" customFormat="false" ht="15" hidden="false" customHeight="false" outlineLevel="0" collapsed="false">
      <c r="A264" s="6" t="s">
        <v>345</v>
      </c>
      <c r="B264" s="6" t="str">
        <f aca="false">INDEX(Data!$H$2:$H$3990,MATCH(A264,Data!$A$2:$A$3990,0))</f>
        <v>United Kingdom</v>
      </c>
      <c r="C264" s="19" t="n">
        <f aca="false">SUMIFS(Data!$I$2:$I$3990,Data!$A$2:$A$3990,A264,Data!$J$2:$J$3990,1)</f>
        <v>14.58</v>
      </c>
      <c r="D264" s="6" t="str">
        <f aca="false">IF(C264&gt;10000,"HIGH VALUE","")</f>
        <v/>
      </c>
    </row>
    <row r="265" customFormat="false" ht="15" hidden="false" customHeight="false" outlineLevel="0" collapsed="false">
      <c r="A265" s="6" t="s">
        <v>346</v>
      </c>
      <c r="B265" s="6" t="str">
        <f aca="false">INDEX(Data!$H$2:$H$3990,MATCH(A265,Data!$A$2:$A$3990,0))</f>
        <v>United Kingdom</v>
      </c>
      <c r="C265" s="19" t="n">
        <f aca="false">SUMIFS(Data!$I$2:$I$3990,Data!$A$2:$A$3990,A265,Data!$J$2:$J$3990,1)</f>
        <v>15.69</v>
      </c>
      <c r="D265" s="6" t="str">
        <f aca="false">IF(C265&gt;10000,"HIGH VALUE","")</f>
        <v/>
      </c>
    </row>
    <row r="266" customFormat="false" ht="15" hidden="false" customHeight="false" outlineLevel="0" collapsed="false">
      <c r="A266" s="6" t="s">
        <v>347</v>
      </c>
      <c r="B266" s="6" t="str">
        <f aca="false">INDEX(Data!$H$2:$H$3990,MATCH(A266,Data!$A$2:$A$3990,0))</f>
        <v>United Kingdom</v>
      </c>
      <c r="C266" s="19" t="n">
        <f aca="false">SUMIFS(Data!$I$2:$I$3990,Data!$A$2:$A$3990,A266,Data!$J$2:$J$3990,1)</f>
        <v>1089.72</v>
      </c>
      <c r="D266" s="6" t="str">
        <f aca="false">IF(C266&gt;10000,"HIGH VALUE","")</f>
        <v/>
      </c>
    </row>
    <row r="267" customFormat="false" ht="15" hidden="false" customHeight="false" outlineLevel="0" collapsed="false">
      <c r="A267" s="6" t="s">
        <v>350</v>
      </c>
      <c r="B267" s="6" t="str">
        <f aca="false">INDEX(Data!$H$2:$H$3990,MATCH(A267,Data!$A$2:$A$3990,0))</f>
        <v>United Kingdom</v>
      </c>
      <c r="C267" s="19" t="n">
        <f aca="false">SUMIFS(Data!$I$2:$I$3990,Data!$A$2:$A$3990,A267,Data!$J$2:$J$3990,1)</f>
        <v>66.22</v>
      </c>
      <c r="D267" s="6" t="str">
        <f aca="false">IF(C267&gt;10000,"HIGH VALUE","")</f>
        <v/>
      </c>
    </row>
    <row r="268" customFormat="false" ht="15" hidden="false" customHeight="false" outlineLevel="0" collapsed="false">
      <c r="A268" s="6" t="s">
        <v>348</v>
      </c>
      <c r="B268" s="6" t="str">
        <f aca="false">INDEX(Data!$H$2:$H$3990,MATCH(A268,Data!$A$2:$A$3990,0))</f>
        <v>United Kingdom</v>
      </c>
      <c r="C268" s="19" t="n">
        <f aca="false">SUMIFS(Data!$I$2:$I$3990,Data!$A$2:$A$3990,A268,Data!$J$2:$J$3990,1)</f>
        <v>86.12</v>
      </c>
      <c r="D268" s="6" t="str">
        <f aca="false">IF(C268&gt;10000,"HIGH VALUE","")</f>
        <v/>
      </c>
    </row>
    <row r="269" customFormat="false" ht="15" hidden="false" customHeight="false" outlineLevel="0" collapsed="false">
      <c r="A269" s="6" t="s">
        <v>349</v>
      </c>
      <c r="B269" s="6" t="str">
        <f aca="false">INDEX(Data!$H$2:$H$3990,MATCH(A269,Data!$A$2:$A$3990,0))</f>
        <v>United Kingdom</v>
      </c>
      <c r="C269" s="19" t="n">
        <f aca="false">SUMIFS(Data!$I$2:$I$3990,Data!$A$2:$A$3990,A269,Data!$J$2:$J$3990,1)</f>
        <v>62.3</v>
      </c>
      <c r="D269" s="6" t="str">
        <f aca="false">IF(C269&gt;10000,"HIGH VALUE","")</f>
        <v/>
      </c>
    </row>
    <row r="270" customFormat="false" ht="15" hidden="false" customHeight="false" outlineLevel="0" collapsed="false">
      <c r="A270" s="6" t="s">
        <v>353</v>
      </c>
      <c r="B270" s="6" t="str">
        <f aca="false">INDEX(Data!$H$2:$H$3990,MATCH(A270,Data!$A$2:$A$3990,0))</f>
        <v>United Kingdom</v>
      </c>
      <c r="C270" s="19" t="n">
        <f aca="false">SUMIFS(Data!$I$2:$I$3990,Data!$A$2:$A$3990,A270,Data!$J$2:$J$3990,1)</f>
        <v>155.92</v>
      </c>
      <c r="D270" s="6" t="str">
        <f aca="false">IF(C270&gt;10000,"HIGH VALUE","")</f>
        <v/>
      </c>
    </row>
    <row r="271" customFormat="false" ht="15" hidden="false" customHeight="false" outlineLevel="0" collapsed="false">
      <c r="A271" s="6" t="s">
        <v>352</v>
      </c>
      <c r="B271" s="6" t="str">
        <f aca="false">INDEX(Data!$H$2:$H$3990,MATCH(A271,Data!$A$2:$A$3990,0))</f>
        <v>United Kingdom</v>
      </c>
      <c r="C271" s="19" t="n">
        <f aca="false">SUMIFS(Data!$I$2:$I$3990,Data!$A$2:$A$3990,A271,Data!$J$2:$J$3990,1)</f>
        <v>62.16</v>
      </c>
      <c r="D271" s="6" t="str">
        <f aca="false">IF(C271&gt;10000,"HIGH VALUE","")</f>
        <v/>
      </c>
    </row>
    <row r="272" customFormat="false" ht="15" hidden="false" customHeight="false" outlineLevel="0" collapsed="false">
      <c r="A272" s="6" t="s">
        <v>351</v>
      </c>
      <c r="B272" s="6" t="str">
        <f aca="false">INDEX(Data!$H$2:$H$3990,MATCH(A272,Data!$A$2:$A$3990,0))</f>
        <v>Switzerland</v>
      </c>
      <c r="C272" s="19" t="n">
        <f aca="false">SUMIFS(Data!$I$2:$I$3990,Data!$A$2:$A$3990,A272,Data!$J$2:$J$3990,1)</f>
        <v>1.97</v>
      </c>
      <c r="D272" s="6" t="str">
        <f aca="false">IF(C272&gt;10000,"HIGH VALUE","")</f>
        <v/>
      </c>
    </row>
    <row r="273" customFormat="false" ht="15" hidden="false" customHeight="false" outlineLevel="0" collapsed="false">
      <c r="A273" s="6" t="s">
        <v>355</v>
      </c>
      <c r="B273" s="6" t="str">
        <f aca="false">INDEX(Data!$H$2:$H$3990,MATCH(A273,Data!$A$2:$A$3990,0))</f>
        <v>United Kingdom</v>
      </c>
      <c r="C273" s="19" t="n">
        <f aca="false">SUMIFS(Data!$I$2:$I$3990,Data!$A$2:$A$3990,A273,Data!$J$2:$J$3990,1)</f>
        <v>193.63</v>
      </c>
      <c r="D273" s="6" t="str">
        <f aca="false">IF(C273&gt;10000,"HIGH VALUE","")</f>
        <v/>
      </c>
    </row>
    <row r="274" customFormat="false" ht="15" hidden="false" customHeight="false" outlineLevel="0" collapsed="false">
      <c r="A274" s="6" t="s">
        <v>354</v>
      </c>
      <c r="B274" s="6" t="str">
        <f aca="false">INDEX(Data!$H$2:$H$3990,MATCH(A274,Data!$A$2:$A$3990,0))</f>
        <v>EIRE</v>
      </c>
      <c r="C274" s="19" t="n">
        <f aca="false">SUMIFS(Data!$I$2:$I$3990,Data!$A$2:$A$3990,A274,Data!$J$2:$J$3990,1)</f>
        <v>134.56</v>
      </c>
      <c r="D274" s="6" t="str">
        <f aca="false">IF(C274&gt;10000,"HIGH VALUE","")</f>
        <v/>
      </c>
    </row>
    <row r="275" customFormat="false" ht="15" hidden="false" customHeight="false" outlineLevel="0" collapsed="false">
      <c r="A275" s="6" t="s">
        <v>356</v>
      </c>
      <c r="B275" s="6" t="str">
        <f aca="false">INDEX(Data!$H$2:$H$3990,MATCH(A275,Data!$A$2:$A$3990,0))</f>
        <v>Belgium</v>
      </c>
      <c r="C275" s="19" t="n">
        <f aca="false">SUMIFS(Data!$I$2:$I$3990,Data!$A$2:$A$3990,A275,Data!$J$2:$J$3990,1)</f>
        <v>68.68</v>
      </c>
      <c r="D275" s="6" t="str">
        <f aca="false">IF(C275&gt;10000,"HIGH VALUE","")</f>
        <v/>
      </c>
    </row>
    <row r="276" customFormat="false" ht="15" hidden="false" customHeight="false" outlineLevel="0" collapsed="false">
      <c r="A276" s="6" t="s">
        <v>357</v>
      </c>
      <c r="B276" s="6" t="str">
        <f aca="false">INDEX(Data!$H$2:$H$3990,MATCH(A276,Data!$A$2:$A$3990,0))</f>
        <v>United Kingdom</v>
      </c>
      <c r="C276" s="19" t="n">
        <f aca="false">SUMIFS(Data!$I$2:$I$3990,Data!$A$2:$A$3990,A276,Data!$J$2:$J$3990,1)</f>
        <v>134.76</v>
      </c>
      <c r="D276" s="6" t="str">
        <f aca="false">IF(C276&gt;10000,"HIGH VALUE","")</f>
        <v/>
      </c>
    </row>
    <row r="277" customFormat="false" ht="15" hidden="false" customHeight="false" outlineLevel="0" collapsed="false">
      <c r="A277" s="6" t="s">
        <v>358</v>
      </c>
      <c r="B277" s="6" t="str">
        <f aca="false">INDEX(Data!$H$2:$H$3990,MATCH(A277,Data!$A$2:$A$3990,0))</f>
        <v>United Kingdom</v>
      </c>
      <c r="C277" s="19" t="n">
        <f aca="false">SUMIFS(Data!$I$2:$I$3990,Data!$A$2:$A$3990,A277,Data!$J$2:$J$3990,1)</f>
        <v>72.96</v>
      </c>
      <c r="D277" s="6" t="str">
        <f aca="false">IF(C277&gt;10000,"HIGH VALUE","")</f>
        <v/>
      </c>
    </row>
    <row r="278" customFormat="false" ht="15" hidden="false" customHeight="false" outlineLevel="0" collapsed="false">
      <c r="A278" s="6" t="s">
        <v>360</v>
      </c>
      <c r="B278" s="6" t="str">
        <f aca="false">INDEX(Data!$H$2:$H$3990,MATCH(A278,Data!$A$2:$A$3990,0))</f>
        <v>United Kingdom</v>
      </c>
      <c r="C278" s="19" t="n">
        <f aca="false">SUMIFS(Data!$I$2:$I$3990,Data!$A$2:$A$3990,A278,Data!$J$2:$J$3990,1)</f>
        <v>4.42</v>
      </c>
      <c r="D278" s="6" t="str">
        <f aca="false">IF(C278&gt;10000,"HIGH VALUE","")</f>
        <v/>
      </c>
    </row>
    <row r="279" customFormat="false" ht="15" hidden="false" customHeight="false" outlineLevel="0" collapsed="false">
      <c r="A279" s="6" t="s">
        <v>359</v>
      </c>
      <c r="B279" s="6" t="str">
        <f aca="false">INDEX(Data!$H$2:$H$3990,MATCH(A279,Data!$A$2:$A$3990,0))</f>
        <v>United Kingdom</v>
      </c>
      <c r="C279" s="19" t="n">
        <f aca="false">SUMIFS(Data!$I$2:$I$3990,Data!$A$2:$A$3990,A279,Data!$J$2:$J$3990,1)</f>
        <v>62.52</v>
      </c>
      <c r="D279" s="6" t="str">
        <f aca="false">IF(C279&gt;10000,"HIGH VALUE","")</f>
        <v/>
      </c>
    </row>
    <row r="280" customFormat="false" ht="15" hidden="false" customHeight="false" outlineLevel="0" collapsed="false">
      <c r="A280" s="6" t="s">
        <v>362</v>
      </c>
      <c r="B280" s="6" t="str">
        <f aca="false">INDEX(Data!$H$2:$H$3990,MATCH(A280,Data!$A$2:$A$3990,0))</f>
        <v>United Kingdom</v>
      </c>
      <c r="C280" s="19" t="n">
        <f aca="false">SUMIFS(Data!$I$2:$I$3990,Data!$A$2:$A$3990,A280,Data!$J$2:$J$3990,1)</f>
        <v>17.58</v>
      </c>
      <c r="D280" s="6" t="str">
        <f aca="false">IF(C280&gt;10000,"HIGH VALUE","")</f>
        <v/>
      </c>
    </row>
    <row r="281" customFormat="false" ht="15" hidden="false" customHeight="false" outlineLevel="0" collapsed="false">
      <c r="A281" s="6" t="s">
        <v>361</v>
      </c>
      <c r="B281" s="6" t="str">
        <f aca="false">INDEX(Data!$H$2:$H$3990,MATCH(A281,Data!$A$2:$A$3990,0))</f>
        <v>United Kingdom</v>
      </c>
      <c r="C281" s="19" t="n">
        <f aca="false">SUMIFS(Data!$I$2:$I$3990,Data!$A$2:$A$3990,A281,Data!$J$2:$J$3990,1)</f>
        <v>75.12</v>
      </c>
      <c r="D281" s="6" t="str">
        <f aca="false">IF(C281&gt;10000,"HIGH VALUE","")</f>
        <v/>
      </c>
    </row>
    <row r="282" customFormat="false" ht="15" hidden="false" customHeight="false" outlineLevel="0" collapsed="false">
      <c r="A282" s="6" t="s">
        <v>363</v>
      </c>
      <c r="B282" s="6" t="str">
        <f aca="false">INDEX(Data!$H$2:$H$3990,MATCH(A282,Data!$A$2:$A$3990,0))</f>
        <v>France</v>
      </c>
      <c r="C282" s="19" t="n">
        <f aca="false">SUMIFS(Data!$I$2:$I$3990,Data!$A$2:$A$3990,A282,Data!$J$2:$J$3990,1)</f>
        <v>129.87</v>
      </c>
      <c r="D282" s="6" t="str">
        <f aca="false">IF(C282&gt;10000,"HIGH VALUE","")</f>
        <v/>
      </c>
    </row>
    <row r="283" customFormat="false" ht="15" hidden="false" customHeight="false" outlineLevel="0" collapsed="false">
      <c r="A283" s="6" t="s">
        <v>364</v>
      </c>
      <c r="B283" s="6" t="str">
        <f aca="false">INDEX(Data!$H$2:$H$3990,MATCH(A283,Data!$A$2:$A$3990,0))</f>
        <v>United Kingdom</v>
      </c>
      <c r="C283" s="19" t="n">
        <f aca="false">SUMIFS(Data!$I$2:$I$3990,Data!$A$2:$A$3990,A283,Data!$J$2:$J$3990,1)</f>
        <v>321.49</v>
      </c>
      <c r="D283" s="6" t="str">
        <f aca="false">IF(C283&gt;10000,"HIGH VALUE","")</f>
        <v/>
      </c>
    </row>
    <row r="284" customFormat="false" ht="15" hidden="false" customHeight="false" outlineLevel="0" collapsed="false">
      <c r="A284" s="6" t="s">
        <v>366</v>
      </c>
      <c r="B284" s="6" t="str">
        <f aca="false">INDEX(Data!$H$2:$H$3990,MATCH(A284,Data!$A$2:$A$3990,0))</f>
        <v>United Kingdom</v>
      </c>
      <c r="C284" s="19" t="n">
        <f aca="false">SUMIFS(Data!$I$2:$I$3990,Data!$A$2:$A$3990,A284,Data!$J$2:$J$3990,1)</f>
        <v>161.7</v>
      </c>
      <c r="D284" s="6" t="str">
        <f aca="false">IF(C284&gt;10000,"HIGH VALUE","")</f>
        <v/>
      </c>
    </row>
    <row r="285" customFormat="false" ht="15" hidden="false" customHeight="false" outlineLevel="0" collapsed="false">
      <c r="A285" s="6" t="s">
        <v>365</v>
      </c>
      <c r="B285" s="6" t="str">
        <f aca="false">INDEX(Data!$H$2:$H$3990,MATCH(A285,Data!$A$2:$A$3990,0))</f>
        <v>United Kingdom</v>
      </c>
      <c r="C285" s="19" t="n">
        <f aca="false">SUMIFS(Data!$I$2:$I$3990,Data!$A$2:$A$3990,A285,Data!$J$2:$J$3990,1)</f>
        <v>947.52</v>
      </c>
      <c r="D285" s="6" t="str">
        <f aca="false">IF(C285&gt;10000,"HIGH VALUE","")</f>
        <v/>
      </c>
    </row>
    <row r="286" customFormat="false" ht="15" hidden="false" customHeight="false" outlineLevel="0" collapsed="false">
      <c r="A286" s="6" t="s">
        <v>367</v>
      </c>
      <c r="B286" s="6" t="str">
        <f aca="false">INDEX(Data!$H$2:$H$3990,MATCH(A286,Data!$A$2:$A$3990,0))</f>
        <v>United Kingdom</v>
      </c>
      <c r="C286" s="19" t="n">
        <f aca="false">SUMIFS(Data!$I$2:$I$3990,Data!$A$2:$A$3990,A286,Data!$J$2:$J$3990,1)</f>
        <v>141.96</v>
      </c>
      <c r="D286" s="6" t="str">
        <f aca="false">IF(C286&gt;10000,"HIGH VALUE","")</f>
        <v/>
      </c>
    </row>
    <row r="287" customFormat="false" ht="15" hidden="false" customHeight="false" outlineLevel="0" collapsed="false">
      <c r="A287" s="6" t="s">
        <v>371</v>
      </c>
      <c r="B287" s="6" t="str">
        <f aca="false">INDEX(Data!$H$2:$H$3990,MATCH(A287,Data!$A$2:$A$3990,0))</f>
        <v>United Kingdom</v>
      </c>
      <c r="C287" s="19" t="n">
        <f aca="false">SUMIFS(Data!$I$2:$I$3990,Data!$A$2:$A$3990,A287,Data!$J$2:$J$3990,1)</f>
        <v>6.08</v>
      </c>
      <c r="D287" s="6" t="str">
        <f aca="false">IF(C287&gt;10000,"HIGH VALUE","")</f>
        <v/>
      </c>
    </row>
    <row r="288" customFormat="false" ht="15" hidden="false" customHeight="false" outlineLevel="0" collapsed="false">
      <c r="A288" s="6" t="s">
        <v>369</v>
      </c>
      <c r="B288" s="6" t="str">
        <f aca="false">INDEX(Data!$H$2:$H$3990,MATCH(A288,Data!$A$2:$A$3990,0))</f>
        <v>United Kingdom</v>
      </c>
      <c r="C288" s="19" t="n">
        <f aca="false">SUMIFS(Data!$I$2:$I$3990,Data!$A$2:$A$3990,A288,Data!$J$2:$J$3990,1)</f>
        <v>4.32</v>
      </c>
      <c r="D288" s="6" t="str">
        <f aca="false">IF(C288&gt;10000,"HIGH VALUE","")</f>
        <v/>
      </c>
    </row>
    <row r="289" customFormat="false" ht="15" hidden="false" customHeight="false" outlineLevel="0" collapsed="false">
      <c r="A289" s="6" t="s">
        <v>370</v>
      </c>
      <c r="B289" s="6" t="str">
        <f aca="false">INDEX(Data!$H$2:$H$3990,MATCH(A289,Data!$A$2:$A$3990,0))</f>
        <v>United Kingdom</v>
      </c>
      <c r="C289" s="19" t="n">
        <f aca="false">SUMIFS(Data!$I$2:$I$3990,Data!$A$2:$A$3990,A289,Data!$J$2:$J$3990,1)</f>
        <v>24.96</v>
      </c>
      <c r="D289" s="6" t="str">
        <f aca="false">IF(C289&gt;10000,"HIGH VALUE","")</f>
        <v/>
      </c>
    </row>
    <row r="290" customFormat="false" ht="15" hidden="false" customHeight="false" outlineLevel="0" collapsed="false">
      <c r="A290" s="6" t="s">
        <v>368</v>
      </c>
      <c r="B290" s="6" t="str">
        <f aca="false">INDEX(Data!$H$2:$H$3990,MATCH(A290,Data!$A$2:$A$3990,0))</f>
        <v>United Kingdom</v>
      </c>
      <c r="C290" s="19" t="n">
        <f aca="false">SUMIFS(Data!$I$2:$I$3990,Data!$A$2:$A$3990,A290,Data!$J$2:$J$3990,1)</f>
        <v>83.55</v>
      </c>
      <c r="D290" s="6" t="str">
        <f aca="false">IF(C290&gt;10000,"HIGH VALUE","")</f>
        <v/>
      </c>
    </row>
    <row r="291" customFormat="false" ht="15" hidden="false" customHeight="false" outlineLevel="0" collapsed="false">
      <c r="A291" s="6" t="s">
        <v>372</v>
      </c>
      <c r="B291" s="6" t="str">
        <f aca="false">INDEX(Data!$H$2:$H$3990,MATCH(A291,Data!$A$2:$A$3990,0))</f>
        <v>United Kingdom</v>
      </c>
      <c r="C291" s="19" t="n">
        <f aca="false">SUMIFS(Data!$I$2:$I$3990,Data!$A$2:$A$3990,A291,Data!$J$2:$J$3990,1)</f>
        <v>241.54</v>
      </c>
      <c r="D291" s="6" t="str">
        <f aca="false">IF(C291&gt;10000,"HIGH VALUE","")</f>
        <v/>
      </c>
    </row>
    <row r="292" customFormat="false" ht="15" hidden="false" customHeight="false" outlineLevel="0" collapsed="false">
      <c r="A292" s="6" t="s">
        <v>373</v>
      </c>
      <c r="B292" s="6" t="str">
        <f aca="false">INDEX(Data!$H$2:$H$3990,MATCH(A292,Data!$A$2:$A$3990,0))</f>
        <v>United Kingdom</v>
      </c>
      <c r="C292" s="19" t="n">
        <f aca="false">SUMIFS(Data!$I$2:$I$3990,Data!$A$2:$A$3990,A292,Data!$J$2:$J$3990,1)</f>
        <v>134.1</v>
      </c>
      <c r="D292" s="6" t="str">
        <f aca="false">IF(C292&gt;10000,"HIGH VALUE","")</f>
        <v/>
      </c>
    </row>
    <row r="293" customFormat="false" ht="15" hidden="false" customHeight="false" outlineLevel="0" collapsed="false">
      <c r="A293" s="6" t="s">
        <v>374</v>
      </c>
      <c r="B293" s="6" t="str">
        <f aca="false">INDEX(Data!$H$2:$H$3990,MATCH(A293,Data!$A$2:$A$3990,0))</f>
        <v>United Kingdom</v>
      </c>
      <c r="C293" s="19" t="n">
        <f aca="false">SUMIFS(Data!$I$2:$I$3990,Data!$A$2:$A$3990,A293,Data!$J$2:$J$3990,1)</f>
        <v>68.28</v>
      </c>
      <c r="D293" s="6" t="str">
        <f aca="false">IF(C293&gt;10000,"HIGH VALUE","")</f>
        <v/>
      </c>
    </row>
    <row r="294" customFormat="false" ht="15" hidden="false" customHeight="false" outlineLevel="0" collapsed="false">
      <c r="A294" s="6" t="s">
        <v>375</v>
      </c>
      <c r="B294" s="6" t="str">
        <f aca="false">INDEX(Data!$H$2:$H$3990,MATCH(A294,Data!$A$2:$A$3990,0))</f>
        <v>United Kingdom</v>
      </c>
      <c r="C294" s="19" t="n">
        <f aca="false">SUMIFS(Data!$I$2:$I$3990,Data!$A$2:$A$3990,A294,Data!$J$2:$J$3990,1)</f>
        <v>87.54</v>
      </c>
      <c r="D294" s="6" t="str">
        <f aca="false">IF(C294&gt;10000,"HIGH VALUE","")</f>
        <v/>
      </c>
    </row>
    <row r="295" customFormat="false" ht="15" hidden="false" customHeight="false" outlineLevel="0" collapsed="false">
      <c r="A295" s="6" t="s">
        <v>376</v>
      </c>
      <c r="B295" s="6" t="str">
        <f aca="false">INDEX(Data!$H$2:$H$3990,MATCH(A295,Data!$A$2:$A$3990,0))</f>
        <v>United Kingdom</v>
      </c>
      <c r="C295" s="19" t="n">
        <f aca="false">SUMIFS(Data!$I$2:$I$3990,Data!$A$2:$A$3990,A295,Data!$J$2:$J$3990,1)</f>
        <v>312.63</v>
      </c>
      <c r="D295" s="6" t="str">
        <f aca="false">IF(C295&gt;10000,"HIGH VALUE","")</f>
        <v/>
      </c>
    </row>
    <row r="296" customFormat="false" ht="15" hidden="false" customHeight="false" outlineLevel="0" collapsed="false">
      <c r="A296" s="6" t="s">
        <v>377</v>
      </c>
      <c r="B296" s="6" t="str">
        <f aca="false">INDEX(Data!$H$2:$H$3990,MATCH(A296,Data!$A$2:$A$3990,0))</f>
        <v>United Kingdom</v>
      </c>
      <c r="C296" s="19" t="n">
        <f aca="false">SUMIFS(Data!$I$2:$I$3990,Data!$A$2:$A$3990,A296,Data!$J$2:$J$3990,1)</f>
        <v>24.48</v>
      </c>
      <c r="D296" s="6" t="str">
        <f aca="false">IF(C296&gt;10000,"HIGH VALUE","")</f>
        <v/>
      </c>
    </row>
    <row r="297" customFormat="false" ht="15" hidden="false" customHeight="false" outlineLevel="0" collapsed="false">
      <c r="A297" s="6" t="s">
        <v>378</v>
      </c>
      <c r="B297" s="6" t="str">
        <f aca="false">INDEX(Data!$H$2:$H$3990,MATCH(A297,Data!$A$2:$A$3990,0))</f>
        <v>United Kingdom</v>
      </c>
      <c r="C297" s="19" t="n">
        <f aca="false">SUMIFS(Data!$I$2:$I$3990,Data!$A$2:$A$3990,A297,Data!$J$2:$J$3990,1)</f>
        <v>82.72</v>
      </c>
      <c r="D297" s="6" t="str">
        <f aca="false">IF(C297&gt;10000,"HIGH VALUE","")</f>
        <v/>
      </c>
    </row>
    <row r="298" customFormat="false" ht="15" hidden="false" customHeight="false" outlineLevel="0" collapsed="false">
      <c r="A298" s="6" t="s">
        <v>380</v>
      </c>
      <c r="B298" s="6" t="str">
        <f aca="false">INDEX(Data!$H$2:$H$3990,MATCH(A298,Data!$A$2:$A$3990,0))</f>
        <v>United Kingdom</v>
      </c>
      <c r="C298" s="19" t="n">
        <f aca="false">SUMIFS(Data!$I$2:$I$3990,Data!$A$2:$A$3990,A298,Data!$J$2:$J$3990,1)</f>
        <v>163.89</v>
      </c>
      <c r="D298" s="6" t="str">
        <f aca="false">IF(C298&gt;10000,"HIGH VALUE","")</f>
        <v/>
      </c>
    </row>
    <row r="299" customFormat="false" ht="15" hidden="false" customHeight="false" outlineLevel="0" collapsed="false">
      <c r="A299" s="6" t="s">
        <v>382</v>
      </c>
      <c r="B299" s="6" t="str">
        <f aca="false">INDEX(Data!$H$2:$H$3990,MATCH(A299,Data!$A$2:$A$3990,0))</f>
        <v>Germany</v>
      </c>
      <c r="C299" s="19" t="n">
        <f aca="false">SUMIFS(Data!$I$2:$I$3990,Data!$A$2:$A$3990,A299,Data!$J$2:$J$3990,1)</f>
        <v>428.83</v>
      </c>
      <c r="D299" s="6" t="str">
        <f aca="false">IF(C299&gt;10000,"HIGH VALUE","")</f>
        <v/>
      </c>
    </row>
    <row r="300" customFormat="false" ht="15" hidden="false" customHeight="false" outlineLevel="0" collapsed="false">
      <c r="A300" s="6" t="s">
        <v>381</v>
      </c>
      <c r="B300" s="6" t="str">
        <f aca="false">INDEX(Data!$H$2:$H$3990,MATCH(A300,Data!$A$2:$A$3990,0))</f>
        <v>United Kingdom</v>
      </c>
      <c r="C300" s="19" t="n">
        <f aca="false">SUMIFS(Data!$I$2:$I$3990,Data!$A$2:$A$3990,A300,Data!$J$2:$J$3990,1)</f>
        <v>903.84</v>
      </c>
      <c r="D300" s="6" t="str">
        <f aca="false">IF(C300&gt;10000,"HIGH VALUE","")</f>
        <v/>
      </c>
    </row>
    <row r="301" customFormat="false" ht="15" hidden="false" customHeight="false" outlineLevel="0" collapsed="false">
      <c r="A301" s="6" t="s">
        <v>379</v>
      </c>
      <c r="B301" s="6" t="str">
        <f aca="false">INDEX(Data!$H$2:$H$3990,MATCH(A301,Data!$A$2:$A$3990,0))</f>
        <v>United Kingdom</v>
      </c>
      <c r="C301" s="19" t="n">
        <f aca="false">SUMIFS(Data!$I$2:$I$3990,Data!$A$2:$A$3990,A301,Data!$J$2:$J$3990,1)</f>
        <v>13.68</v>
      </c>
      <c r="D301" s="6" t="str">
        <f aca="false">IF(C301&gt;10000,"HIGH VALUE","")</f>
        <v/>
      </c>
    </row>
    <row r="302" customFormat="false" ht="15" hidden="false" customHeight="false" outlineLevel="0" collapsed="false">
      <c r="A302" s="6" t="s">
        <v>383</v>
      </c>
      <c r="B302" s="6" t="str">
        <f aca="false">INDEX(Data!$H$2:$H$3990,MATCH(A302,Data!$A$2:$A$3990,0))</f>
        <v>EIRE</v>
      </c>
      <c r="C302" s="19" t="n">
        <f aca="false">SUMIFS(Data!$I$2:$I$3990,Data!$A$2:$A$3990,A302,Data!$J$2:$J$3990,1)</f>
        <v>172.22</v>
      </c>
      <c r="D302" s="6" t="str">
        <f aca="false">IF(C302&gt;10000,"HIGH VALUE","")</f>
        <v/>
      </c>
    </row>
    <row r="303" customFormat="false" ht="15" hidden="false" customHeight="false" outlineLevel="0" collapsed="false">
      <c r="A303" s="6" t="s">
        <v>384</v>
      </c>
      <c r="B303" s="6" t="str">
        <f aca="false">INDEX(Data!$H$2:$H$3990,MATCH(A303,Data!$A$2:$A$3990,0))</f>
        <v>France</v>
      </c>
      <c r="C303" s="19" t="n">
        <f aca="false">SUMIFS(Data!$I$2:$I$3990,Data!$A$2:$A$3990,A303,Data!$J$2:$J$3990,1)</f>
        <v>11.61</v>
      </c>
      <c r="D303" s="6" t="str">
        <f aca="false">IF(C303&gt;10000,"HIGH VALUE","")</f>
        <v/>
      </c>
    </row>
    <row r="304" customFormat="false" ht="15" hidden="false" customHeight="false" outlineLevel="0" collapsed="false">
      <c r="A304" s="6" t="s">
        <v>386</v>
      </c>
      <c r="B304" s="6" t="str">
        <f aca="false">INDEX(Data!$H$2:$H$3990,MATCH(A304,Data!$A$2:$A$3990,0))</f>
        <v>United Kingdom</v>
      </c>
      <c r="C304" s="19" t="n">
        <f aca="false">SUMIFS(Data!$I$2:$I$3990,Data!$A$2:$A$3990,A304,Data!$J$2:$J$3990,1)</f>
        <v>8.64</v>
      </c>
      <c r="D304" s="6" t="str">
        <f aca="false">IF(C304&gt;10000,"HIGH VALUE","")</f>
        <v/>
      </c>
    </row>
    <row r="305" customFormat="false" ht="15" hidden="false" customHeight="false" outlineLevel="0" collapsed="false">
      <c r="A305" s="6" t="s">
        <v>385</v>
      </c>
      <c r="B305" s="6" t="str">
        <f aca="false">INDEX(Data!$H$2:$H$3990,MATCH(A305,Data!$A$2:$A$3990,0))</f>
        <v>United Kingdom</v>
      </c>
      <c r="C305" s="19" t="n">
        <f aca="false">SUMIFS(Data!$I$2:$I$3990,Data!$A$2:$A$3990,A305,Data!$J$2:$J$3990,1)</f>
        <v>18.57</v>
      </c>
      <c r="D305" s="6" t="str">
        <f aca="false">IF(C305&gt;10000,"HIGH VALUE","")</f>
        <v/>
      </c>
    </row>
    <row r="306" customFormat="false" ht="15" hidden="false" customHeight="false" outlineLevel="0" collapsed="false">
      <c r="A306" s="6" t="s">
        <v>387</v>
      </c>
      <c r="B306" s="6" t="str">
        <f aca="false">INDEX(Data!$H$2:$H$3990,MATCH(A306,Data!$A$2:$A$3990,0))</f>
        <v>United Kingdom</v>
      </c>
      <c r="C306" s="19" t="n">
        <f aca="false">SUMIFS(Data!$I$2:$I$3990,Data!$A$2:$A$3990,A306,Data!$J$2:$J$3990,1)</f>
        <v>4.32</v>
      </c>
      <c r="D306" s="6" t="str">
        <f aca="false">IF(C306&gt;10000,"HIGH VALUE","")</f>
        <v/>
      </c>
    </row>
    <row r="307" customFormat="false" ht="15" hidden="false" customHeight="false" outlineLevel="0" collapsed="false">
      <c r="A307" s="6" t="s">
        <v>391</v>
      </c>
      <c r="B307" s="6" t="str">
        <f aca="false">INDEX(Data!$H$2:$H$3990,MATCH(A307,Data!$A$2:$A$3990,0))</f>
        <v>United Kingdom</v>
      </c>
      <c r="C307" s="19" t="n">
        <f aca="false">SUMIFS(Data!$I$2:$I$3990,Data!$A$2:$A$3990,A307,Data!$J$2:$J$3990,1)</f>
        <v>851.28</v>
      </c>
      <c r="D307" s="6" t="str">
        <f aca="false">IF(C307&gt;10000,"HIGH VALUE","")</f>
        <v/>
      </c>
    </row>
    <row r="308" customFormat="false" ht="15" hidden="false" customHeight="false" outlineLevel="0" collapsed="false">
      <c r="A308" s="6" t="s">
        <v>390</v>
      </c>
      <c r="B308" s="6" t="str">
        <f aca="false">INDEX(Data!$H$2:$H$3990,MATCH(A308,Data!$A$2:$A$3990,0))</f>
        <v>United Kingdom</v>
      </c>
      <c r="C308" s="19" t="n">
        <f aca="false">SUMIFS(Data!$I$2:$I$3990,Data!$A$2:$A$3990,A308,Data!$J$2:$J$3990,1)</f>
        <v>753.6</v>
      </c>
      <c r="D308" s="6" t="str">
        <f aca="false">IF(C308&gt;10000,"HIGH VALUE","")</f>
        <v/>
      </c>
    </row>
    <row r="309" customFormat="false" ht="15" hidden="false" customHeight="false" outlineLevel="0" collapsed="false">
      <c r="A309" s="6" t="s">
        <v>388</v>
      </c>
      <c r="B309" s="6" t="str">
        <f aca="false">INDEX(Data!$H$2:$H$3990,MATCH(A309,Data!$A$2:$A$3990,0))</f>
        <v>France</v>
      </c>
      <c r="C309" s="19" t="n">
        <f aca="false">SUMIFS(Data!$I$2:$I$3990,Data!$A$2:$A$3990,A309,Data!$J$2:$J$3990,1)</f>
        <v>21.4</v>
      </c>
      <c r="D309" s="6" t="str">
        <f aca="false">IF(C309&gt;10000,"HIGH VALUE","")</f>
        <v/>
      </c>
    </row>
    <row r="310" customFormat="false" ht="15" hidden="false" customHeight="false" outlineLevel="0" collapsed="false">
      <c r="A310" s="6" t="s">
        <v>389</v>
      </c>
      <c r="B310" s="6" t="str">
        <f aca="false">INDEX(Data!$H$2:$H$3990,MATCH(A310,Data!$A$2:$A$3990,0))</f>
        <v>EIRE</v>
      </c>
      <c r="C310" s="19" t="n">
        <f aca="false">SUMIFS(Data!$I$2:$I$3990,Data!$A$2:$A$3990,A310,Data!$J$2:$J$3990,1)</f>
        <v>238.16</v>
      </c>
      <c r="D310" s="6" t="str">
        <f aca="false">IF(C310&gt;10000,"HIGH VALUE","")</f>
        <v/>
      </c>
    </row>
    <row r="311" customFormat="false" ht="15" hidden="false" customHeight="false" outlineLevel="0" collapsed="false">
      <c r="A311" s="6" t="s">
        <v>392</v>
      </c>
      <c r="B311" s="6" t="str">
        <f aca="false">INDEX(Data!$H$2:$H$3990,MATCH(A311,Data!$A$2:$A$3990,0))</f>
        <v>United Kingdom</v>
      </c>
      <c r="C311" s="19" t="n">
        <f aca="false">SUMIFS(Data!$I$2:$I$3990,Data!$A$2:$A$3990,A311,Data!$J$2:$J$3990,1)</f>
        <v>9.52</v>
      </c>
      <c r="D311" s="6" t="str">
        <f aca="false">IF(C311&gt;10000,"HIGH VALUE","")</f>
        <v/>
      </c>
    </row>
    <row r="312" customFormat="false" ht="15" hidden="false" customHeight="false" outlineLevel="0" collapsed="false">
      <c r="A312" s="6" t="s">
        <v>393</v>
      </c>
      <c r="B312" s="6" t="str">
        <f aca="false">INDEX(Data!$H$2:$H$3990,MATCH(A312,Data!$A$2:$A$3990,0))</f>
        <v>Belgium</v>
      </c>
      <c r="C312" s="19" t="n">
        <f aca="false">SUMIFS(Data!$I$2:$I$3990,Data!$A$2:$A$3990,A312,Data!$J$2:$J$3990,1)</f>
        <v>837.84</v>
      </c>
      <c r="D312" s="6" t="str">
        <f aca="false">IF(C312&gt;10000,"HIGH VALUE","")</f>
        <v/>
      </c>
    </row>
    <row r="313" customFormat="false" ht="15" hidden="false" customHeight="false" outlineLevel="0" collapsed="false">
      <c r="A313" s="6" t="s">
        <v>394</v>
      </c>
      <c r="B313" s="6" t="str">
        <f aca="false">INDEX(Data!$H$2:$H$3990,MATCH(A313,Data!$A$2:$A$3990,0))</f>
        <v>United Kingdom</v>
      </c>
      <c r="C313" s="19" t="n">
        <f aca="false">SUMIFS(Data!$I$2:$I$3990,Data!$A$2:$A$3990,A313,Data!$J$2:$J$3990,1)</f>
        <v>113.42</v>
      </c>
      <c r="D313" s="6" t="str">
        <f aca="false">IF(C313&gt;10000,"HIGH VALUE","")</f>
        <v/>
      </c>
    </row>
    <row r="314" customFormat="false" ht="15" hidden="false" customHeight="false" outlineLevel="0" collapsed="false">
      <c r="A314" s="6" t="s">
        <v>395</v>
      </c>
      <c r="B314" s="6" t="str">
        <f aca="false">INDEX(Data!$H$2:$H$3990,MATCH(A314,Data!$A$2:$A$3990,0))</f>
        <v>United Kingdom</v>
      </c>
      <c r="C314" s="19" t="n">
        <f aca="false">SUMIFS(Data!$I$2:$I$3990,Data!$A$2:$A$3990,A314,Data!$J$2:$J$3990,1)</f>
        <v>57.36</v>
      </c>
      <c r="D314" s="6" t="str">
        <f aca="false">IF(C314&gt;10000,"HIGH VALUE","")</f>
        <v/>
      </c>
    </row>
    <row r="315" customFormat="false" ht="15" hidden="false" customHeight="false" outlineLevel="0" collapsed="false">
      <c r="A315" s="6" t="s">
        <v>396</v>
      </c>
      <c r="B315" s="6" t="str">
        <f aca="false">INDEX(Data!$H$2:$H$3990,MATCH(A315,Data!$A$2:$A$3990,0))</f>
        <v>United Kingdom</v>
      </c>
      <c r="C315" s="19" t="n">
        <f aca="false">SUMIFS(Data!$I$2:$I$3990,Data!$A$2:$A$3990,A315,Data!$J$2:$J$3990,1)</f>
        <v>218.05</v>
      </c>
      <c r="D315" s="6" t="str">
        <f aca="false">IF(C315&gt;10000,"HIGH VALUE","")</f>
        <v/>
      </c>
    </row>
    <row r="316" customFormat="false" ht="15" hidden="false" customHeight="false" outlineLevel="0" collapsed="false">
      <c r="A316" s="6" t="s">
        <v>397</v>
      </c>
      <c r="B316" s="6" t="str">
        <f aca="false">INDEX(Data!$H$2:$H$3990,MATCH(A316,Data!$A$2:$A$3990,0))</f>
        <v>United Kingdom</v>
      </c>
      <c r="C316" s="19" t="n">
        <f aca="false">SUMIFS(Data!$I$2:$I$3990,Data!$A$2:$A$3990,A316,Data!$J$2:$J$3990,1)</f>
        <v>4.85</v>
      </c>
      <c r="D316" s="6" t="str">
        <f aca="false">IF(C316&gt;10000,"HIGH VALUE","")</f>
        <v/>
      </c>
    </row>
    <row r="317" customFormat="false" ht="15" hidden="false" customHeight="false" outlineLevel="0" collapsed="false">
      <c r="A317" s="6" t="s">
        <v>398</v>
      </c>
      <c r="B317" s="6" t="str">
        <f aca="false">INDEX(Data!$H$2:$H$3990,MATCH(A317,Data!$A$2:$A$3990,0))</f>
        <v>United Kingdom</v>
      </c>
      <c r="C317" s="19" t="n">
        <f aca="false">SUMIFS(Data!$I$2:$I$3990,Data!$A$2:$A$3990,A317,Data!$J$2:$J$3990,1)</f>
        <v>33.96</v>
      </c>
      <c r="D317" s="6" t="str">
        <f aca="false">IF(C317&gt;10000,"HIGH VALUE","")</f>
        <v/>
      </c>
    </row>
    <row r="318" customFormat="false" ht="15" hidden="false" customHeight="false" outlineLevel="0" collapsed="false">
      <c r="A318" s="6" t="s">
        <v>400</v>
      </c>
      <c r="B318" s="6" t="str">
        <f aca="false">INDEX(Data!$H$2:$H$3990,MATCH(A318,Data!$A$2:$A$3990,0))</f>
        <v>United Kingdom</v>
      </c>
      <c r="C318" s="19" t="n">
        <f aca="false">SUMIFS(Data!$I$2:$I$3990,Data!$A$2:$A$3990,A318,Data!$J$2:$J$3990,1)</f>
        <v>11.85</v>
      </c>
      <c r="D318" s="6" t="str">
        <f aca="false">IF(C318&gt;10000,"HIGH VALUE","")</f>
        <v/>
      </c>
    </row>
    <row r="319" customFormat="false" ht="15" hidden="false" customHeight="false" outlineLevel="0" collapsed="false">
      <c r="A319" s="6" t="s">
        <v>399</v>
      </c>
      <c r="B319" s="6" t="str">
        <f aca="false">INDEX(Data!$H$2:$H$3990,MATCH(A319,Data!$A$2:$A$3990,0))</f>
        <v>United Kingdom</v>
      </c>
      <c r="C319" s="19" t="n">
        <f aca="false">SUMIFS(Data!$I$2:$I$3990,Data!$A$2:$A$3990,A319,Data!$J$2:$J$3990,1)</f>
        <v>40.18</v>
      </c>
      <c r="D319" s="6" t="str">
        <f aca="false">IF(C319&gt;10000,"HIGH VALUE","")</f>
        <v/>
      </c>
    </row>
    <row r="320" customFormat="false" ht="15" hidden="false" customHeight="false" outlineLevel="0" collapsed="false">
      <c r="A320" s="6" t="s">
        <v>401</v>
      </c>
      <c r="B320" s="6" t="str">
        <f aca="false">INDEX(Data!$H$2:$H$3990,MATCH(A320,Data!$A$2:$A$3990,0))</f>
        <v>United Kingdom</v>
      </c>
      <c r="C320" s="19" t="n">
        <f aca="false">SUMIFS(Data!$I$2:$I$3990,Data!$A$2:$A$3990,A320,Data!$J$2:$J$3990,1)</f>
        <v>160.47</v>
      </c>
      <c r="D320" s="6" t="str">
        <f aca="false">IF(C320&gt;10000,"HIGH VALUE","")</f>
        <v/>
      </c>
    </row>
    <row r="321" customFormat="false" ht="15" hidden="false" customHeight="false" outlineLevel="0" collapsed="false">
      <c r="A321" s="6" t="s">
        <v>402</v>
      </c>
      <c r="B321" s="6" t="str">
        <f aca="false">INDEX(Data!$H$2:$H$3990,MATCH(A321,Data!$A$2:$A$3990,0))</f>
        <v>United Kingdom</v>
      </c>
      <c r="C321" s="19" t="n">
        <f aca="false">SUMIFS(Data!$I$2:$I$3990,Data!$A$2:$A$3990,A321,Data!$J$2:$J$3990,1)</f>
        <v>136.77</v>
      </c>
      <c r="D321" s="6" t="str">
        <f aca="false">IF(C321&gt;10000,"HIGH VALUE","")</f>
        <v/>
      </c>
    </row>
    <row r="322" customFormat="false" ht="15" hidden="false" customHeight="false" outlineLevel="0" collapsed="false">
      <c r="A322" s="6" t="s">
        <v>403</v>
      </c>
      <c r="B322" s="6" t="str">
        <f aca="false">INDEX(Data!$H$2:$H$3990,MATCH(A322,Data!$A$2:$A$3990,0))</f>
        <v>United Kingdom</v>
      </c>
      <c r="C322" s="19" t="n">
        <f aca="false">SUMIFS(Data!$I$2:$I$3990,Data!$A$2:$A$3990,A322,Data!$J$2:$J$3990,1)</f>
        <v>82.74</v>
      </c>
      <c r="D322" s="6" t="str">
        <f aca="false">IF(C322&gt;10000,"HIGH VALUE","")</f>
        <v/>
      </c>
    </row>
    <row r="323" customFormat="false" ht="15" hidden="false" customHeight="false" outlineLevel="0" collapsed="false">
      <c r="A323" s="6" t="s">
        <v>404</v>
      </c>
      <c r="B323" s="6" t="str">
        <f aca="false">INDEX(Data!$H$2:$H$3990,MATCH(A323,Data!$A$2:$A$3990,0))</f>
        <v>United Kingdom</v>
      </c>
      <c r="C323" s="19" t="n">
        <f aca="false">SUMIFS(Data!$I$2:$I$3990,Data!$A$2:$A$3990,A323,Data!$J$2:$J$3990,1)</f>
        <v>50.92</v>
      </c>
      <c r="D323" s="6" t="str">
        <f aca="false">IF(C323&gt;10000,"HIGH VALUE","")</f>
        <v/>
      </c>
    </row>
    <row r="324" customFormat="false" ht="15" hidden="false" customHeight="false" outlineLevel="0" collapsed="false">
      <c r="A324" s="6" t="s">
        <v>406</v>
      </c>
      <c r="B324" s="6" t="str">
        <f aca="false">INDEX(Data!$H$2:$H$3990,MATCH(A324,Data!$A$2:$A$3990,0))</f>
        <v>United Kingdom</v>
      </c>
      <c r="C324" s="19" t="n">
        <f aca="false">SUMIFS(Data!$I$2:$I$3990,Data!$A$2:$A$3990,A324,Data!$J$2:$J$3990,1)</f>
        <v>94.23</v>
      </c>
      <c r="D324" s="6" t="str">
        <f aca="false">IF(C324&gt;10000,"HIGH VALUE","")</f>
        <v/>
      </c>
    </row>
    <row r="325" customFormat="false" ht="15" hidden="false" customHeight="false" outlineLevel="0" collapsed="false">
      <c r="A325" s="6" t="s">
        <v>405</v>
      </c>
      <c r="B325" s="6" t="str">
        <f aca="false">INDEX(Data!$H$2:$H$3990,MATCH(A325,Data!$A$2:$A$3990,0))</f>
        <v>United Kingdom</v>
      </c>
      <c r="C325" s="19" t="n">
        <f aca="false">SUMIFS(Data!$I$2:$I$3990,Data!$A$2:$A$3990,A325,Data!$J$2:$J$3990,1)</f>
        <v>424.92</v>
      </c>
      <c r="D325" s="6" t="str">
        <f aca="false">IF(C325&gt;10000,"HIGH VALUE","")</f>
        <v/>
      </c>
    </row>
    <row r="326" customFormat="false" ht="15" hidden="false" customHeight="false" outlineLevel="0" collapsed="false">
      <c r="A326" s="6" t="s">
        <v>409</v>
      </c>
      <c r="B326" s="6" t="str">
        <f aca="false">INDEX(Data!$H$2:$H$3990,MATCH(A326,Data!$A$2:$A$3990,0))</f>
        <v>EIRE</v>
      </c>
      <c r="C326" s="19" t="n">
        <f aca="false">SUMIFS(Data!$I$2:$I$3990,Data!$A$2:$A$3990,A326,Data!$J$2:$J$3990,1)</f>
        <v>78.14</v>
      </c>
      <c r="D326" s="6" t="str">
        <f aca="false">IF(C326&gt;10000,"HIGH VALUE","")</f>
        <v/>
      </c>
    </row>
    <row r="327" customFormat="false" ht="15" hidden="false" customHeight="false" outlineLevel="0" collapsed="false">
      <c r="A327" s="6" t="s">
        <v>408</v>
      </c>
      <c r="B327" s="6" t="str">
        <f aca="false">INDEX(Data!$H$2:$H$3990,MATCH(A327,Data!$A$2:$A$3990,0))</f>
        <v>United Kingdom</v>
      </c>
      <c r="C327" s="19" t="n">
        <f aca="false">SUMIFS(Data!$I$2:$I$3990,Data!$A$2:$A$3990,A327,Data!$J$2:$J$3990,1)</f>
        <v>88.95</v>
      </c>
      <c r="D327" s="6" t="str">
        <f aca="false">IF(C327&gt;10000,"HIGH VALUE","")</f>
        <v/>
      </c>
    </row>
    <row r="328" customFormat="false" ht="15" hidden="false" customHeight="false" outlineLevel="0" collapsed="false">
      <c r="A328" s="6" t="s">
        <v>407</v>
      </c>
      <c r="B328" s="6" t="str">
        <f aca="false">INDEX(Data!$H$2:$H$3990,MATCH(A328,Data!$A$2:$A$3990,0))</f>
        <v>France</v>
      </c>
      <c r="C328" s="19" t="n">
        <f aca="false">SUMIFS(Data!$I$2:$I$3990,Data!$A$2:$A$3990,A328,Data!$J$2:$J$3990,1)</f>
        <v>26.33</v>
      </c>
      <c r="D328" s="6" t="str">
        <f aca="false">IF(C328&gt;10000,"HIGH VALUE","")</f>
        <v/>
      </c>
    </row>
    <row r="329" customFormat="false" ht="15" hidden="false" customHeight="false" outlineLevel="0" collapsed="false">
      <c r="A329" s="6" t="s">
        <v>410</v>
      </c>
      <c r="B329" s="6" t="str">
        <f aca="false">INDEX(Data!$H$2:$H$3990,MATCH(A329,Data!$A$2:$A$3990,0))</f>
        <v>United Kingdom</v>
      </c>
      <c r="C329" s="19" t="n">
        <f aca="false">SUMIFS(Data!$I$2:$I$3990,Data!$A$2:$A$3990,A329,Data!$J$2:$J$3990,1)</f>
        <v>17.62</v>
      </c>
      <c r="D329" s="6" t="str">
        <f aca="false">IF(C329&gt;10000,"HIGH VALUE","")</f>
        <v/>
      </c>
    </row>
    <row r="330" customFormat="false" ht="15" hidden="false" customHeight="false" outlineLevel="0" collapsed="false">
      <c r="A330" s="6" t="s">
        <v>411</v>
      </c>
      <c r="B330" s="6" t="str">
        <f aca="false">INDEX(Data!$H$2:$H$3990,MATCH(A330,Data!$A$2:$A$3990,0))</f>
        <v>United Kingdom</v>
      </c>
      <c r="C330" s="19" t="n">
        <f aca="false">SUMIFS(Data!$I$2:$I$3990,Data!$A$2:$A$3990,A330,Data!$J$2:$J$3990,1)</f>
        <v>318.03</v>
      </c>
      <c r="D330" s="6" t="str">
        <f aca="false">IF(C330&gt;10000,"HIGH VALUE","")</f>
        <v/>
      </c>
    </row>
    <row r="331" customFormat="false" ht="15" hidden="false" customHeight="false" outlineLevel="0" collapsed="false">
      <c r="A331" s="6" t="s">
        <v>412</v>
      </c>
      <c r="B331" s="6" t="str">
        <f aca="false">INDEX(Data!$H$2:$H$3990,MATCH(A331,Data!$A$2:$A$3990,0))</f>
        <v>United Kingdom</v>
      </c>
      <c r="C331" s="19" t="n">
        <f aca="false">SUMIFS(Data!$I$2:$I$3990,Data!$A$2:$A$3990,A331,Data!$J$2:$J$3990,1)</f>
        <v>109.44</v>
      </c>
      <c r="D331" s="6" t="str">
        <f aca="false">IF(C331&gt;10000,"HIGH VALUE","")</f>
        <v/>
      </c>
    </row>
    <row r="332" customFormat="false" ht="15" hidden="false" customHeight="false" outlineLevel="0" collapsed="false">
      <c r="A332" s="6" t="s">
        <v>413</v>
      </c>
      <c r="B332" s="6" t="str">
        <f aca="false">INDEX(Data!$H$2:$H$3990,MATCH(A332,Data!$A$2:$A$3990,0))</f>
        <v>United Kingdom</v>
      </c>
      <c r="C332" s="19" t="n">
        <f aca="false">SUMIFS(Data!$I$2:$I$3990,Data!$A$2:$A$3990,A332,Data!$J$2:$J$3990,1)</f>
        <v>33.72</v>
      </c>
      <c r="D332" s="6" t="str">
        <f aca="false">IF(C332&gt;10000,"HIGH VALUE","")</f>
        <v/>
      </c>
    </row>
    <row r="333" customFormat="false" ht="15" hidden="false" customHeight="false" outlineLevel="0" collapsed="false">
      <c r="A333" s="6" t="s">
        <v>414</v>
      </c>
      <c r="B333" s="6" t="str">
        <f aca="false">INDEX(Data!$H$2:$H$3990,MATCH(A333,Data!$A$2:$A$3990,0))</f>
        <v>United Kingdom</v>
      </c>
      <c r="C333" s="19" t="n">
        <f aca="false">SUMIFS(Data!$I$2:$I$3990,Data!$A$2:$A$3990,A333,Data!$J$2:$J$3990,1)</f>
        <v>117.7</v>
      </c>
      <c r="D333" s="6" t="str">
        <f aca="false">IF(C333&gt;10000,"HIGH VALUE","")</f>
        <v/>
      </c>
    </row>
    <row r="334" customFormat="false" ht="15" hidden="false" customHeight="false" outlineLevel="0" collapsed="false">
      <c r="A334" s="6" t="s">
        <v>415</v>
      </c>
      <c r="B334" s="6" t="str">
        <f aca="false">INDEX(Data!$H$2:$H$3990,MATCH(A334,Data!$A$2:$A$3990,0))</f>
        <v>France</v>
      </c>
      <c r="C334" s="19" t="n">
        <f aca="false">SUMIFS(Data!$I$2:$I$3990,Data!$A$2:$A$3990,A334,Data!$J$2:$J$3990,1)</f>
        <v>37.68</v>
      </c>
      <c r="D334" s="6" t="str">
        <f aca="false">IF(C334&gt;10000,"HIGH VALUE","")</f>
        <v/>
      </c>
    </row>
    <row r="335" customFormat="false" ht="15" hidden="false" customHeight="false" outlineLevel="0" collapsed="false">
      <c r="A335" s="6" t="s">
        <v>417</v>
      </c>
      <c r="B335" s="6" t="str">
        <f aca="false">INDEX(Data!$H$2:$H$3990,MATCH(A335,Data!$A$2:$A$3990,0))</f>
        <v>Germany</v>
      </c>
      <c r="C335" s="19" t="n">
        <f aca="false">SUMIFS(Data!$I$2:$I$3990,Data!$A$2:$A$3990,A335,Data!$J$2:$J$3990,1)</f>
        <v>120.98</v>
      </c>
      <c r="D335" s="6" t="str">
        <f aca="false">IF(C335&gt;10000,"HIGH VALUE","")</f>
        <v/>
      </c>
    </row>
    <row r="336" customFormat="false" ht="15" hidden="false" customHeight="false" outlineLevel="0" collapsed="false">
      <c r="A336" s="6" t="s">
        <v>416</v>
      </c>
      <c r="B336" s="6" t="str">
        <f aca="false">INDEX(Data!$H$2:$H$3990,MATCH(A336,Data!$A$2:$A$3990,0))</f>
        <v>United Kingdom</v>
      </c>
      <c r="C336" s="19" t="n">
        <f aca="false">SUMIFS(Data!$I$2:$I$3990,Data!$A$2:$A$3990,A336,Data!$J$2:$J$3990,1)</f>
        <v>50.88</v>
      </c>
      <c r="D336" s="6" t="str">
        <f aca="false">IF(C336&gt;10000,"HIGH VALUE","")</f>
        <v/>
      </c>
    </row>
    <row r="337" customFormat="false" ht="15" hidden="false" customHeight="false" outlineLevel="0" collapsed="false">
      <c r="A337" s="6" t="s">
        <v>418</v>
      </c>
      <c r="B337" s="6" t="str">
        <f aca="false">INDEX(Data!$H$2:$H$3990,MATCH(A337,Data!$A$2:$A$3990,0))</f>
        <v>United Kingdom</v>
      </c>
      <c r="C337" s="19" t="n">
        <f aca="false">SUMIFS(Data!$I$2:$I$3990,Data!$A$2:$A$3990,A337,Data!$J$2:$J$3990,1)</f>
        <v>40.92</v>
      </c>
      <c r="D337" s="6" t="str">
        <f aca="false">IF(C337&gt;10000,"HIGH VALUE","")</f>
        <v/>
      </c>
    </row>
    <row r="338" customFormat="false" ht="15" hidden="false" customHeight="false" outlineLevel="0" collapsed="false">
      <c r="A338" s="6" t="s">
        <v>419</v>
      </c>
      <c r="B338" s="6" t="str">
        <f aca="false">INDEX(Data!$H$2:$H$3990,MATCH(A338,Data!$A$2:$A$3990,0))</f>
        <v>United Kingdom</v>
      </c>
      <c r="C338" s="19" t="n">
        <f aca="false">SUMIFS(Data!$I$2:$I$3990,Data!$A$2:$A$3990,A338,Data!$J$2:$J$3990,1)</f>
        <v>2.38</v>
      </c>
      <c r="D338" s="6" t="str">
        <f aca="false">IF(C338&gt;10000,"HIGH VALUE","")</f>
        <v/>
      </c>
    </row>
    <row r="339" customFormat="false" ht="15" hidden="false" customHeight="false" outlineLevel="0" collapsed="false">
      <c r="A339" s="6" t="s">
        <v>420</v>
      </c>
      <c r="B339" s="6" t="str">
        <f aca="false">INDEX(Data!$H$2:$H$3990,MATCH(A339,Data!$A$2:$A$3990,0))</f>
        <v>United Kingdom</v>
      </c>
      <c r="C339" s="19" t="n">
        <f aca="false">SUMIFS(Data!$I$2:$I$3990,Data!$A$2:$A$3990,A339,Data!$J$2:$J$3990,1)</f>
        <v>148.75</v>
      </c>
      <c r="D339" s="6" t="str">
        <f aca="false">IF(C339&gt;10000,"HIGH VALUE","")</f>
        <v/>
      </c>
    </row>
    <row r="340" customFormat="false" ht="15" hidden="false" customHeight="false" outlineLevel="0" collapsed="false">
      <c r="A340" s="6" t="s">
        <v>422</v>
      </c>
      <c r="B340" s="6" t="str">
        <f aca="false">INDEX(Data!$H$2:$H$3990,MATCH(A340,Data!$A$2:$A$3990,0))</f>
        <v>United Kingdom</v>
      </c>
      <c r="C340" s="19" t="n">
        <f aca="false">SUMIFS(Data!$I$2:$I$3990,Data!$A$2:$A$3990,A340,Data!$J$2:$J$3990,1)</f>
        <v>63.6</v>
      </c>
      <c r="D340" s="6" t="str">
        <f aca="false">IF(C340&gt;10000,"HIGH VALUE","")</f>
        <v/>
      </c>
    </row>
    <row r="341" customFormat="false" ht="15" hidden="false" customHeight="false" outlineLevel="0" collapsed="false">
      <c r="A341" s="6" t="s">
        <v>421</v>
      </c>
      <c r="B341" s="6" t="str">
        <f aca="false">INDEX(Data!$H$2:$H$3990,MATCH(A341,Data!$A$2:$A$3990,0))</f>
        <v>United Kingdom</v>
      </c>
      <c r="C341" s="19" t="n">
        <f aca="false">SUMIFS(Data!$I$2:$I$3990,Data!$A$2:$A$3990,A341,Data!$J$2:$J$3990,1)</f>
        <v>84.04</v>
      </c>
      <c r="D341" s="6" t="str">
        <f aca="false">IF(C341&gt;10000,"HIGH VALUE","")</f>
        <v/>
      </c>
    </row>
    <row r="342" customFormat="false" ht="15" hidden="false" customHeight="false" outlineLevel="0" collapsed="false">
      <c r="A342" s="6" t="s">
        <v>424</v>
      </c>
      <c r="B342" s="6" t="str">
        <f aca="false">INDEX(Data!$H$2:$H$3990,MATCH(A342,Data!$A$2:$A$3990,0))</f>
        <v>France</v>
      </c>
      <c r="C342" s="19" t="n">
        <f aca="false">SUMIFS(Data!$I$2:$I$3990,Data!$A$2:$A$3990,A342,Data!$J$2:$J$3990,1)</f>
        <v>160.7</v>
      </c>
      <c r="D342" s="6" t="str">
        <f aca="false">IF(C342&gt;10000,"HIGH VALUE","")</f>
        <v/>
      </c>
    </row>
    <row r="343" customFormat="false" ht="15" hidden="false" customHeight="false" outlineLevel="0" collapsed="false">
      <c r="A343" s="6" t="s">
        <v>423</v>
      </c>
      <c r="B343" s="6" t="str">
        <f aca="false">INDEX(Data!$H$2:$H$3990,MATCH(A343,Data!$A$2:$A$3990,0))</f>
        <v>Netherlands</v>
      </c>
      <c r="C343" s="19" t="n">
        <f aca="false">SUMIFS(Data!$I$2:$I$3990,Data!$A$2:$A$3990,A343,Data!$J$2:$J$3990,1)</f>
        <v>272.94</v>
      </c>
      <c r="D343" s="6" t="str">
        <f aca="false">IF(C343&gt;10000,"HIGH VALUE","")</f>
        <v/>
      </c>
    </row>
    <row r="344" customFormat="false" ht="15" hidden="false" customHeight="false" outlineLevel="0" collapsed="false">
      <c r="A344" s="6" t="s">
        <v>425</v>
      </c>
      <c r="B344" s="6" t="str">
        <f aca="false">INDEX(Data!$H$2:$H$3990,MATCH(A344,Data!$A$2:$A$3990,0))</f>
        <v>United Kingdom</v>
      </c>
      <c r="C344" s="19" t="n">
        <f aca="false">SUMIFS(Data!$I$2:$I$3990,Data!$A$2:$A$3990,A344,Data!$J$2:$J$3990,1)</f>
        <v>147.14</v>
      </c>
      <c r="D344" s="6" t="str">
        <f aca="false">IF(C344&gt;10000,"HIGH VALUE","")</f>
        <v/>
      </c>
    </row>
    <row r="345" customFormat="false" ht="15" hidden="false" customHeight="false" outlineLevel="0" collapsed="false">
      <c r="A345" s="6" t="s">
        <v>426</v>
      </c>
      <c r="B345" s="6" t="str">
        <f aca="false">INDEX(Data!$H$2:$H$3990,MATCH(A345,Data!$A$2:$A$3990,0))</f>
        <v>United Kingdom</v>
      </c>
      <c r="C345" s="19" t="n">
        <f aca="false">SUMIFS(Data!$I$2:$I$3990,Data!$A$2:$A$3990,A345,Data!$J$2:$J$3990,1)</f>
        <v>399.47</v>
      </c>
      <c r="D345" s="6" t="str">
        <f aca="false">IF(C345&gt;10000,"HIGH VALUE","")</f>
        <v/>
      </c>
    </row>
    <row r="346" customFormat="false" ht="15" hidden="false" customHeight="false" outlineLevel="0" collapsed="false">
      <c r="A346" s="6" t="s">
        <v>427</v>
      </c>
      <c r="B346" s="6" t="str">
        <f aca="false">INDEX(Data!$H$2:$H$3990,MATCH(A346,Data!$A$2:$A$3990,0))</f>
        <v>United Kingdom</v>
      </c>
      <c r="C346" s="19" t="n">
        <f aca="false">SUMIFS(Data!$I$2:$I$3990,Data!$A$2:$A$3990,A346,Data!$J$2:$J$3990,1)</f>
        <v>3265.2</v>
      </c>
      <c r="D346" s="6" t="str">
        <f aca="false">IF(C346&gt;10000,"HIGH VALUE","")</f>
        <v/>
      </c>
    </row>
    <row r="347" customFormat="false" ht="15" hidden="false" customHeight="false" outlineLevel="0" collapsed="false">
      <c r="A347" s="6" t="s">
        <v>430</v>
      </c>
      <c r="B347" s="6" t="str">
        <f aca="false">INDEX(Data!$H$2:$H$3990,MATCH(A347,Data!$A$2:$A$3990,0))</f>
        <v>United Kingdom</v>
      </c>
      <c r="C347" s="19" t="n">
        <f aca="false">SUMIFS(Data!$I$2:$I$3990,Data!$A$2:$A$3990,A347,Data!$J$2:$J$3990,1)</f>
        <v>47.29</v>
      </c>
      <c r="D347" s="6" t="str">
        <f aca="false">IF(C347&gt;10000,"HIGH VALUE","")</f>
        <v/>
      </c>
    </row>
    <row r="348" customFormat="false" ht="15" hidden="false" customHeight="false" outlineLevel="0" collapsed="false">
      <c r="A348" s="6" t="s">
        <v>428</v>
      </c>
      <c r="B348" s="6" t="str">
        <f aca="false">INDEX(Data!$H$2:$H$3990,MATCH(A348,Data!$A$2:$A$3990,0))</f>
        <v>United Kingdom</v>
      </c>
      <c r="C348" s="19" t="n">
        <f aca="false">SUMIFS(Data!$I$2:$I$3990,Data!$A$2:$A$3990,A348,Data!$J$2:$J$3990,1)</f>
        <v>79.89</v>
      </c>
      <c r="D348" s="6" t="str">
        <f aca="false">IF(C348&gt;10000,"HIGH VALUE","")</f>
        <v/>
      </c>
    </row>
    <row r="349" customFormat="false" ht="15" hidden="false" customHeight="false" outlineLevel="0" collapsed="false">
      <c r="A349" s="6" t="s">
        <v>429</v>
      </c>
      <c r="B349" s="6" t="str">
        <f aca="false">INDEX(Data!$H$2:$H$3990,MATCH(A349,Data!$A$2:$A$3990,0))</f>
        <v>Germany</v>
      </c>
      <c r="C349" s="19" t="n">
        <f aca="false">SUMIFS(Data!$I$2:$I$3990,Data!$A$2:$A$3990,A349,Data!$J$2:$J$3990,1)</f>
        <v>26.46</v>
      </c>
      <c r="D349" s="6" t="str">
        <f aca="false">IF(C349&gt;10000,"HIGH VALUE","")</f>
        <v/>
      </c>
    </row>
    <row r="350" customFormat="false" ht="15" hidden="false" customHeight="false" outlineLevel="0" collapsed="false">
      <c r="A350" s="6" t="s">
        <v>431</v>
      </c>
      <c r="B350" s="6" t="str">
        <f aca="false">INDEX(Data!$H$2:$H$3990,MATCH(A350,Data!$A$2:$A$3990,0))</f>
        <v>United Kingdom</v>
      </c>
      <c r="C350" s="19" t="n">
        <f aca="false">SUMIFS(Data!$I$2:$I$3990,Data!$A$2:$A$3990,A350,Data!$J$2:$J$3990,1)</f>
        <v>22.22</v>
      </c>
      <c r="D350" s="6" t="str">
        <f aca="false">IF(C350&gt;10000,"HIGH VALUE","")</f>
        <v/>
      </c>
    </row>
    <row r="351" customFormat="false" ht="15" hidden="false" customHeight="false" outlineLevel="0" collapsed="false">
      <c r="A351" s="6" t="s">
        <v>432</v>
      </c>
      <c r="B351" s="6" t="str">
        <f aca="false">INDEX(Data!$H$2:$H$3990,MATCH(A351,Data!$A$2:$A$3990,0))</f>
        <v>United Kingdom</v>
      </c>
      <c r="C351" s="19" t="n">
        <f aca="false">SUMIFS(Data!$I$2:$I$3990,Data!$A$2:$A$3990,A351,Data!$J$2:$J$3990,1)</f>
        <v>254.6</v>
      </c>
      <c r="D351" s="6" t="str">
        <f aca="false">IF(C351&gt;10000,"HIGH VALUE","")</f>
        <v/>
      </c>
    </row>
    <row r="352" customFormat="false" ht="15" hidden="false" customHeight="false" outlineLevel="0" collapsed="false">
      <c r="A352" s="6" t="s">
        <v>433</v>
      </c>
      <c r="B352" s="6" t="str">
        <f aca="false">INDEX(Data!$H$2:$H$3990,MATCH(A352,Data!$A$2:$A$3990,0))</f>
        <v>Germany</v>
      </c>
      <c r="C352" s="19" t="n">
        <f aca="false">SUMIFS(Data!$I$2:$I$3990,Data!$A$2:$A$3990,A352,Data!$J$2:$J$3990,1)</f>
        <v>7150.98</v>
      </c>
      <c r="D352" s="6" t="str">
        <f aca="false">IF(C352&gt;10000,"HIGH VALUE","")</f>
        <v/>
      </c>
    </row>
    <row r="353" customFormat="false" ht="15" hidden="false" customHeight="false" outlineLevel="0" collapsed="false">
      <c r="A353" s="6" t="s">
        <v>435</v>
      </c>
      <c r="B353" s="6" t="str">
        <f aca="false">INDEX(Data!$H$2:$H$3990,MATCH(A353,Data!$A$2:$A$3990,0))</f>
        <v>United Kingdom</v>
      </c>
      <c r="C353" s="19" t="n">
        <f aca="false">SUMIFS(Data!$I$2:$I$3990,Data!$A$2:$A$3990,A353,Data!$J$2:$J$3990,1)</f>
        <v>26.48</v>
      </c>
      <c r="D353" s="6" t="str">
        <f aca="false">IF(C353&gt;10000,"HIGH VALUE","")</f>
        <v/>
      </c>
    </row>
    <row r="354" customFormat="false" ht="15" hidden="false" customHeight="false" outlineLevel="0" collapsed="false">
      <c r="A354" s="6" t="s">
        <v>434</v>
      </c>
      <c r="B354" s="6" t="str">
        <f aca="false">INDEX(Data!$H$2:$H$3990,MATCH(A354,Data!$A$2:$A$3990,0))</f>
        <v>United Kingdom</v>
      </c>
      <c r="C354" s="19" t="n">
        <f aca="false">SUMIFS(Data!$I$2:$I$3990,Data!$A$2:$A$3990,A354,Data!$J$2:$J$3990,1)</f>
        <v>105</v>
      </c>
      <c r="D354" s="6" t="str">
        <f aca="false">IF(C354&gt;10000,"HIGH VALUE","")</f>
        <v/>
      </c>
    </row>
    <row r="355" customFormat="false" ht="15" hidden="false" customHeight="false" outlineLevel="0" collapsed="false">
      <c r="A355" s="6" t="s">
        <v>436</v>
      </c>
      <c r="B355" s="6" t="str">
        <f aca="false">INDEX(Data!$H$2:$H$3990,MATCH(A355,Data!$A$2:$A$3990,0))</f>
        <v>United Kingdom</v>
      </c>
      <c r="C355" s="19" t="n">
        <f aca="false">SUMIFS(Data!$I$2:$I$3990,Data!$A$2:$A$3990,A355,Data!$J$2:$J$3990,1)</f>
        <v>579.96</v>
      </c>
      <c r="D355" s="6" t="str">
        <f aca="false">IF(C355&gt;10000,"HIGH VALUE","")</f>
        <v/>
      </c>
    </row>
    <row r="356" customFormat="false" ht="15" hidden="false" customHeight="false" outlineLevel="0" collapsed="false">
      <c r="A356" s="6" t="s">
        <v>438</v>
      </c>
      <c r="B356" s="6" t="str">
        <f aca="false">INDEX(Data!$H$2:$H$3990,MATCH(A356,Data!$A$2:$A$3990,0))</f>
        <v>United Kingdom</v>
      </c>
      <c r="C356" s="19" t="n">
        <f aca="false">SUMIFS(Data!$I$2:$I$3990,Data!$A$2:$A$3990,A356,Data!$J$2:$J$3990,1)</f>
        <v>150.32</v>
      </c>
      <c r="D356" s="6" t="str">
        <f aca="false">IF(C356&gt;10000,"HIGH VALUE","")</f>
        <v/>
      </c>
    </row>
    <row r="357" customFormat="false" ht="15" hidden="false" customHeight="false" outlineLevel="0" collapsed="false">
      <c r="A357" s="6" t="s">
        <v>437</v>
      </c>
      <c r="B357" s="6" t="str">
        <f aca="false">INDEX(Data!$H$2:$H$3990,MATCH(A357,Data!$A$2:$A$3990,0))</f>
        <v>United Kingdom</v>
      </c>
      <c r="C357" s="19" t="n">
        <f aca="false">SUMIFS(Data!$I$2:$I$3990,Data!$A$2:$A$3990,A357,Data!$J$2:$J$3990,1)</f>
        <v>855.84</v>
      </c>
      <c r="D357" s="6" t="str">
        <f aca="false">IF(C357&gt;10000,"HIGH VALUE","")</f>
        <v/>
      </c>
    </row>
    <row r="358" customFormat="false" ht="15" hidden="false" customHeight="false" outlineLevel="0" collapsed="false">
      <c r="A358" s="6" t="s">
        <v>440</v>
      </c>
      <c r="B358" s="6" t="str">
        <f aca="false">INDEX(Data!$H$2:$H$3990,MATCH(A358,Data!$A$2:$A$3990,0))</f>
        <v>United Kingdom</v>
      </c>
      <c r="C358" s="19" t="n">
        <f aca="false">SUMIFS(Data!$I$2:$I$3990,Data!$A$2:$A$3990,A358,Data!$J$2:$J$3990,1)</f>
        <v>426.72</v>
      </c>
      <c r="D358" s="6" t="str">
        <f aca="false">IF(C358&gt;10000,"HIGH VALUE","")</f>
        <v/>
      </c>
    </row>
    <row r="359" customFormat="false" ht="15" hidden="false" customHeight="false" outlineLevel="0" collapsed="false">
      <c r="A359" s="6" t="s">
        <v>439</v>
      </c>
      <c r="B359" s="6" t="str">
        <f aca="false">INDEX(Data!$H$2:$H$3990,MATCH(A359,Data!$A$2:$A$3990,0))</f>
        <v>United Kingdom</v>
      </c>
      <c r="C359" s="19" t="n">
        <f aca="false">SUMIFS(Data!$I$2:$I$3990,Data!$A$2:$A$3990,A359,Data!$J$2:$J$3990,1)</f>
        <v>37.11</v>
      </c>
      <c r="D359" s="6" t="str">
        <f aca="false">IF(C359&gt;10000,"HIGH VALUE","")</f>
        <v/>
      </c>
    </row>
    <row r="360" customFormat="false" ht="15" hidden="false" customHeight="false" outlineLevel="0" collapsed="false">
      <c r="A360" s="6" t="s">
        <v>441</v>
      </c>
      <c r="B360" s="6" t="str">
        <f aca="false">INDEX(Data!$H$2:$H$3990,MATCH(A360,Data!$A$2:$A$3990,0))</f>
        <v>United Kingdom</v>
      </c>
      <c r="C360" s="19" t="n">
        <f aca="false">SUMIFS(Data!$I$2:$I$3990,Data!$A$2:$A$3990,A360,Data!$J$2:$J$3990,1)</f>
        <v>1105.14</v>
      </c>
      <c r="D360" s="6" t="str">
        <f aca="false">IF(C360&gt;10000,"HIGH VALUE","")</f>
        <v/>
      </c>
    </row>
    <row r="361" customFormat="false" ht="15" hidden="false" customHeight="false" outlineLevel="0" collapsed="false">
      <c r="A361" s="6" t="s">
        <v>442</v>
      </c>
      <c r="B361" s="6" t="str">
        <f aca="false">INDEX(Data!$H$2:$H$3990,MATCH(A361,Data!$A$2:$A$3990,0))</f>
        <v>United Kingdom</v>
      </c>
      <c r="C361" s="19" t="n">
        <f aca="false">SUMIFS(Data!$I$2:$I$3990,Data!$A$2:$A$3990,A361,Data!$J$2:$J$3990,1)</f>
        <v>155.47</v>
      </c>
      <c r="D361" s="6" t="str">
        <f aca="false">IF(C361&gt;10000,"HIGH VALUE","")</f>
        <v/>
      </c>
    </row>
    <row r="362" customFormat="false" ht="15" hidden="false" customHeight="false" outlineLevel="0" collapsed="false">
      <c r="A362" s="6" t="s">
        <v>445</v>
      </c>
      <c r="B362" s="6" t="str">
        <f aca="false">INDEX(Data!$H$2:$H$3990,MATCH(A362,Data!$A$2:$A$3990,0))</f>
        <v>United Kingdom</v>
      </c>
      <c r="C362" s="19" t="n">
        <f aca="false">SUMIFS(Data!$I$2:$I$3990,Data!$A$2:$A$3990,A362,Data!$J$2:$J$3990,1)</f>
        <v>471.54</v>
      </c>
      <c r="D362" s="6" t="str">
        <f aca="false">IF(C362&gt;10000,"HIGH VALUE","")</f>
        <v/>
      </c>
    </row>
    <row r="363" customFormat="false" ht="15" hidden="false" customHeight="false" outlineLevel="0" collapsed="false">
      <c r="A363" s="6" t="s">
        <v>443</v>
      </c>
      <c r="B363" s="6" t="str">
        <f aca="false">INDEX(Data!$H$2:$H$3990,MATCH(A363,Data!$A$2:$A$3990,0))</f>
        <v>United Kingdom</v>
      </c>
      <c r="C363" s="19" t="n">
        <f aca="false">SUMIFS(Data!$I$2:$I$3990,Data!$A$2:$A$3990,A363,Data!$J$2:$J$3990,1)</f>
        <v>2821.5</v>
      </c>
      <c r="D363" s="6" t="str">
        <f aca="false">IF(C363&gt;10000,"HIGH VALUE","")</f>
        <v/>
      </c>
    </row>
    <row r="364" customFormat="false" ht="15" hidden="false" customHeight="false" outlineLevel="0" collapsed="false">
      <c r="A364" s="6" t="s">
        <v>446</v>
      </c>
      <c r="B364" s="6" t="str">
        <f aca="false">INDEX(Data!$H$2:$H$3990,MATCH(A364,Data!$A$2:$A$3990,0))</f>
        <v>United Kingdom</v>
      </c>
      <c r="C364" s="19" t="n">
        <f aca="false">SUMIFS(Data!$I$2:$I$3990,Data!$A$2:$A$3990,A364,Data!$J$2:$J$3990,1)</f>
        <v>385.65</v>
      </c>
      <c r="D364" s="6" t="str">
        <f aca="false">IF(C364&gt;10000,"HIGH VALUE","")</f>
        <v/>
      </c>
    </row>
    <row r="365" customFormat="false" ht="15" hidden="false" customHeight="false" outlineLevel="0" collapsed="false">
      <c r="A365" s="6" t="s">
        <v>444</v>
      </c>
      <c r="B365" s="6" t="str">
        <f aca="false">INDEX(Data!$H$2:$H$3990,MATCH(A365,Data!$A$2:$A$3990,0))</f>
        <v>Germany</v>
      </c>
      <c r="C365" s="19" t="n">
        <f aca="false">SUMIFS(Data!$I$2:$I$3990,Data!$A$2:$A$3990,A365,Data!$J$2:$J$3990,1)</f>
        <v>80.56</v>
      </c>
      <c r="D365" s="6" t="str">
        <f aca="false">IF(C365&gt;10000,"HIGH VALUE","")</f>
        <v/>
      </c>
    </row>
    <row r="366" customFormat="false" ht="15" hidden="false" customHeight="false" outlineLevel="0" collapsed="false">
      <c r="A366" s="6" t="s">
        <v>447</v>
      </c>
      <c r="B366" s="6" t="str">
        <f aca="false">INDEX(Data!$H$2:$H$3990,MATCH(A366,Data!$A$2:$A$3990,0))</f>
        <v>France</v>
      </c>
      <c r="C366" s="19" t="n">
        <f aca="false">SUMIFS(Data!$I$2:$I$3990,Data!$A$2:$A$3990,A366,Data!$J$2:$J$3990,1)</f>
        <v>42.24</v>
      </c>
      <c r="D366" s="6" t="str">
        <f aca="false">IF(C366&gt;10000,"HIGH VALUE","")</f>
        <v/>
      </c>
    </row>
    <row r="367" customFormat="false" ht="15" hidden="false" customHeight="false" outlineLevel="0" collapsed="false">
      <c r="A367" s="6" t="s">
        <v>449</v>
      </c>
      <c r="B367" s="6" t="str">
        <f aca="false">INDEX(Data!$H$2:$H$3990,MATCH(A367,Data!$A$2:$A$3990,0))</f>
        <v>United Kingdom</v>
      </c>
      <c r="C367" s="19" t="n">
        <f aca="false">SUMIFS(Data!$I$2:$I$3990,Data!$A$2:$A$3990,A367,Data!$J$2:$J$3990,1)</f>
        <v>76.42</v>
      </c>
      <c r="D367" s="6" t="str">
        <f aca="false">IF(C367&gt;10000,"HIGH VALUE","")</f>
        <v/>
      </c>
    </row>
    <row r="368" customFormat="false" ht="15" hidden="false" customHeight="false" outlineLevel="0" collapsed="false">
      <c r="A368" s="6" t="s">
        <v>448</v>
      </c>
      <c r="B368" s="6" t="str">
        <f aca="false">INDEX(Data!$H$2:$H$3990,MATCH(A368,Data!$A$2:$A$3990,0))</f>
        <v>United Kingdom</v>
      </c>
      <c r="C368" s="19" t="n">
        <f aca="false">SUMIFS(Data!$I$2:$I$3990,Data!$A$2:$A$3990,A368,Data!$J$2:$J$3990,1)</f>
        <v>35.64</v>
      </c>
      <c r="D368" s="6" t="str">
        <f aca="false">IF(C368&gt;10000,"HIGH VALUE","")</f>
        <v/>
      </c>
    </row>
    <row r="369" customFormat="false" ht="15" hidden="false" customHeight="false" outlineLevel="0" collapsed="false">
      <c r="A369" s="6" t="s">
        <v>450</v>
      </c>
      <c r="B369" s="6" t="str">
        <f aca="false">INDEX(Data!$H$2:$H$3990,MATCH(A369,Data!$A$2:$A$3990,0))</f>
        <v>United Kingdom</v>
      </c>
      <c r="C369" s="19" t="n">
        <f aca="false">SUMIFS(Data!$I$2:$I$3990,Data!$A$2:$A$3990,A369,Data!$J$2:$J$3990,1)</f>
        <v>56.64</v>
      </c>
      <c r="D369" s="6" t="str">
        <f aca="false">IF(C369&gt;10000,"HIGH VALUE","")</f>
        <v/>
      </c>
    </row>
    <row r="370" customFormat="false" ht="15" hidden="false" customHeight="false" outlineLevel="0" collapsed="false">
      <c r="A370" s="6" t="s">
        <v>451</v>
      </c>
      <c r="B370" s="6" t="str">
        <f aca="false">INDEX(Data!$H$2:$H$3990,MATCH(A370,Data!$A$2:$A$3990,0))</f>
        <v>United Kingdom</v>
      </c>
      <c r="C370" s="19" t="n">
        <f aca="false">SUMIFS(Data!$I$2:$I$3990,Data!$A$2:$A$3990,A370,Data!$J$2:$J$3990,1)</f>
        <v>16.2</v>
      </c>
      <c r="D370" s="6" t="str">
        <f aca="false">IF(C370&gt;10000,"HIGH VALUE","")</f>
        <v/>
      </c>
    </row>
    <row r="371" customFormat="false" ht="15" hidden="false" customHeight="false" outlineLevel="0" collapsed="false">
      <c r="A371" s="6" t="s">
        <v>452</v>
      </c>
      <c r="B371" s="6" t="str">
        <f aca="false">INDEX(Data!$H$2:$H$3990,MATCH(A371,Data!$A$2:$A$3990,0))</f>
        <v>United Kingdom</v>
      </c>
      <c r="C371" s="19" t="n">
        <f aca="false">SUMIFS(Data!$I$2:$I$3990,Data!$A$2:$A$3990,A371,Data!$J$2:$J$3990,1)</f>
        <v>1464.66</v>
      </c>
      <c r="D371" s="6" t="str">
        <f aca="false">IF(C371&gt;10000,"HIGH VALUE","")</f>
        <v/>
      </c>
    </row>
    <row r="372" customFormat="false" ht="15" hidden="false" customHeight="false" outlineLevel="0" collapsed="false">
      <c r="A372" s="6" t="s">
        <v>453</v>
      </c>
      <c r="B372" s="6" t="str">
        <f aca="false">INDEX(Data!$H$2:$H$3990,MATCH(A372,Data!$A$2:$A$3990,0))</f>
        <v>United Kingdom</v>
      </c>
      <c r="C372" s="19" t="n">
        <f aca="false">SUMIFS(Data!$I$2:$I$3990,Data!$A$2:$A$3990,A372,Data!$J$2:$J$3990,1)</f>
        <v>129.46</v>
      </c>
      <c r="D372" s="6" t="str">
        <f aca="false">IF(C372&gt;10000,"HIGH VALUE","")</f>
        <v/>
      </c>
    </row>
    <row r="373" customFormat="false" ht="15" hidden="false" customHeight="false" outlineLevel="0" collapsed="false">
      <c r="A373" s="6" t="s">
        <v>454</v>
      </c>
      <c r="B373" s="6" t="str">
        <f aca="false">INDEX(Data!$H$2:$H$3990,MATCH(A373,Data!$A$2:$A$3990,0))</f>
        <v>Australia</v>
      </c>
      <c r="C373" s="19" t="n">
        <f aca="false">SUMIFS(Data!$I$2:$I$3990,Data!$A$2:$A$3990,A373,Data!$J$2:$J$3990,1)</f>
        <v>213.81</v>
      </c>
      <c r="D373" s="6" t="str">
        <f aca="false">IF(C373&gt;10000,"HIGH VALUE","")</f>
        <v/>
      </c>
    </row>
    <row r="374" customFormat="false" ht="15" hidden="false" customHeight="false" outlineLevel="0" collapsed="false">
      <c r="A374" s="6" t="s">
        <v>456</v>
      </c>
      <c r="B374" s="6" t="str">
        <f aca="false">INDEX(Data!$H$2:$H$3990,MATCH(A374,Data!$A$2:$A$3990,0))</f>
        <v>Australia</v>
      </c>
      <c r="C374" s="19" t="n">
        <f aca="false">SUMIFS(Data!$I$2:$I$3990,Data!$A$2:$A$3990,A374,Data!$J$2:$J$3990,1)</f>
        <v>47.74</v>
      </c>
      <c r="D374" s="6" t="str">
        <f aca="false">IF(C374&gt;10000,"HIGH VALUE","")</f>
        <v/>
      </c>
    </row>
    <row r="375" customFormat="false" ht="15" hidden="false" customHeight="false" outlineLevel="0" collapsed="false">
      <c r="A375" s="6" t="s">
        <v>455</v>
      </c>
      <c r="B375" s="6" t="str">
        <f aca="false">INDEX(Data!$H$2:$H$3990,MATCH(A375,Data!$A$2:$A$3990,0))</f>
        <v>United Kingdom</v>
      </c>
      <c r="C375" s="19" t="n">
        <f aca="false">SUMIFS(Data!$I$2:$I$3990,Data!$A$2:$A$3990,A375,Data!$J$2:$J$3990,1)</f>
        <v>277.15</v>
      </c>
      <c r="D375" s="6" t="str">
        <f aca="false">IF(C375&gt;10000,"HIGH VALUE","")</f>
        <v/>
      </c>
    </row>
    <row r="376" customFormat="false" ht="15" hidden="false" customHeight="false" outlineLevel="0" collapsed="false">
      <c r="A376" s="6" t="s">
        <v>458</v>
      </c>
      <c r="B376" s="6" t="str">
        <f aca="false">INDEX(Data!$H$2:$H$3990,MATCH(A376,Data!$A$2:$A$3990,0))</f>
        <v>Spain</v>
      </c>
      <c r="C376" s="19" t="n">
        <f aca="false">SUMIFS(Data!$I$2:$I$3990,Data!$A$2:$A$3990,A376,Data!$J$2:$J$3990,1)</f>
        <v>123.76</v>
      </c>
      <c r="D376" s="6" t="str">
        <f aca="false">IF(C376&gt;10000,"HIGH VALUE","")</f>
        <v/>
      </c>
    </row>
    <row r="377" customFormat="false" ht="15" hidden="false" customHeight="false" outlineLevel="0" collapsed="false">
      <c r="A377" s="6" t="s">
        <v>457</v>
      </c>
      <c r="B377" s="6" t="str">
        <f aca="false">INDEX(Data!$H$2:$H$3990,MATCH(A377,Data!$A$2:$A$3990,0))</f>
        <v>United Kingdom</v>
      </c>
      <c r="C377" s="19" t="n">
        <f aca="false">SUMIFS(Data!$I$2:$I$3990,Data!$A$2:$A$3990,A377,Data!$J$2:$J$3990,1)</f>
        <v>96.68</v>
      </c>
      <c r="D377" s="6" t="str">
        <f aca="false">IF(C377&gt;10000,"HIGH VALUE","")</f>
        <v/>
      </c>
    </row>
    <row r="378" customFormat="false" ht="15" hidden="false" customHeight="false" outlineLevel="0" collapsed="false">
      <c r="A378" s="6" t="s">
        <v>460</v>
      </c>
      <c r="B378" s="6" t="str">
        <f aca="false">INDEX(Data!$H$2:$H$3990,MATCH(A378,Data!$A$2:$A$3990,0))</f>
        <v>United Kingdom</v>
      </c>
      <c r="C378" s="19" t="n">
        <f aca="false">SUMIFS(Data!$I$2:$I$3990,Data!$A$2:$A$3990,A378,Data!$J$2:$J$3990,1)</f>
        <v>9.5</v>
      </c>
      <c r="D378" s="6" t="str">
        <f aca="false">IF(C378&gt;10000,"HIGH VALUE","")</f>
        <v/>
      </c>
    </row>
    <row r="379" customFormat="false" ht="15" hidden="false" customHeight="false" outlineLevel="0" collapsed="false">
      <c r="A379" s="6" t="s">
        <v>461</v>
      </c>
      <c r="B379" s="6" t="str">
        <f aca="false">INDEX(Data!$H$2:$H$3990,MATCH(A379,Data!$A$2:$A$3990,0))</f>
        <v>United Kingdom</v>
      </c>
      <c r="C379" s="19" t="n">
        <f aca="false">SUMIFS(Data!$I$2:$I$3990,Data!$A$2:$A$3990,A379,Data!$J$2:$J$3990,1)</f>
        <v>2099.76</v>
      </c>
      <c r="D379" s="6" t="str">
        <f aca="false">IF(C379&gt;10000,"HIGH VALUE","")</f>
        <v/>
      </c>
    </row>
    <row r="380" customFormat="false" ht="15" hidden="false" customHeight="false" outlineLevel="0" collapsed="false">
      <c r="A380" s="6" t="s">
        <v>463</v>
      </c>
      <c r="B380" s="6" t="str">
        <f aca="false">INDEX(Data!$H$2:$H$3990,MATCH(A380,Data!$A$2:$A$3990,0))</f>
        <v>United Kingdom</v>
      </c>
      <c r="C380" s="19" t="n">
        <f aca="false">SUMIFS(Data!$I$2:$I$3990,Data!$A$2:$A$3990,A380,Data!$J$2:$J$3990,1)</f>
        <v>7005.78</v>
      </c>
      <c r="D380" s="6" t="str">
        <f aca="false">IF(C380&gt;10000,"HIGH VALUE","")</f>
        <v/>
      </c>
    </row>
    <row r="381" customFormat="false" ht="15" hidden="false" customHeight="false" outlineLevel="0" collapsed="false">
      <c r="A381" s="6" t="s">
        <v>462</v>
      </c>
      <c r="B381" s="6" t="str">
        <f aca="false">INDEX(Data!$H$2:$H$3990,MATCH(A381,Data!$A$2:$A$3990,0))</f>
        <v>United Kingdom</v>
      </c>
      <c r="C381" s="19" t="n">
        <f aca="false">SUMIFS(Data!$I$2:$I$3990,Data!$A$2:$A$3990,A381,Data!$J$2:$J$3990,1)</f>
        <v>101.23</v>
      </c>
      <c r="D381" s="6" t="str">
        <f aca="false">IF(C381&gt;10000,"HIGH VALUE","")</f>
        <v/>
      </c>
    </row>
    <row r="382" customFormat="false" ht="15" hidden="false" customHeight="false" outlineLevel="0" collapsed="false">
      <c r="A382" s="6" t="s">
        <v>465</v>
      </c>
      <c r="B382" s="6" t="str">
        <f aca="false">INDEX(Data!$H$2:$H$3990,MATCH(A382,Data!$A$2:$A$3990,0))</f>
        <v>United Kingdom</v>
      </c>
      <c r="C382" s="19" t="n">
        <f aca="false">SUMIFS(Data!$I$2:$I$3990,Data!$A$2:$A$3990,A382,Data!$J$2:$J$3990,1)</f>
        <v>210.27</v>
      </c>
      <c r="D382" s="6" t="str">
        <f aca="false">IF(C382&gt;10000,"HIGH VALUE","")</f>
        <v/>
      </c>
    </row>
    <row r="383" customFormat="false" ht="15" hidden="false" customHeight="false" outlineLevel="0" collapsed="false">
      <c r="A383" s="6" t="s">
        <v>464</v>
      </c>
      <c r="B383" s="6" t="str">
        <f aca="false">INDEX(Data!$H$2:$H$3990,MATCH(A383,Data!$A$2:$A$3990,0))</f>
        <v>United Kingdom</v>
      </c>
      <c r="C383" s="19" t="n">
        <f aca="false">SUMIFS(Data!$I$2:$I$3990,Data!$A$2:$A$3990,A383,Data!$J$2:$J$3990,1)</f>
        <v>31.02</v>
      </c>
      <c r="D383" s="6" t="str">
        <f aca="false">IF(C383&gt;10000,"HIGH VALUE","")</f>
        <v/>
      </c>
    </row>
    <row r="384" customFormat="false" ht="15" hidden="false" customHeight="false" outlineLevel="0" collapsed="false">
      <c r="A384" s="6" t="s">
        <v>466</v>
      </c>
      <c r="B384" s="6" t="str">
        <f aca="false">INDEX(Data!$H$2:$H$3990,MATCH(A384,Data!$A$2:$A$3990,0))</f>
        <v>United Kingdom</v>
      </c>
      <c r="C384" s="19" t="n">
        <f aca="false">SUMIFS(Data!$I$2:$I$3990,Data!$A$2:$A$3990,A384,Data!$J$2:$J$3990,1)</f>
        <v>271.28</v>
      </c>
      <c r="D384" s="6" t="str">
        <f aca="false">IF(C384&gt;10000,"HIGH VALUE","")</f>
        <v/>
      </c>
    </row>
    <row r="385" customFormat="false" ht="15" hidden="false" customHeight="false" outlineLevel="0" collapsed="false">
      <c r="A385" s="6" t="s">
        <v>467</v>
      </c>
      <c r="B385" s="6" t="str">
        <f aca="false">INDEX(Data!$H$2:$H$3990,MATCH(A385,Data!$A$2:$A$3990,0))</f>
        <v>United Kingdom</v>
      </c>
      <c r="C385" s="19" t="n">
        <f aca="false">SUMIFS(Data!$I$2:$I$3990,Data!$A$2:$A$3990,A385,Data!$J$2:$J$3990,1)</f>
        <v>293.75</v>
      </c>
      <c r="D385" s="6" t="str">
        <f aca="false">IF(C385&gt;10000,"HIGH VALUE","")</f>
        <v/>
      </c>
    </row>
    <row r="386" customFormat="false" ht="15" hidden="false" customHeight="false" outlineLevel="0" collapsed="false">
      <c r="A386" s="6" t="s">
        <v>468</v>
      </c>
      <c r="B386" s="6" t="str">
        <f aca="false">INDEX(Data!$H$2:$H$3990,MATCH(A386,Data!$A$2:$A$3990,0))</f>
        <v>United Kingdom</v>
      </c>
      <c r="C386" s="19" t="n">
        <f aca="false">SUMIFS(Data!$I$2:$I$3990,Data!$A$2:$A$3990,A386,Data!$J$2:$J$3990,1)</f>
        <v>30.9</v>
      </c>
      <c r="D386" s="6" t="str">
        <f aca="false">IF(C386&gt;10000,"HIGH VALUE","")</f>
        <v/>
      </c>
    </row>
    <row r="387" customFormat="false" ht="15" hidden="false" customHeight="false" outlineLevel="0" collapsed="false">
      <c r="A387" s="6" t="s">
        <v>469</v>
      </c>
      <c r="B387" s="6" t="str">
        <f aca="false">INDEX(Data!$H$2:$H$3990,MATCH(A387,Data!$A$2:$A$3990,0))</f>
        <v>United Kingdom</v>
      </c>
      <c r="C387" s="19" t="n">
        <f aca="false">SUMIFS(Data!$I$2:$I$3990,Data!$A$2:$A$3990,A387,Data!$J$2:$J$3990,1)</f>
        <v>49.26</v>
      </c>
      <c r="D387" s="6" t="str">
        <f aca="false">IF(C387&gt;10000,"HIGH VALUE","")</f>
        <v/>
      </c>
    </row>
    <row r="388" customFormat="false" ht="15" hidden="false" customHeight="false" outlineLevel="0" collapsed="false">
      <c r="A388" s="6" t="s">
        <v>470</v>
      </c>
      <c r="B388" s="6" t="str">
        <f aca="false">INDEX(Data!$H$2:$H$3990,MATCH(A388,Data!$A$2:$A$3990,0))</f>
        <v>EIRE</v>
      </c>
      <c r="C388" s="19" t="n">
        <f aca="false">SUMIFS(Data!$I$2:$I$3990,Data!$A$2:$A$3990,A388,Data!$J$2:$J$3990,1)</f>
        <v>182.48</v>
      </c>
      <c r="D388" s="6" t="str">
        <f aca="false">IF(C388&gt;10000,"HIGH VALUE","")</f>
        <v/>
      </c>
    </row>
    <row r="389" customFormat="false" ht="15" hidden="false" customHeight="false" outlineLevel="0" collapsed="false">
      <c r="A389" s="6" t="s">
        <v>471</v>
      </c>
      <c r="B389" s="6" t="str">
        <f aca="false">INDEX(Data!$H$2:$H$3990,MATCH(A389,Data!$A$2:$A$3990,0))</f>
        <v>United Kingdom</v>
      </c>
      <c r="C389" s="19" t="n">
        <f aca="false">SUMIFS(Data!$I$2:$I$3990,Data!$A$2:$A$3990,A389,Data!$J$2:$J$3990,1)</f>
        <v>50.36</v>
      </c>
      <c r="D389" s="6" t="str">
        <f aca="false">IF(C389&gt;10000,"HIGH VALUE","")</f>
        <v/>
      </c>
    </row>
    <row r="390" customFormat="false" ht="15" hidden="false" customHeight="false" outlineLevel="0" collapsed="false">
      <c r="A390" s="6" t="s">
        <v>472</v>
      </c>
      <c r="B390" s="6" t="str">
        <f aca="false">INDEX(Data!$H$2:$H$3990,MATCH(A390,Data!$A$2:$A$3990,0))</f>
        <v>Germany</v>
      </c>
      <c r="C390" s="19" t="n">
        <f aca="false">SUMIFS(Data!$I$2:$I$3990,Data!$A$2:$A$3990,A390,Data!$J$2:$J$3990,1)</f>
        <v>88.53</v>
      </c>
      <c r="D390" s="6" t="str">
        <f aca="false">IF(C390&gt;10000,"HIGH VALUE","")</f>
        <v/>
      </c>
    </row>
    <row r="391" customFormat="false" ht="15" hidden="false" customHeight="false" outlineLevel="0" collapsed="false">
      <c r="A391" s="6" t="s">
        <v>473</v>
      </c>
      <c r="B391" s="6" t="str">
        <f aca="false">INDEX(Data!$H$2:$H$3990,MATCH(A391,Data!$A$2:$A$3990,0))</f>
        <v>Belgium</v>
      </c>
      <c r="C391" s="19" t="n">
        <f aca="false">SUMIFS(Data!$I$2:$I$3990,Data!$A$2:$A$3990,A391,Data!$J$2:$J$3990,1)</f>
        <v>3408.24</v>
      </c>
      <c r="D391" s="6" t="str">
        <f aca="false">IF(C391&gt;10000,"HIGH VALUE","")</f>
        <v/>
      </c>
    </row>
    <row r="392" customFormat="false" ht="15" hidden="false" customHeight="false" outlineLevel="0" collapsed="false">
      <c r="A392" s="6" t="s">
        <v>475</v>
      </c>
      <c r="B392" s="6" t="str">
        <f aca="false">INDEX(Data!$H$2:$H$3990,MATCH(A392,Data!$A$2:$A$3990,0))</f>
        <v>Germany</v>
      </c>
      <c r="C392" s="19" t="n">
        <f aca="false">SUMIFS(Data!$I$2:$I$3990,Data!$A$2:$A$3990,A392,Data!$J$2:$J$3990,1)</f>
        <v>58.17</v>
      </c>
      <c r="D392" s="6" t="str">
        <f aca="false">IF(C392&gt;10000,"HIGH VALUE","")</f>
        <v/>
      </c>
    </row>
    <row r="393" customFormat="false" ht="15" hidden="false" customHeight="false" outlineLevel="0" collapsed="false">
      <c r="A393" s="6" t="s">
        <v>476</v>
      </c>
      <c r="B393" s="6" t="str">
        <f aca="false">INDEX(Data!$H$2:$H$3990,MATCH(A393,Data!$A$2:$A$3990,0))</f>
        <v>United Kingdom</v>
      </c>
      <c r="C393" s="19" t="n">
        <f aca="false">SUMIFS(Data!$I$2:$I$3990,Data!$A$2:$A$3990,A393,Data!$J$2:$J$3990,1)</f>
        <v>9.18</v>
      </c>
      <c r="D393" s="6" t="str">
        <f aca="false">IF(C393&gt;10000,"HIGH VALUE","")</f>
        <v/>
      </c>
    </row>
    <row r="394" customFormat="false" ht="15" hidden="false" customHeight="false" outlineLevel="0" collapsed="false">
      <c r="A394" s="6" t="s">
        <v>480</v>
      </c>
      <c r="B394" s="6" t="str">
        <f aca="false">INDEX(Data!$H$2:$H$3990,MATCH(A394,Data!$A$2:$A$3990,0))</f>
        <v>United Kingdom</v>
      </c>
      <c r="C394" s="19" t="n">
        <f aca="false">SUMIFS(Data!$I$2:$I$3990,Data!$A$2:$A$3990,A394,Data!$J$2:$J$3990,1)</f>
        <v>298.83</v>
      </c>
      <c r="D394" s="6" t="str">
        <f aca="false">IF(C394&gt;10000,"HIGH VALUE","")</f>
        <v/>
      </c>
    </row>
    <row r="395" customFormat="false" ht="15" hidden="false" customHeight="false" outlineLevel="0" collapsed="false">
      <c r="A395" s="6" t="s">
        <v>477</v>
      </c>
      <c r="B395" s="6" t="str">
        <f aca="false">INDEX(Data!$H$2:$H$3990,MATCH(A395,Data!$A$2:$A$3990,0))</f>
        <v>United Kingdom</v>
      </c>
      <c r="C395" s="19" t="n">
        <f aca="false">SUMIFS(Data!$I$2:$I$3990,Data!$A$2:$A$3990,A395,Data!$J$2:$J$3990,1)</f>
        <v>144.88</v>
      </c>
      <c r="D395" s="6" t="str">
        <f aca="false">IF(C395&gt;10000,"HIGH VALUE","")</f>
        <v/>
      </c>
    </row>
    <row r="396" customFormat="false" ht="15" hidden="false" customHeight="false" outlineLevel="0" collapsed="false">
      <c r="A396" s="6" t="s">
        <v>481</v>
      </c>
      <c r="B396" s="6" t="str">
        <f aca="false">INDEX(Data!$H$2:$H$3990,MATCH(A396,Data!$A$2:$A$3990,0))</f>
        <v>United Kingdom</v>
      </c>
      <c r="C396" s="19" t="n">
        <f aca="false">SUMIFS(Data!$I$2:$I$3990,Data!$A$2:$A$3990,A396,Data!$J$2:$J$3990,1)</f>
        <v>75.86</v>
      </c>
      <c r="D396" s="6" t="str">
        <f aca="false">IF(C396&gt;10000,"HIGH VALUE","")</f>
        <v/>
      </c>
    </row>
    <row r="397" customFormat="false" ht="15" hidden="false" customHeight="false" outlineLevel="0" collapsed="false">
      <c r="A397" s="6" t="s">
        <v>478</v>
      </c>
      <c r="B397" s="6" t="str">
        <f aca="false">INDEX(Data!$H$2:$H$3990,MATCH(A397,Data!$A$2:$A$3990,0))</f>
        <v>United Kingdom</v>
      </c>
      <c r="C397" s="19" t="n">
        <f aca="false">SUMIFS(Data!$I$2:$I$3990,Data!$A$2:$A$3990,A397,Data!$J$2:$J$3990,1)</f>
        <v>10.94</v>
      </c>
      <c r="D397" s="6" t="str">
        <f aca="false">IF(C397&gt;10000,"HIGH VALUE","")</f>
        <v/>
      </c>
    </row>
    <row r="398" customFormat="false" ht="15" hidden="false" customHeight="false" outlineLevel="0" collapsed="false">
      <c r="A398" s="6" t="s">
        <v>479</v>
      </c>
      <c r="B398" s="6" t="str">
        <f aca="false">INDEX(Data!$H$2:$H$3990,MATCH(A398,Data!$A$2:$A$3990,0))</f>
        <v>Germany</v>
      </c>
      <c r="C398" s="19" t="n">
        <f aca="false">SUMIFS(Data!$I$2:$I$3990,Data!$A$2:$A$3990,A398,Data!$J$2:$J$3990,1)</f>
        <v>153.62</v>
      </c>
      <c r="D398" s="6" t="str">
        <f aca="false">IF(C398&gt;10000,"HIGH VALUE","")</f>
        <v/>
      </c>
    </row>
    <row r="399" customFormat="false" ht="15" hidden="false" customHeight="false" outlineLevel="0" collapsed="false">
      <c r="A399" s="6" t="s">
        <v>482</v>
      </c>
      <c r="B399" s="6" t="str">
        <f aca="false">INDEX(Data!$H$2:$H$3990,MATCH(A399,Data!$A$2:$A$3990,0))</f>
        <v>Belgium</v>
      </c>
      <c r="C399" s="19" t="n">
        <f aca="false">SUMIFS(Data!$I$2:$I$3990,Data!$A$2:$A$3990,A399,Data!$J$2:$J$3990,1)</f>
        <v>176.69</v>
      </c>
      <c r="D399" s="6" t="str">
        <f aca="false">IF(C399&gt;10000,"HIGH VALUE","")</f>
        <v/>
      </c>
    </row>
    <row r="400" customFormat="false" ht="15" hidden="false" customHeight="false" outlineLevel="0" collapsed="false">
      <c r="A400" s="6" t="s">
        <v>483</v>
      </c>
      <c r="B400" s="6" t="str">
        <f aca="false">INDEX(Data!$H$2:$H$3990,MATCH(A400,Data!$A$2:$A$3990,0))</f>
        <v>Germany</v>
      </c>
      <c r="C400" s="19" t="n">
        <f aca="false">SUMIFS(Data!$I$2:$I$3990,Data!$A$2:$A$3990,A400,Data!$J$2:$J$3990,1)</f>
        <v>172.12</v>
      </c>
      <c r="D400" s="6" t="str">
        <f aca="false">IF(C400&gt;10000,"HIGH VALUE","")</f>
        <v/>
      </c>
    </row>
    <row r="401" customFormat="false" ht="15" hidden="false" customHeight="false" outlineLevel="0" collapsed="false">
      <c r="A401" s="6" t="s">
        <v>484</v>
      </c>
      <c r="B401" s="6" t="str">
        <f aca="false">INDEX(Data!$H$2:$H$3990,MATCH(A401,Data!$A$2:$A$3990,0))</f>
        <v>United Kingdom</v>
      </c>
      <c r="C401" s="19" t="n">
        <f aca="false">SUMIFS(Data!$I$2:$I$3990,Data!$A$2:$A$3990,A401,Data!$J$2:$J$3990,1)</f>
        <v>8.49</v>
      </c>
      <c r="D401" s="6" t="str">
        <f aca="false">IF(C401&gt;10000,"HIGH VALUE","")</f>
        <v/>
      </c>
    </row>
    <row r="402" customFormat="false" ht="15" hidden="false" customHeight="false" outlineLevel="0" collapsed="false">
      <c r="A402" s="6" t="s">
        <v>485</v>
      </c>
      <c r="B402" s="6" t="str">
        <f aca="false">INDEX(Data!$H$2:$H$3990,MATCH(A402,Data!$A$2:$A$3990,0))</f>
        <v>United Kingdom</v>
      </c>
      <c r="C402" s="19" t="n">
        <f aca="false">SUMIFS(Data!$I$2:$I$3990,Data!$A$2:$A$3990,A402,Data!$J$2:$J$3990,1)</f>
        <v>120.42</v>
      </c>
      <c r="D402" s="6" t="str">
        <f aca="false">IF(C402&gt;10000,"HIGH VALUE","")</f>
        <v/>
      </c>
    </row>
    <row r="403" customFormat="false" ht="15" hidden="false" customHeight="false" outlineLevel="0" collapsed="false">
      <c r="A403" s="6" t="s">
        <v>486</v>
      </c>
      <c r="B403" s="6" t="str">
        <f aca="false">INDEX(Data!$H$2:$H$3990,MATCH(A403,Data!$A$2:$A$3990,0))</f>
        <v>France</v>
      </c>
      <c r="C403" s="19" t="n">
        <f aca="false">SUMIFS(Data!$I$2:$I$3990,Data!$A$2:$A$3990,A403,Data!$J$2:$J$3990,1)</f>
        <v>351.9</v>
      </c>
      <c r="D403" s="6" t="str">
        <f aca="false">IF(C403&gt;10000,"HIGH VALUE","")</f>
        <v/>
      </c>
    </row>
    <row r="404" customFormat="false" ht="15" hidden="false" customHeight="false" outlineLevel="0" collapsed="false">
      <c r="A404" s="6" t="s">
        <v>487</v>
      </c>
      <c r="B404" s="6" t="str">
        <f aca="false">INDEX(Data!$H$2:$H$3990,MATCH(A404,Data!$A$2:$A$3990,0))</f>
        <v>United Kingdom</v>
      </c>
      <c r="C404" s="19" t="n">
        <f aca="false">SUMIFS(Data!$I$2:$I$3990,Data!$A$2:$A$3990,A404,Data!$J$2:$J$3990,1)</f>
        <v>93.86</v>
      </c>
      <c r="D404" s="6" t="str">
        <f aca="false">IF(C404&gt;10000,"HIGH VALUE","")</f>
        <v/>
      </c>
    </row>
    <row r="405" customFormat="false" ht="15" hidden="false" customHeight="false" outlineLevel="0" collapsed="false">
      <c r="A405" s="6" t="s">
        <v>490</v>
      </c>
      <c r="B405" s="6" t="str">
        <f aca="false">INDEX(Data!$H$2:$H$3990,MATCH(A405,Data!$A$2:$A$3990,0))</f>
        <v>United Kingdom</v>
      </c>
      <c r="C405" s="19" t="n">
        <f aca="false">SUMIFS(Data!$I$2:$I$3990,Data!$A$2:$A$3990,A405,Data!$J$2:$J$3990,1)</f>
        <v>1861.92</v>
      </c>
      <c r="D405" s="6" t="str">
        <f aca="false">IF(C405&gt;10000,"HIGH VALUE","")</f>
        <v/>
      </c>
    </row>
    <row r="406" customFormat="false" ht="15" hidden="false" customHeight="false" outlineLevel="0" collapsed="false">
      <c r="A406" s="6" t="s">
        <v>489</v>
      </c>
      <c r="B406" s="6" t="str">
        <f aca="false">INDEX(Data!$H$2:$H$3990,MATCH(A406,Data!$A$2:$A$3990,0))</f>
        <v>Switzerland</v>
      </c>
      <c r="C406" s="19" t="n">
        <f aca="false">SUMIFS(Data!$I$2:$I$3990,Data!$A$2:$A$3990,A406,Data!$J$2:$J$3990,1)</f>
        <v>5200.56</v>
      </c>
      <c r="D406" s="6" t="str">
        <f aca="false">IF(C406&gt;10000,"HIGH VALUE","")</f>
        <v/>
      </c>
    </row>
    <row r="407" customFormat="false" ht="15" hidden="false" customHeight="false" outlineLevel="0" collapsed="false">
      <c r="A407" s="6" t="s">
        <v>488</v>
      </c>
      <c r="B407" s="6" t="str">
        <f aca="false">INDEX(Data!$H$2:$H$3990,MATCH(A407,Data!$A$2:$A$3990,0))</f>
        <v>United Kingdom</v>
      </c>
      <c r="C407" s="19" t="n">
        <f aca="false">SUMIFS(Data!$I$2:$I$3990,Data!$A$2:$A$3990,A407,Data!$J$2:$J$3990,1)</f>
        <v>12.56</v>
      </c>
      <c r="D407" s="6" t="str">
        <f aca="false">IF(C407&gt;10000,"HIGH VALUE","")</f>
        <v/>
      </c>
    </row>
    <row r="408" customFormat="false" ht="15" hidden="false" customHeight="false" outlineLevel="0" collapsed="false">
      <c r="A408" s="6" t="s">
        <v>495</v>
      </c>
      <c r="B408" s="6" t="str">
        <f aca="false">INDEX(Data!$H$2:$H$3990,MATCH(A408,Data!$A$2:$A$3990,0))</f>
        <v>United Kingdom</v>
      </c>
      <c r="C408" s="19" t="n">
        <f aca="false">SUMIFS(Data!$I$2:$I$3990,Data!$A$2:$A$3990,A408,Data!$J$2:$J$3990,1)</f>
        <v>22.84</v>
      </c>
      <c r="D408" s="6" t="str">
        <f aca="false">IF(C408&gt;10000,"HIGH VALUE","")</f>
        <v/>
      </c>
    </row>
    <row r="409" customFormat="false" ht="15" hidden="false" customHeight="false" outlineLevel="0" collapsed="false">
      <c r="A409" s="6" t="s">
        <v>491</v>
      </c>
      <c r="B409" s="6" t="str">
        <f aca="false">INDEX(Data!$H$2:$H$3990,MATCH(A409,Data!$A$2:$A$3990,0))</f>
        <v>United Kingdom</v>
      </c>
      <c r="C409" s="19" t="n">
        <f aca="false">SUMIFS(Data!$I$2:$I$3990,Data!$A$2:$A$3990,A409,Data!$J$2:$J$3990,1)</f>
        <v>2607.36</v>
      </c>
      <c r="D409" s="6" t="str">
        <f aca="false">IF(C409&gt;10000,"HIGH VALUE","")</f>
        <v/>
      </c>
    </row>
    <row r="410" customFormat="false" ht="15" hidden="false" customHeight="false" outlineLevel="0" collapsed="false">
      <c r="A410" s="6" t="s">
        <v>494</v>
      </c>
      <c r="B410" s="6" t="str">
        <f aca="false">INDEX(Data!$H$2:$H$3990,MATCH(A410,Data!$A$2:$A$3990,0))</f>
        <v>United Kingdom</v>
      </c>
      <c r="C410" s="19" t="n">
        <f aca="false">SUMIFS(Data!$I$2:$I$3990,Data!$A$2:$A$3990,A410,Data!$J$2:$J$3990,1)</f>
        <v>157.07</v>
      </c>
      <c r="D410" s="6" t="str">
        <f aca="false">IF(C410&gt;10000,"HIGH VALUE","")</f>
        <v/>
      </c>
    </row>
    <row r="411" customFormat="false" ht="15" hidden="false" customHeight="false" outlineLevel="0" collapsed="false">
      <c r="A411" s="6" t="s">
        <v>492</v>
      </c>
      <c r="B411" s="6" t="str">
        <f aca="false">INDEX(Data!$H$2:$H$3990,MATCH(A411,Data!$A$2:$A$3990,0))</f>
        <v>Australia</v>
      </c>
      <c r="C411" s="19" t="n">
        <f aca="false">SUMIFS(Data!$I$2:$I$3990,Data!$A$2:$A$3990,A411,Data!$J$2:$J$3990,1)</f>
        <v>161.27</v>
      </c>
      <c r="D411" s="6" t="str">
        <f aca="false">IF(C411&gt;10000,"HIGH VALUE","")</f>
        <v/>
      </c>
    </row>
    <row r="412" customFormat="false" ht="15" hidden="false" customHeight="false" outlineLevel="0" collapsed="false">
      <c r="A412" s="6" t="s">
        <v>496</v>
      </c>
      <c r="B412" s="6" t="str">
        <f aca="false">INDEX(Data!$H$2:$H$3990,MATCH(A412,Data!$A$2:$A$3990,0))</f>
        <v>United Kingdom</v>
      </c>
      <c r="C412" s="19" t="n">
        <f aca="false">SUMIFS(Data!$I$2:$I$3990,Data!$A$2:$A$3990,A412,Data!$J$2:$J$3990,1)</f>
        <v>5.04</v>
      </c>
      <c r="D412" s="6" t="str">
        <f aca="false">IF(C412&gt;10000,"HIGH VALUE","")</f>
        <v/>
      </c>
    </row>
    <row r="413" customFormat="false" ht="15" hidden="false" customHeight="false" outlineLevel="0" collapsed="false">
      <c r="A413" s="6" t="s">
        <v>497</v>
      </c>
      <c r="B413" s="6" t="str">
        <f aca="false">INDEX(Data!$H$2:$H$3990,MATCH(A413,Data!$A$2:$A$3990,0))</f>
        <v>United Kingdom</v>
      </c>
      <c r="C413" s="19" t="n">
        <f aca="false">SUMIFS(Data!$I$2:$I$3990,Data!$A$2:$A$3990,A413,Data!$J$2:$J$3990,1)</f>
        <v>122.26</v>
      </c>
      <c r="D413" s="6" t="str">
        <f aca="false">IF(C413&gt;10000,"HIGH VALUE","")</f>
        <v/>
      </c>
    </row>
    <row r="414" customFormat="false" ht="15" hidden="false" customHeight="false" outlineLevel="0" collapsed="false">
      <c r="A414" s="6" t="s">
        <v>498</v>
      </c>
      <c r="B414" s="6" t="str">
        <f aca="false">INDEX(Data!$H$2:$H$3990,MATCH(A414,Data!$A$2:$A$3990,0))</f>
        <v>United Kingdom</v>
      </c>
      <c r="C414" s="19" t="n">
        <f aca="false">SUMIFS(Data!$I$2:$I$3990,Data!$A$2:$A$3990,A414,Data!$J$2:$J$3990,1)</f>
        <v>74.04</v>
      </c>
      <c r="D414" s="6" t="str">
        <f aca="false">IF(C414&gt;10000,"HIGH VALUE","")</f>
        <v/>
      </c>
    </row>
    <row r="415" customFormat="false" ht="15" hidden="false" customHeight="false" outlineLevel="0" collapsed="false">
      <c r="A415" s="6" t="s">
        <v>499</v>
      </c>
      <c r="B415" s="6" t="str">
        <f aca="false">INDEX(Data!$H$2:$H$3990,MATCH(A415,Data!$A$2:$A$3990,0))</f>
        <v>United Kingdom</v>
      </c>
      <c r="C415" s="19" t="n">
        <f aca="false">SUMIFS(Data!$I$2:$I$3990,Data!$A$2:$A$3990,A415,Data!$J$2:$J$3990,1)</f>
        <v>122.3</v>
      </c>
      <c r="D415" s="6" t="str">
        <f aca="false">IF(C415&gt;10000,"HIGH VALUE","")</f>
        <v/>
      </c>
    </row>
    <row r="416" customFormat="false" ht="15" hidden="false" customHeight="false" outlineLevel="0" collapsed="false">
      <c r="A416" s="6" t="s">
        <v>501</v>
      </c>
      <c r="B416" s="6" t="str">
        <f aca="false">INDEX(Data!$H$2:$H$3990,MATCH(A416,Data!$A$2:$A$3990,0))</f>
        <v>United Kingdom</v>
      </c>
      <c r="C416" s="19" t="n">
        <f aca="false">SUMIFS(Data!$I$2:$I$3990,Data!$A$2:$A$3990,A416,Data!$J$2:$J$3990,1)</f>
        <v>19.21</v>
      </c>
      <c r="D416" s="6" t="str">
        <f aca="false">IF(C416&gt;10000,"HIGH VALUE","")</f>
        <v/>
      </c>
    </row>
    <row r="417" customFormat="false" ht="15" hidden="false" customHeight="false" outlineLevel="0" collapsed="false">
      <c r="A417" s="6" t="s">
        <v>500</v>
      </c>
      <c r="B417" s="6" t="str">
        <f aca="false">INDEX(Data!$H$2:$H$3990,MATCH(A417,Data!$A$2:$A$3990,0))</f>
        <v>United Kingdom</v>
      </c>
      <c r="C417" s="19" t="n">
        <f aca="false">SUMIFS(Data!$I$2:$I$3990,Data!$A$2:$A$3990,A417,Data!$J$2:$J$3990,1)</f>
        <v>25.54</v>
      </c>
      <c r="D417" s="6" t="str">
        <f aca="false">IF(C417&gt;10000,"HIGH VALUE","")</f>
        <v/>
      </c>
    </row>
    <row r="418" customFormat="false" ht="15" hidden="false" customHeight="false" outlineLevel="0" collapsed="false">
      <c r="A418" s="6" t="s">
        <v>503</v>
      </c>
      <c r="B418" s="6" t="str">
        <f aca="false">INDEX(Data!$H$2:$H$3990,MATCH(A418,Data!$A$2:$A$3990,0))</f>
        <v>United Kingdom</v>
      </c>
      <c r="C418" s="19" t="n">
        <f aca="false">SUMIFS(Data!$I$2:$I$3990,Data!$A$2:$A$3990,A418,Data!$J$2:$J$3990,1)</f>
        <v>81.98</v>
      </c>
      <c r="D418" s="6" t="str">
        <f aca="false">IF(C418&gt;10000,"HIGH VALUE","")</f>
        <v/>
      </c>
    </row>
    <row r="419" customFormat="false" ht="15" hidden="false" customHeight="false" outlineLevel="0" collapsed="false">
      <c r="A419" s="6" t="s">
        <v>502</v>
      </c>
      <c r="B419" s="6" t="str">
        <f aca="false">INDEX(Data!$H$2:$H$3990,MATCH(A419,Data!$A$2:$A$3990,0))</f>
        <v>United Kingdom</v>
      </c>
      <c r="C419" s="19" t="n">
        <f aca="false">SUMIFS(Data!$I$2:$I$3990,Data!$A$2:$A$3990,A419,Data!$J$2:$J$3990,1)</f>
        <v>109.08</v>
      </c>
      <c r="D419" s="6" t="str">
        <f aca="false">IF(C419&gt;10000,"HIGH VALUE","")</f>
        <v/>
      </c>
    </row>
    <row r="420" customFormat="false" ht="15" hidden="false" customHeight="false" outlineLevel="0" collapsed="false">
      <c r="A420" s="6" t="s">
        <v>506</v>
      </c>
      <c r="B420" s="6" t="str">
        <f aca="false">INDEX(Data!$H$2:$H$3990,MATCH(A420,Data!$A$2:$A$3990,0))</f>
        <v>Switzerland</v>
      </c>
      <c r="C420" s="19" t="n">
        <f aca="false">SUMIFS(Data!$I$2:$I$3990,Data!$A$2:$A$3990,A420,Data!$J$2:$J$3990,1)</f>
        <v>71.28</v>
      </c>
      <c r="D420" s="6" t="str">
        <f aca="false">IF(C420&gt;10000,"HIGH VALUE","")</f>
        <v/>
      </c>
    </row>
    <row r="421" customFormat="false" ht="15" hidden="false" customHeight="false" outlineLevel="0" collapsed="false">
      <c r="A421" s="6" t="s">
        <v>507</v>
      </c>
      <c r="B421" s="6" t="str">
        <f aca="false">INDEX(Data!$H$2:$H$3990,MATCH(A421,Data!$A$2:$A$3990,0))</f>
        <v>United Kingdom</v>
      </c>
      <c r="C421" s="19" t="n">
        <f aca="false">SUMIFS(Data!$I$2:$I$3990,Data!$A$2:$A$3990,A421,Data!$J$2:$J$3990,1)</f>
        <v>725.76</v>
      </c>
      <c r="D421" s="6" t="str">
        <f aca="false">IF(C421&gt;10000,"HIGH VALUE","")</f>
        <v/>
      </c>
    </row>
    <row r="422" customFormat="false" ht="15" hidden="false" customHeight="false" outlineLevel="0" collapsed="false">
      <c r="A422" s="6" t="s">
        <v>505</v>
      </c>
      <c r="B422" s="6" t="str">
        <f aca="false">INDEX(Data!$H$2:$H$3990,MATCH(A422,Data!$A$2:$A$3990,0))</f>
        <v>United Kingdom</v>
      </c>
      <c r="C422" s="19" t="n">
        <f aca="false">SUMIFS(Data!$I$2:$I$3990,Data!$A$2:$A$3990,A422,Data!$J$2:$J$3990,1)</f>
        <v>3648.72</v>
      </c>
      <c r="D422" s="6" t="str">
        <f aca="false">IF(C422&gt;10000,"HIGH VALUE","")</f>
        <v/>
      </c>
    </row>
    <row r="423" customFormat="false" ht="15" hidden="false" customHeight="false" outlineLevel="0" collapsed="false">
      <c r="A423" s="6" t="s">
        <v>508</v>
      </c>
      <c r="B423" s="6" t="str">
        <f aca="false">INDEX(Data!$H$2:$H$3990,MATCH(A423,Data!$A$2:$A$3990,0))</f>
        <v>United Kingdom</v>
      </c>
      <c r="C423" s="19" t="n">
        <f aca="false">SUMIFS(Data!$I$2:$I$3990,Data!$A$2:$A$3990,A423,Data!$J$2:$J$3990,1)</f>
        <v>57.06</v>
      </c>
      <c r="D423" s="6" t="str">
        <f aca="false">IF(C423&gt;10000,"HIGH VALUE","")</f>
        <v/>
      </c>
    </row>
    <row r="424" customFormat="false" ht="15" hidden="false" customHeight="false" outlineLevel="0" collapsed="false">
      <c r="A424" s="6" t="s">
        <v>504</v>
      </c>
      <c r="B424" s="6" t="str">
        <f aca="false">INDEX(Data!$H$2:$H$3990,MATCH(A424,Data!$A$2:$A$3990,0))</f>
        <v>Germany</v>
      </c>
      <c r="C424" s="19" t="n">
        <f aca="false">SUMIFS(Data!$I$2:$I$3990,Data!$A$2:$A$3990,A424,Data!$J$2:$J$3990,1)</f>
        <v>319.4</v>
      </c>
      <c r="D424" s="6" t="str">
        <f aca="false">IF(C424&gt;10000,"HIGH VALUE","")</f>
        <v/>
      </c>
    </row>
    <row r="425" customFormat="false" ht="15" hidden="false" customHeight="false" outlineLevel="0" collapsed="false">
      <c r="A425" s="6" t="s">
        <v>511</v>
      </c>
      <c r="B425" s="6" t="str">
        <f aca="false">INDEX(Data!$H$2:$H$3990,MATCH(A425,Data!$A$2:$A$3990,0))</f>
        <v>United Kingdom</v>
      </c>
      <c r="C425" s="19" t="n">
        <f aca="false">SUMIFS(Data!$I$2:$I$3990,Data!$A$2:$A$3990,A425,Data!$J$2:$J$3990,1)</f>
        <v>9.1</v>
      </c>
      <c r="D425" s="6" t="str">
        <f aca="false">IF(C425&gt;10000,"HIGH VALUE","")</f>
        <v/>
      </c>
    </row>
    <row r="426" customFormat="false" ht="15" hidden="false" customHeight="false" outlineLevel="0" collapsed="false">
      <c r="A426" s="6" t="s">
        <v>510</v>
      </c>
      <c r="B426" s="6" t="str">
        <f aca="false">INDEX(Data!$H$2:$H$3990,MATCH(A426,Data!$A$2:$A$3990,0))</f>
        <v>France</v>
      </c>
      <c r="C426" s="19" t="n">
        <f aca="false">SUMIFS(Data!$I$2:$I$3990,Data!$A$2:$A$3990,A426,Data!$J$2:$J$3990,1)</f>
        <v>64.04</v>
      </c>
      <c r="D426" s="6" t="str">
        <f aca="false">IF(C426&gt;10000,"HIGH VALUE","")</f>
        <v/>
      </c>
    </row>
    <row r="427" customFormat="false" ht="15" hidden="false" customHeight="false" outlineLevel="0" collapsed="false">
      <c r="A427" s="6" t="s">
        <v>509</v>
      </c>
      <c r="B427" s="6" t="str">
        <f aca="false">INDEX(Data!$H$2:$H$3990,MATCH(A427,Data!$A$2:$A$3990,0))</f>
        <v>United Kingdom</v>
      </c>
      <c r="C427" s="19" t="n">
        <f aca="false">SUMIFS(Data!$I$2:$I$3990,Data!$A$2:$A$3990,A427,Data!$J$2:$J$3990,1)</f>
        <v>11.82</v>
      </c>
      <c r="D427" s="6" t="str">
        <f aca="false">IF(C427&gt;10000,"HIGH VALUE","")</f>
        <v/>
      </c>
    </row>
    <row r="428" customFormat="false" ht="15" hidden="false" customHeight="false" outlineLevel="0" collapsed="false">
      <c r="A428" s="6" t="s">
        <v>512</v>
      </c>
      <c r="B428" s="6" t="str">
        <f aca="false">INDEX(Data!$H$2:$H$3990,MATCH(A428,Data!$A$2:$A$3990,0))</f>
        <v>United Kingdom</v>
      </c>
      <c r="C428" s="19" t="n">
        <f aca="false">SUMIFS(Data!$I$2:$I$3990,Data!$A$2:$A$3990,A428,Data!$J$2:$J$3990,1)</f>
        <v>24.3</v>
      </c>
      <c r="D428" s="6" t="str">
        <f aca="false">IF(C428&gt;10000,"HIGH VALUE","")</f>
        <v/>
      </c>
    </row>
    <row r="429" customFormat="false" ht="15" hidden="false" customHeight="false" outlineLevel="0" collapsed="false">
      <c r="A429" s="6" t="s">
        <v>515</v>
      </c>
      <c r="B429" s="6" t="str">
        <f aca="false">INDEX(Data!$H$2:$H$3990,MATCH(A429,Data!$A$2:$A$3990,0))</f>
        <v>United Kingdom</v>
      </c>
      <c r="C429" s="19" t="n">
        <f aca="false">SUMIFS(Data!$I$2:$I$3990,Data!$A$2:$A$3990,A429,Data!$J$2:$J$3990,1)</f>
        <v>5.28</v>
      </c>
      <c r="D429" s="6" t="str">
        <f aca="false">IF(C429&gt;10000,"HIGH VALUE","")</f>
        <v/>
      </c>
    </row>
    <row r="430" customFormat="false" ht="15" hidden="false" customHeight="false" outlineLevel="0" collapsed="false">
      <c r="A430" s="6" t="s">
        <v>516</v>
      </c>
      <c r="B430" s="6" t="str">
        <f aca="false">INDEX(Data!$H$2:$H$3990,MATCH(A430,Data!$A$2:$A$3990,0))</f>
        <v>United Kingdom</v>
      </c>
      <c r="C430" s="19" t="n">
        <f aca="false">SUMIFS(Data!$I$2:$I$3990,Data!$A$2:$A$3990,A430,Data!$J$2:$J$3990,1)</f>
        <v>15.59</v>
      </c>
      <c r="D430" s="6" t="str">
        <f aca="false">IF(C430&gt;10000,"HIGH VALUE","")</f>
        <v/>
      </c>
    </row>
    <row r="431" customFormat="false" ht="15" hidden="false" customHeight="false" outlineLevel="0" collapsed="false">
      <c r="A431" s="6" t="s">
        <v>513</v>
      </c>
      <c r="B431" s="6" t="str">
        <f aca="false">INDEX(Data!$H$2:$H$3990,MATCH(A431,Data!$A$2:$A$3990,0))</f>
        <v>United Kingdom</v>
      </c>
      <c r="C431" s="19" t="n">
        <f aca="false">SUMIFS(Data!$I$2:$I$3990,Data!$A$2:$A$3990,A431,Data!$J$2:$J$3990,1)</f>
        <v>17.31</v>
      </c>
      <c r="D431" s="6" t="str">
        <f aca="false">IF(C431&gt;10000,"HIGH VALUE","")</f>
        <v/>
      </c>
    </row>
    <row r="432" customFormat="false" ht="15" hidden="false" customHeight="false" outlineLevel="0" collapsed="false">
      <c r="A432" s="6" t="s">
        <v>514</v>
      </c>
      <c r="B432" s="6" t="str">
        <f aca="false">INDEX(Data!$H$2:$H$3990,MATCH(A432,Data!$A$2:$A$3990,0))</f>
        <v>United Kingdom</v>
      </c>
      <c r="C432" s="19" t="n">
        <f aca="false">SUMIFS(Data!$I$2:$I$3990,Data!$A$2:$A$3990,A432,Data!$J$2:$J$3990,1)</f>
        <v>1444.8</v>
      </c>
      <c r="D432" s="6" t="str">
        <f aca="false">IF(C432&gt;10000,"HIGH VALUE","")</f>
        <v/>
      </c>
    </row>
    <row r="433" customFormat="false" ht="15" hidden="false" customHeight="false" outlineLevel="0" collapsed="false">
      <c r="A433" s="6" t="s">
        <v>518</v>
      </c>
      <c r="B433" s="6" t="str">
        <f aca="false">INDEX(Data!$H$2:$H$3990,MATCH(A433,Data!$A$2:$A$3990,0))</f>
        <v>United Kingdom</v>
      </c>
      <c r="C433" s="19" t="n">
        <f aca="false">SUMIFS(Data!$I$2:$I$3990,Data!$A$2:$A$3990,A433,Data!$J$2:$J$3990,1)</f>
        <v>54.9</v>
      </c>
      <c r="D433" s="6" t="str">
        <f aca="false">IF(C433&gt;10000,"HIGH VALUE","")</f>
        <v/>
      </c>
    </row>
    <row r="434" customFormat="false" ht="15" hidden="false" customHeight="false" outlineLevel="0" collapsed="false">
      <c r="A434" s="6" t="s">
        <v>520</v>
      </c>
      <c r="B434" s="6" t="str">
        <f aca="false">INDEX(Data!$H$2:$H$3990,MATCH(A434,Data!$A$2:$A$3990,0))</f>
        <v>United Kingdom</v>
      </c>
      <c r="C434" s="19" t="n">
        <f aca="false">SUMIFS(Data!$I$2:$I$3990,Data!$A$2:$A$3990,A434,Data!$J$2:$J$3990,1)</f>
        <v>553.68</v>
      </c>
      <c r="D434" s="6" t="str">
        <f aca="false">IF(C434&gt;10000,"HIGH VALUE","")</f>
        <v/>
      </c>
    </row>
    <row r="435" customFormat="false" ht="15" hidden="false" customHeight="false" outlineLevel="0" collapsed="false">
      <c r="A435" s="6" t="s">
        <v>519</v>
      </c>
      <c r="B435" s="6" t="str">
        <f aca="false">INDEX(Data!$H$2:$H$3990,MATCH(A435,Data!$A$2:$A$3990,0))</f>
        <v>United Kingdom</v>
      </c>
      <c r="C435" s="19" t="n">
        <f aca="false">SUMIFS(Data!$I$2:$I$3990,Data!$A$2:$A$3990,A435,Data!$J$2:$J$3990,1)</f>
        <v>3519.06</v>
      </c>
      <c r="D435" s="6" t="str">
        <f aca="false">IF(C435&gt;10000,"HIGH VALUE","")</f>
        <v/>
      </c>
    </row>
    <row r="436" customFormat="false" ht="15" hidden="false" customHeight="false" outlineLevel="0" collapsed="false">
      <c r="A436" s="6" t="s">
        <v>517</v>
      </c>
      <c r="B436" s="6" t="str">
        <f aca="false">INDEX(Data!$H$2:$H$3990,MATCH(A436,Data!$A$2:$A$3990,0))</f>
        <v>United Kingdom</v>
      </c>
      <c r="C436" s="19" t="n">
        <f aca="false">SUMIFS(Data!$I$2:$I$3990,Data!$A$2:$A$3990,A436,Data!$J$2:$J$3990,1)</f>
        <v>11.1</v>
      </c>
      <c r="D436" s="6" t="str">
        <f aca="false">IF(C436&gt;10000,"HIGH VALUE","")</f>
        <v/>
      </c>
    </row>
    <row r="437" customFormat="false" ht="15" hidden="false" customHeight="false" outlineLevel="0" collapsed="false">
      <c r="A437" s="6" t="s">
        <v>521</v>
      </c>
      <c r="B437" s="6" t="str">
        <f aca="false">INDEX(Data!$H$2:$H$3990,MATCH(A437,Data!$A$2:$A$3990,0))</f>
        <v>United Kingdom</v>
      </c>
      <c r="C437" s="19" t="n">
        <f aca="false">SUMIFS(Data!$I$2:$I$3990,Data!$A$2:$A$3990,A437,Data!$J$2:$J$3990,1)</f>
        <v>85.58</v>
      </c>
      <c r="D437" s="6" t="str">
        <f aca="false">IF(C437&gt;10000,"HIGH VALUE","")</f>
        <v/>
      </c>
    </row>
    <row r="438" customFormat="false" ht="15" hidden="false" customHeight="false" outlineLevel="0" collapsed="false">
      <c r="A438" s="6" t="s">
        <v>522</v>
      </c>
      <c r="B438" s="6" t="str">
        <f aca="false">INDEX(Data!$H$2:$H$3990,MATCH(A438,Data!$A$2:$A$3990,0))</f>
        <v>United Kingdom</v>
      </c>
      <c r="C438" s="19" t="n">
        <f aca="false">SUMIFS(Data!$I$2:$I$3990,Data!$A$2:$A$3990,A438,Data!$J$2:$J$3990,1)</f>
        <v>8.32</v>
      </c>
      <c r="D438" s="6" t="str">
        <f aca="false">IF(C438&gt;10000,"HIGH VALUE","")</f>
        <v/>
      </c>
    </row>
    <row r="439" customFormat="false" ht="15" hidden="false" customHeight="false" outlineLevel="0" collapsed="false">
      <c r="A439" s="6" t="s">
        <v>524</v>
      </c>
      <c r="B439" s="6" t="str">
        <f aca="false">INDEX(Data!$H$2:$H$3990,MATCH(A439,Data!$A$2:$A$3990,0))</f>
        <v>Spain</v>
      </c>
      <c r="C439" s="19" t="n">
        <f aca="false">SUMIFS(Data!$I$2:$I$3990,Data!$A$2:$A$3990,A439,Data!$J$2:$J$3990,1)</f>
        <v>15.96</v>
      </c>
      <c r="D439" s="6" t="str">
        <f aca="false">IF(C439&gt;10000,"HIGH VALUE","")</f>
        <v/>
      </c>
    </row>
    <row r="440" customFormat="false" ht="15" hidden="false" customHeight="false" outlineLevel="0" collapsed="false">
      <c r="A440" s="6" t="s">
        <v>523</v>
      </c>
      <c r="B440" s="6" t="str">
        <f aca="false">INDEX(Data!$H$2:$H$3990,MATCH(A440,Data!$A$2:$A$3990,0))</f>
        <v>United Kingdom</v>
      </c>
      <c r="C440" s="19" t="n">
        <f aca="false">SUMIFS(Data!$I$2:$I$3990,Data!$A$2:$A$3990,A440,Data!$J$2:$J$3990,1)</f>
        <v>1505.64</v>
      </c>
      <c r="D440" s="6" t="str">
        <f aca="false">IF(C440&gt;10000,"HIGH VALUE","")</f>
        <v/>
      </c>
    </row>
    <row r="441" customFormat="false" ht="15" hidden="false" customHeight="false" outlineLevel="0" collapsed="false">
      <c r="A441" s="6" t="s">
        <v>527</v>
      </c>
      <c r="B441" s="6" t="str">
        <f aca="false">INDEX(Data!$H$2:$H$3990,MATCH(A441,Data!$A$2:$A$3990,0))</f>
        <v>United Kingdom</v>
      </c>
      <c r="C441" s="19" t="n">
        <f aca="false">SUMIFS(Data!$I$2:$I$3990,Data!$A$2:$A$3990,A441,Data!$J$2:$J$3990,1)</f>
        <v>85.26</v>
      </c>
      <c r="D441" s="6" t="str">
        <f aca="false">IF(C441&gt;10000,"HIGH VALUE","")</f>
        <v/>
      </c>
    </row>
    <row r="442" customFormat="false" ht="15" hidden="false" customHeight="false" outlineLevel="0" collapsed="false">
      <c r="A442" s="6" t="s">
        <v>525</v>
      </c>
      <c r="B442" s="6" t="str">
        <f aca="false">INDEX(Data!$H$2:$H$3990,MATCH(A442,Data!$A$2:$A$3990,0))</f>
        <v>United Kingdom</v>
      </c>
      <c r="C442" s="19" t="n">
        <f aca="false">SUMIFS(Data!$I$2:$I$3990,Data!$A$2:$A$3990,A442,Data!$J$2:$J$3990,1)</f>
        <v>19</v>
      </c>
      <c r="D442" s="6" t="str">
        <f aca="false">IF(C442&gt;10000,"HIGH VALUE","")</f>
        <v/>
      </c>
    </row>
    <row r="443" customFormat="false" ht="15" hidden="false" customHeight="false" outlineLevel="0" collapsed="false">
      <c r="A443" s="6" t="s">
        <v>526</v>
      </c>
      <c r="B443" s="6" t="str">
        <f aca="false">INDEX(Data!$H$2:$H$3990,MATCH(A443,Data!$A$2:$A$3990,0))</f>
        <v>United Kingdom</v>
      </c>
      <c r="C443" s="19" t="n">
        <f aca="false">SUMIFS(Data!$I$2:$I$3990,Data!$A$2:$A$3990,A443,Data!$J$2:$J$3990,1)</f>
        <v>2598.36</v>
      </c>
      <c r="D443" s="6" t="str">
        <f aca="false">IF(C443&gt;10000,"HIGH VALUE","")</f>
        <v/>
      </c>
    </row>
    <row r="444" customFormat="false" ht="15" hidden="false" customHeight="false" outlineLevel="0" collapsed="false">
      <c r="A444" s="6" t="s">
        <v>528</v>
      </c>
      <c r="B444" s="6" t="str">
        <f aca="false">INDEX(Data!$H$2:$H$3990,MATCH(A444,Data!$A$2:$A$3990,0))</f>
        <v>United Kingdom</v>
      </c>
      <c r="C444" s="19" t="n">
        <f aca="false">SUMIFS(Data!$I$2:$I$3990,Data!$A$2:$A$3990,A444,Data!$J$2:$J$3990,1)</f>
        <v>32.26</v>
      </c>
      <c r="D444" s="6" t="str">
        <f aca="false">IF(C444&gt;10000,"HIGH VALUE","")</f>
        <v/>
      </c>
    </row>
    <row r="445" customFormat="false" ht="15" hidden="false" customHeight="false" outlineLevel="0" collapsed="false">
      <c r="A445" s="6" t="s">
        <v>529</v>
      </c>
      <c r="B445" s="6" t="str">
        <f aca="false">INDEX(Data!$H$2:$H$3990,MATCH(A445,Data!$A$2:$A$3990,0))</f>
        <v>United Kingdom</v>
      </c>
      <c r="C445" s="19" t="n">
        <f aca="false">SUMIFS(Data!$I$2:$I$3990,Data!$A$2:$A$3990,A445,Data!$J$2:$J$3990,1)</f>
        <v>212.16</v>
      </c>
      <c r="D445" s="6" t="str">
        <f aca="false">IF(C445&gt;10000,"HIGH VALUE","")</f>
        <v/>
      </c>
    </row>
    <row r="446" customFormat="false" ht="15" hidden="false" customHeight="false" outlineLevel="0" collapsed="false">
      <c r="A446" s="6" t="s">
        <v>531</v>
      </c>
      <c r="B446" s="6" t="str">
        <f aca="false">INDEX(Data!$H$2:$H$3990,MATCH(A446,Data!$A$2:$A$3990,0))</f>
        <v>United Kingdom</v>
      </c>
      <c r="C446" s="19" t="n">
        <f aca="false">SUMIFS(Data!$I$2:$I$3990,Data!$A$2:$A$3990,A446,Data!$J$2:$J$3990,1)</f>
        <v>4.05</v>
      </c>
      <c r="D446" s="6" t="str">
        <f aca="false">IF(C446&gt;10000,"HIGH VALUE","")</f>
        <v/>
      </c>
    </row>
    <row r="447" customFormat="false" ht="15" hidden="false" customHeight="false" outlineLevel="0" collapsed="false">
      <c r="A447" s="6" t="s">
        <v>532</v>
      </c>
      <c r="B447" s="6" t="str">
        <f aca="false">INDEX(Data!$H$2:$H$3990,MATCH(A447,Data!$A$2:$A$3990,0))</f>
        <v>United Kingdom</v>
      </c>
      <c r="C447" s="19" t="n">
        <f aca="false">SUMIFS(Data!$I$2:$I$3990,Data!$A$2:$A$3990,A447,Data!$J$2:$J$3990,1)</f>
        <v>4.54</v>
      </c>
      <c r="D447" s="6" t="str">
        <f aca="false">IF(C447&gt;10000,"HIGH VALUE","")</f>
        <v/>
      </c>
    </row>
    <row r="448" customFormat="false" ht="15" hidden="false" customHeight="false" outlineLevel="0" collapsed="false">
      <c r="A448" s="6" t="s">
        <v>530</v>
      </c>
      <c r="B448" s="6" t="str">
        <f aca="false">INDEX(Data!$H$2:$H$3990,MATCH(A448,Data!$A$2:$A$3990,0))</f>
        <v>France</v>
      </c>
      <c r="C448" s="19" t="n">
        <f aca="false">SUMIFS(Data!$I$2:$I$3990,Data!$A$2:$A$3990,A448,Data!$J$2:$J$3990,1)</f>
        <v>65.56</v>
      </c>
      <c r="D448" s="6" t="str">
        <f aca="false">IF(C448&gt;10000,"HIGH VALUE","")</f>
        <v/>
      </c>
    </row>
    <row r="449" customFormat="false" ht="15" hidden="false" customHeight="false" outlineLevel="0" collapsed="false">
      <c r="A449" s="6" t="s">
        <v>535</v>
      </c>
      <c r="B449" s="6" t="str">
        <f aca="false">INDEX(Data!$H$2:$H$3990,MATCH(A449,Data!$A$2:$A$3990,0))</f>
        <v>United Kingdom</v>
      </c>
      <c r="C449" s="19" t="n">
        <f aca="false">SUMIFS(Data!$I$2:$I$3990,Data!$A$2:$A$3990,A449,Data!$J$2:$J$3990,1)</f>
        <v>27.42</v>
      </c>
      <c r="D449" s="6" t="str">
        <f aca="false">IF(C449&gt;10000,"HIGH VALUE","")</f>
        <v/>
      </c>
    </row>
    <row r="450" customFormat="false" ht="15" hidden="false" customHeight="false" outlineLevel="0" collapsed="false">
      <c r="A450" s="6" t="s">
        <v>533</v>
      </c>
      <c r="B450" s="6" t="str">
        <f aca="false">INDEX(Data!$H$2:$H$3990,MATCH(A450,Data!$A$2:$A$3990,0))</f>
        <v>Germany</v>
      </c>
      <c r="C450" s="19" t="n">
        <f aca="false">SUMIFS(Data!$I$2:$I$3990,Data!$A$2:$A$3990,A450,Data!$J$2:$J$3990,1)</f>
        <v>4274.88</v>
      </c>
      <c r="D450" s="6" t="str">
        <f aca="false">IF(C450&gt;10000,"HIGH VALUE","")</f>
        <v/>
      </c>
    </row>
    <row r="451" customFormat="false" ht="15" hidden="false" customHeight="false" outlineLevel="0" collapsed="false">
      <c r="A451" s="6" t="s">
        <v>534</v>
      </c>
      <c r="B451" s="6" t="str">
        <f aca="false">INDEX(Data!$H$2:$H$3990,MATCH(A451,Data!$A$2:$A$3990,0))</f>
        <v>United Kingdom</v>
      </c>
      <c r="C451" s="19" t="n">
        <f aca="false">SUMIFS(Data!$I$2:$I$3990,Data!$A$2:$A$3990,A451,Data!$J$2:$J$3990,1)</f>
        <v>84.17</v>
      </c>
      <c r="D451" s="6" t="str">
        <f aca="false">IF(C451&gt;10000,"HIGH VALUE","")</f>
        <v/>
      </c>
    </row>
    <row r="452" customFormat="false" ht="15" hidden="false" customHeight="false" outlineLevel="0" collapsed="false">
      <c r="A452" s="6" t="s">
        <v>536</v>
      </c>
      <c r="B452" s="6" t="str">
        <f aca="false">INDEX(Data!$H$2:$H$3990,MATCH(A452,Data!$A$2:$A$3990,0))</f>
        <v>United Kingdom</v>
      </c>
      <c r="C452" s="19" t="n">
        <f aca="false">SUMIFS(Data!$I$2:$I$3990,Data!$A$2:$A$3990,A452,Data!$J$2:$J$3990,1)</f>
        <v>57.18</v>
      </c>
      <c r="D452" s="6" t="str">
        <f aca="false">IF(C452&gt;10000,"HIGH VALUE","")</f>
        <v/>
      </c>
    </row>
    <row r="453" customFormat="false" ht="15" hidden="false" customHeight="false" outlineLevel="0" collapsed="false">
      <c r="A453" s="6" t="s">
        <v>537</v>
      </c>
      <c r="B453" s="6" t="str">
        <f aca="false">INDEX(Data!$H$2:$H$3990,MATCH(A453,Data!$A$2:$A$3990,0))</f>
        <v>United Kingdom</v>
      </c>
      <c r="C453" s="19" t="n">
        <f aca="false">SUMIFS(Data!$I$2:$I$3990,Data!$A$2:$A$3990,A453,Data!$J$2:$J$3990,1)</f>
        <v>2962.08</v>
      </c>
      <c r="D453" s="6" t="str">
        <f aca="false">IF(C453&gt;10000,"HIGH VALUE","")</f>
        <v/>
      </c>
    </row>
    <row r="454" customFormat="false" ht="15" hidden="false" customHeight="false" outlineLevel="0" collapsed="false">
      <c r="A454" s="6" t="s">
        <v>538</v>
      </c>
      <c r="B454" s="6" t="str">
        <f aca="false">INDEX(Data!$H$2:$H$3990,MATCH(A454,Data!$A$2:$A$3990,0))</f>
        <v>United Kingdom</v>
      </c>
      <c r="C454" s="19" t="n">
        <f aca="false">SUMIFS(Data!$I$2:$I$3990,Data!$A$2:$A$3990,A454,Data!$J$2:$J$3990,1)</f>
        <v>11505.69</v>
      </c>
      <c r="D454" s="6" t="str">
        <f aca="false">IF(C454&gt;10000,"HIGH VALUE","")</f>
        <v>HIGH VALUE</v>
      </c>
    </row>
    <row r="455" customFormat="false" ht="15" hidden="false" customHeight="false" outlineLevel="0" collapsed="false">
      <c r="A455" s="6" t="s">
        <v>540</v>
      </c>
      <c r="B455" s="6" t="str">
        <f aca="false">INDEX(Data!$H$2:$H$3990,MATCH(A455,Data!$A$2:$A$3990,0))</f>
        <v>United Kingdom</v>
      </c>
      <c r="C455" s="19" t="n">
        <f aca="false">SUMIFS(Data!$I$2:$I$3990,Data!$A$2:$A$3990,A455,Data!$J$2:$J$3990,1)</f>
        <v>325.98</v>
      </c>
      <c r="D455" s="6" t="str">
        <f aca="false">IF(C455&gt;10000,"HIGH VALUE","")</f>
        <v/>
      </c>
    </row>
    <row r="456" customFormat="false" ht="15" hidden="false" customHeight="false" outlineLevel="0" collapsed="false">
      <c r="A456" s="6" t="s">
        <v>539</v>
      </c>
      <c r="B456" s="6" t="str">
        <f aca="false">INDEX(Data!$H$2:$H$3990,MATCH(A456,Data!$A$2:$A$3990,0))</f>
        <v>United Kingdom</v>
      </c>
      <c r="C456" s="19" t="n">
        <f aca="false">SUMIFS(Data!$I$2:$I$3990,Data!$A$2:$A$3990,A456,Data!$J$2:$J$3990,1)</f>
        <v>242.23</v>
      </c>
      <c r="D456" s="6" t="str">
        <f aca="false">IF(C456&gt;10000,"HIGH VALUE","")</f>
        <v/>
      </c>
    </row>
    <row r="457" customFormat="false" ht="15" hidden="false" customHeight="false" outlineLevel="0" collapsed="false">
      <c r="A457" s="6" t="s">
        <v>541</v>
      </c>
      <c r="B457" s="6" t="str">
        <f aca="false">INDEX(Data!$H$2:$H$3990,MATCH(A457,Data!$A$2:$A$3990,0))</f>
        <v>United Kingdom</v>
      </c>
      <c r="C457" s="19" t="n">
        <f aca="false">SUMIFS(Data!$I$2:$I$3990,Data!$A$2:$A$3990,A457,Data!$J$2:$J$3990,1)</f>
        <v>67.44</v>
      </c>
      <c r="D457" s="6" t="str">
        <f aca="false">IF(C457&gt;10000,"HIGH VALUE","")</f>
        <v/>
      </c>
    </row>
    <row r="458" customFormat="false" ht="15" hidden="false" customHeight="false" outlineLevel="0" collapsed="false">
      <c r="A458" s="6" t="s">
        <v>543</v>
      </c>
      <c r="B458" s="6" t="str">
        <f aca="false">INDEX(Data!$H$2:$H$3990,MATCH(A458,Data!$A$2:$A$3990,0))</f>
        <v>United Kingdom</v>
      </c>
      <c r="C458" s="19" t="n">
        <f aca="false">SUMIFS(Data!$I$2:$I$3990,Data!$A$2:$A$3990,A458,Data!$J$2:$J$3990,1)</f>
        <v>1532.16</v>
      </c>
      <c r="D458" s="6" t="str">
        <f aca="false">IF(C458&gt;10000,"HIGH VALUE","")</f>
        <v/>
      </c>
    </row>
    <row r="459" customFormat="false" ht="15" hidden="false" customHeight="false" outlineLevel="0" collapsed="false">
      <c r="A459" s="6" t="s">
        <v>544</v>
      </c>
      <c r="B459" s="6" t="str">
        <f aca="false">INDEX(Data!$H$2:$H$3990,MATCH(A459,Data!$A$2:$A$3990,0))</f>
        <v>Germany</v>
      </c>
      <c r="C459" s="19" t="n">
        <f aca="false">SUMIFS(Data!$I$2:$I$3990,Data!$A$2:$A$3990,A459,Data!$J$2:$J$3990,1)</f>
        <v>181.61</v>
      </c>
      <c r="D459" s="6" t="str">
        <f aca="false">IF(C459&gt;10000,"HIGH VALUE","")</f>
        <v/>
      </c>
    </row>
    <row r="460" customFormat="false" ht="15" hidden="false" customHeight="false" outlineLevel="0" collapsed="false">
      <c r="A460" s="6" t="s">
        <v>545</v>
      </c>
      <c r="B460" s="6" t="str">
        <f aca="false">INDEX(Data!$H$2:$H$3990,MATCH(A460,Data!$A$2:$A$3990,0))</f>
        <v>United Kingdom</v>
      </c>
      <c r="C460" s="19" t="n">
        <f aca="false">SUMIFS(Data!$I$2:$I$3990,Data!$A$2:$A$3990,A460,Data!$J$2:$J$3990,1)</f>
        <v>259.93</v>
      </c>
      <c r="D460" s="6" t="str">
        <f aca="false">IF(C460&gt;10000,"HIGH VALUE","")</f>
        <v/>
      </c>
    </row>
    <row r="461" customFormat="false" ht="15" hidden="false" customHeight="false" outlineLevel="0" collapsed="false">
      <c r="A461" s="6" t="s">
        <v>542</v>
      </c>
      <c r="B461" s="6" t="str">
        <f aca="false">INDEX(Data!$H$2:$H$3990,MATCH(A461,Data!$A$2:$A$3990,0))</f>
        <v>United Kingdom</v>
      </c>
      <c r="C461" s="19" t="n">
        <f aca="false">SUMIFS(Data!$I$2:$I$3990,Data!$A$2:$A$3990,A461,Data!$J$2:$J$3990,1)</f>
        <v>74.09</v>
      </c>
      <c r="D461" s="6" t="str">
        <f aca="false">IF(C461&gt;10000,"HIGH VALUE","")</f>
        <v/>
      </c>
    </row>
    <row r="462" customFormat="false" ht="15" hidden="false" customHeight="false" outlineLevel="0" collapsed="false">
      <c r="A462" s="6" t="s">
        <v>549</v>
      </c>
      <c r="B462" s="6" t="str">
        <f aca="false">INDEX(Data!$H$2:$H$3990,MATCH(A462,Data!$A$2:$A$3990,0))</f>
        <v>United Kingdom</v>
      </c>
      <c r="C462" s="19" t="n">
        <f aca="false">SUMIFS(Data!$I$2:$I$3990,Data!$A$2:$A$3990,A462,Data!$J$2:$J$3990,1)</f>
        <v>23.76</v>
      </c>
      <c r="D462" s="6" t="str">
        <f aca="false">IF(C462&gt;10000,"HIGH VALUE","")</f>
        <v/>
      </c>
    </row>
    <row r="463" customFormat="false" ht="15" hidden="false" customHeight="false" outlineLevel="0" collapsed="false">
      <c r="A463" s="6" t="s">
        <v>546</v>
      </c>
      <c r="B463" s="6" t="str">
        <f aca="false">INDEX(Data!$H$2:$H$3990,MATCH(A463,Data!$A$2:$A$3990,0))</f>
        <v>United Kingdom</v>
      </c>
      <c r="C463" s="19" t="n">
        <f aca="false">SUMIFS(Data!$I$2:$I$3990,Data!$A$2:$A$3990,A463,Data!$J$2:$J$3990,1)</f>
        <v>67.29</v>
      </c>
      <c r="D463" s="6" t="str">
        <f aca="false">IF(C463&gt;10000,"HIGH VALUE","")</f>
        <v/>
      </c>
    </row>
    <row r="464" customFormat="false" ht="15" hidden="false" customHeight="false" outlineLevel="0" collapsed="false">
      <c r="A464" s="6" t="s">
        <v>548</v>
      </c>
      <c r="B464" s="6" t="str">
        <f aca="false">INDEX(Data!$H$2:$H$3990,MATCH(A464,Data!$A$2:$A$3990,0))</f>
        <v>United Kingdom</v>
      </c>
      <c r="C464" s="19" t="n">
        <f aca="false">SUMIFS(Data!$I$2:$I$3990,Data!$A$2:$A$3990,A464,Data!$J$2:$J$3990,1)</f>
        <v>164.37</v>
      </c>
      <c r="D464" s="6" t="str">
        <f aca="false">IF(C464&gt;10000,"HIGH VALUE","")</f>
        <v/>
      </c>
    </row>
    <row r="465" customFormat="false" ht="15" hidden="false" customHeight="false" outlineLevel="0" collapsed="false">
      <c r="A465" s="6" t="s">
        <v>551</v>
      </c>
      <c r="B465" s="6" t="str">
        <f aca="false">INDEX(Data!$H$2:$H$3990,MATCH(A465,Data!$A$2:$A$3990,0))</f>
        <v>United Kingdom</v>
      </c>
      <c r="C465" s="19" t="n">
        <f aca="false">SUMIFS(Data!$I$2:$I$3990,Data!$A$2:$A$3990,A465,Data!$J$2:$J$3990,1)</f>
        <v>78.44</v>
      </c>
      <c r="D465" s="6" t="str">
        <f aca="false">IF(C465&gt;10000,"HIGH VALUE","")</f>
        <v/>
      </c>
    </row>
    <row r="466" customFormat="false" ht="15" hidden="false" customHeight="false" outlineLevel="0" collapsed="false">
      <c r="A466" s="6" t="s">
        <v>552</v>
      </c>
      <c r="B466" s="6" t="str">
        <f aca="false">INDEX(Data!$H$2:$H$3990,MATCH(A466,Data!$A$2:$A$3990,0))</f>
        <v>Germany</v>
      </c>
      <c r="C466" s="19" t="n">
        <f aca="false">SUMIFS(Data!$I$2:$I$3990,Data!$A$2:$A$3990,A466,Data!$J$2:$J$3990,1)</f>
        <v>805.56</v>
      </c>
      <c r="D466" s="6" t="str">
        <f aca="false">IF(C466&gt;10000,"HIGH VALUE","")</f>
        <v/>
      </c>
    </row>
    <row r="467" customFormat="false" ht="15" hidden="false" customHeight="false" outlineLevel="0" collapsed="false">
      <c r="A467" s="6" t="s">
        <v>553</v>
      </c>
      <c r="B467" s="6" t="str">
        <f aca="false">INDEX(Data!$H$2:$H$3990,MATCH(A467,Data!$A$2:$A$3990,0))</f>
        <v>United Kingdom</v>
      </c>
      <c r="C467" s="19" t="n">
        <f aca="false">SUMIFS(Data!$I$2:$I$3990,Data!$A$2:$A$3990,A467,Data!$J$2:$J$3990,1)</f>
        <v>2233.92</v>
      </c>
      <c r="D467" s="6" t="str">
        <f aca="false">IF(C467&gt;10000,"HIGH VALUE","")</f>
        <v/>
      </c>
    </row>
    <row r="468" customFormat="false" ht="15" hidden="false" customHeight="false" outlineLevel="0" collapsed="false">
      <c r="A468" s="6" t="s">
        <v>554</v>
      </c>
      <c r="B468" s="6" t="str">
        <f aca="false">INDEX(Data!$H$2:$H$3990,MATCH(A468,Data!$A$2:$A$3990,0))</f>
        <v>Germany</v>
      </c>
      <c r="C468" s="19" t="n">
        <f aca="false">SUMIFS(Data!$I$2:$I$3990,Data!$A$2:$A$3990,A468,Data!$J$2:$J$3990,1)</f>
        <v>9.75</v>
      </c>
      <c r="D468" s="6" t="str">
        <f aca="false">IF(C468&gt;10000,"HIGH VALUE","")</f>
        <v/>
      </c>
    </row>
    <row r="469" customFormat="false" ht="15" hidden="false" customHeight="false" outlineLevel="0" collapsed="false">
      <c r="A469" s="6" t="s">
        <v>557</v>
      </c>
      <c r="B469" s="6" t="str">
        <f aca="false">INDEX(Data!$H$2:$H$3990,MATCH(A469,Data!$A$2:$A$3990,0))</f>
        <v>EIRE</v>
      </c>
      <c r="C469" s="19" t="n">
        <f aca="false">SUMIFS(Data!$I$2:$I$3990,Data!$A$2:$A$3990,A469,Data!$J$2:$J$3990,1)</f>
        <v>85.68</v>
      </c>
      <c r="D469" s="6" t="str">
        <f aca="false">IF(C469&gt;10000,"HIGH VALUE","")</f>
        <v/>
      </c>
    </row>
    <row r="470" customFormat="false" ht="15" hidden="false" customHeight="false" outlineLevel="0" collapsed="false">
      <c r="A470" s="6" t="s">
        <v>556</v>
      </c>
      <c r="B470" s="6" t="str">
        <f aca="false">INDEX(Data!$H$2:$H$3990,MATCH(A470,Data!$A$2:$A$3990,0))</f>
        <v>United Kingdom</v>
      </c>
      <c r="C470" s="19" t="n">
        <f aca="false">SUMIFS(Data!$I$2:$I$3990,Data!$A$2:$A$3990,A470,Data!$J$2:$J$3990,1)</f>
        <v>152.66</v>
      </c>
      <c r="D470" s="6" t="str">
        <f aca="false">IF(C470&gt;10000,"HIGH VALUE","")</f>
        <v/>
      </c>
    </row>
    <row r="471" customFormat="false" ht="15" hidden="false" customHeight="false" outlineLevel="0" collapsed="false">
      <c r="A471" s="6" t="s">
        <v>555</v>
      </c>
      <c r="B471" s="6" t="str">
        <f aca="false">INDEX(Data!$H$2:$H$3990,MATCH(A471,Data!$A$2:$A$3990,0))</f>
        <v>Australia</v>
      </c>
      <c r="C471" s="19" t="n">
        <f aca="false">SUMIFS(Data!$I$2:$I$3990,Data!$A$2:$A$3990,A471,Data!$J$2:$J$3990,1)</f>
        <v>495.67</v>
      </c>
      <c r="D471" s="6" t="str">
        <f aca="false">IF(C471&gt;10000,"HIGH VALUE","")</f>
        <v/>
      </c>
    </row>
    <row r="472" customFormat="false" ht="15" hidden="false" customHeight="false" outlineLevel="0" collapsed="false">
      <c r="A472" s="6" t="s">
        <v>558</v>
      </c>
      <c r="B472" s="6" t="str">
        <f aca="false">INDEX(Data!$H$2:$H$3990,MATCH(A472,Data!$A$2:$A$3990,0))</f>
        <v>United Kingdom</v>
      </c>
      <c r="C472" s="19" t="n">
        <f aca="false">SUMIFS(Data!$I$2:$I$3990,Data!$A$2:$A$3990,A472,Data!$J$2:$J$3990,1)</f>
        <v>81.76</v>
      </c>
      <c r="D472" s="6" t="str">
        <f aca="false">IF(C472&gt;10000,"HIGH VALUE","")</f>
        <v/>
      </c>
    </row>
    <row r="473" customFormat="false" ht="15" hidden="false" customHeight="false" outlineLevel="0" collapsed="false">
      <c r="A473" s="6" t="s">
        <v>559</v>
      </c>
      <c r="B473" s="6" t="str">
        <f aca="false">INDEX(Data!$H$2:$H$3990,MATCH(A473,Data!$A$2:$A$3990,0))</f>
        <v>United Kingdom</v>
      </c>
      <c r="C473" s="19" t="n">
        <f aca="false">SUMIFS(Data!$I$2:$I$3990,Data!$A$2:$A$3990,A473,Data!$J$2:$J$3990,1)</f>
        <v>5.94</v>
      </c>
      <c r="D473" s="6" t="str">
        <f aca="false">IF(C473&gt;10000,"HIGH VALUE","")</f>
        <v/>
      </c>
    </row>
    <row r="474" customFormat="false" ht="15" hidden="false" customHeight="false" outlineLevel="0" collapsed="false">
      <c r="A474" s="6" t="s">
        <v>560</v>
      </c>
      <c r="B474" s="6" t="str">
        <f aca="false">INDEX(Data!$H$2:$H$3990,MATCH(A474,Data!$A$2:$A$3990,0))</f>
        <v>EIRE</v>
      </c>
      <c r="C474" s="19" t="n">
        <f aca="false">SUMIFS(Data!$I$2:$I$3990,Data!$A$2:$A$3990,A474,Data!$J$2:$J$3990,1)</f>
        <v>97.96</v>
      </c>
      <c r="D474" s="6" t="str">
        <f aca="false">IF(C474&gt;10000,"HIGH VALUE","")</f>
        <v/>
      </c>
    </row>
    <row r="475" customFormat="false" ht="15" hidden="false" customHeight="false" outlineLevel="0" collapsed="false">
      <c r="A475" s="6" t="s">
        <v>562</v>
      </c>
      <c r="B475" s="6" t="str">
        <f aca="false">INDEX(Data!$H$2:$H$3990,MATCH(A475,Data!$A$2:$A$3990,0))</f>
        <v>Germany</v>
      </c>
      <c r="C475" s="19" t="n">
        <f aca="false">SUMIFS(Data!$I$2:$I$3990,Data!$A$2:$A$3990,A475,Data!$J$2:$J$3990,1)</f>
        <v>354.97</v>
      </c>
      <c r="D475" s="6" t="str">
        <f aca="false">IF(C475&gt;10000,"HIGH VALUE","")</f>
        <v/>
      </c>
    </row>
    <row r="476" customFormat="false" ht="15" hidden="false" customHeight="false" outlineLevel="0" collapsed="false">
      <c r="A476" s="6" t="s">
        <v>561</v>
      </c>
      <c r="B476" s="6" t="str">
        <f aca="false">INDEX(Data!$H$2:$H$3990,MATCH(A476,Data!$A$2:$A$3990,0))</f>
        <v>EIRE</v>
      </c>
      <c r="C476" s="19" t="n">
        <f aca="false">SUMIFS(Data!$I$2:$I$3990,Data!$A$2:$A$3990,A476,Data!$J$2:$J$3990,1)</f>
        <v>43.2</v>
      </c>
      <c r="D476" s="6" t="str">
        <f aca="false">IF(C476&gt;10000,"HIGH VALUE","")</f>
        <v/>
      </c>
    </row>
    <row r="477" customFormat="false" ht="15" hidden="false" customHeight="false" outlineLevel="0" collapsed="false">
      <c r="A477" s="6" t="s">
        <v>563</v>
      </c>
      <c r="B477" s="6" t="str">
        <f aca="false">INDEX(Data!$H$2:$H$3990,MATCH(A477,Data!$A$2:$A$3990,0))</f>
        <v>United Kingdom</v>
      </c>
      <c r="C477" s="19" t="n">
        <f aca="false">SUMIFS(Data!$I$2:$I$3990,Data!$A$2:$A$3990,A477,Data!$J$2:$J$3990,1)</f>
        <v>165.83</v>
      </c>
      <c r="D477" s="6" t="str">
        <f aca="false">IF(C477&gt;10000,"HIGH VALUE","")</f>
        <v/>
      </c>
    </row>
    <row r="478" customFormat="false" ht="15" hidden="false" customHeight="false" outlineLevel="0" collapsed="false">
      <c r="A478" s="6" t="s">
        <v>564</v>
      </c>
      <c r="B478" s="6" t="str">
        <f aca="false">INDEX(Data!$H$2:$H$3990,MATCH(A478,Data!$A$2:$A$3990,0))</f>
        <v>United Kingdom</v>
      </c>
      <c r="C478" s="19" t="n">
        <f aca="false">SUMIFS(Data!$I$2:$I$3990,Data!$A$2:$A$3990,A478,Data!$J$2:$J$3990,1)</f>
        <v>42.78</v>
      </c>
      <c r="D478" s="6" t="str">
        <f aca="false">IF(C478&gt;10000,"HIGH VALUE","")</f>
        <v/>
      </c>
    </row>
    <row r="479" customFormat="false" ht="15" hidden="false" customHeight="false" outlineLevel="0" collapsed="false">
      <c r="A479" s="6" t="s">
        <v>566</v>
      </c>
      <c r="B479" s="6" t="str">
        <f aca="false">INDEX(Data!$H$2:$H$3990,MATCH(A479,Data!$A$2:$A$3990,0))</f>
        <v>United Kingdom</v>
      </c>
      <c r="C479" s="19" t="n">
        <f aca="false">SUMIFS(Data!$I$2:$I$3990,Data!$A$2:$A$3990,A479,Data!$J$2:$J$3990,1)</f>
        <v>54.1</v>
      </c>
      <c r="D479" s="6" t="str">
        <f aca="false">IF(C479&gt;10000,"HIGH VALUE","")</f>
        <v/>
      </c>
    </row>
    <row r="480" customFormat="false" ht="15" hidden="false" customHeight="false" outlineLevel="0" collapsed="false">
      <c r="A480" s="6" t="s">
        <v>565</v>
      </c>
      <c r="B480" s="6" t="str">
        <f aca="false">INDEX(Data!$H$2:$H$3990,MATCH(A480,Data!$A$2:$A$3990,0))</f>
        <v>United Kingdom</v>
      </c>
      <c r="C480" s="19" t="n">
        <f aca="false">SUMIFS(Data!$I$2:$I$3990,Data!$A$2:$A$3990,A480,Data!$J$2:$J$3990,1)</f>
        <v>27.1</v>
      </c>
      <c r="D480" s="6" t="str">
        <f aca="false">IF(C480&gt;10000,"HIGH VALUE","")</f>
        <v/>
      </c>
    </row>
    <row r="481" customFormat="false" ht="15" hidden="false" customHeight="false" outlineLevel="0" collapsed="false">
      <c r="A481" s="6" t="s">
        <v>567</v>
      </c>
      <c r="B481" s="6" t="str">
        <f aca="false">INDEX(Data!$H$2:$H$3990,MATCH(A481,Data!$A$2:$A$3990,0))</f>
        <v>EIRE</v>
      </c>
      <c r="C481" s="19" t="n">
        <f aca="false">SUMIFS(Data!$I$2:$I$3990,Data!$A$2:$A$3990,A481,Data!$J$2:$J$3990,1)</f>
        <v>161.64</v>
      </c>
      <c r="D481" s="6" t="str">
        <f aca="false">IF(C481&gt;10000,"HIGH VALUE","")</f>
        <v/>
      </c>
    </row>
    <row r="482" customFormat="false" ht="15" hidden="false" customHeight="false" outlineLevel="0" collapsed="false">
      <c r="A482" s="6" t="s">
        <v>568</v>
      </c>
      <c r="B482" s="6" t="str">
        <f aca="false">INDEX(Data!$H$2:$H$3990,MATCH(A482,Data!$A$2:$A$3990,0))</f>
        <v>United Kingdom</v>
      </c>
      <c r="C482" s="19" t="n">
        <f aca="false">SUMIFS(Data!$I$2:$I$3990,Data!$A$2:$A$3990,A482,Data!$J$2:$J$3990,1)</f>
        <v>6.08</v>
      </c>
      <c r="D482" s="6" t="str">
        <f aca="false">IF(C482&gt;10000,"HIGH VALUE","")</f>
        <v/>
      </c>
    </row>
    <row r="483" customFormat="false" ht="15" hidden="false" customHeight="false" outlineLevel="0" collapsed="false">
      <c r="A483" s="6" t="s">
        <v>569</v>
      </c>
      <c r="B483" s="6" t="str">
        <f aca="false">INDEX(Data!$H$2:$H$3990,MATCH(A483,Data!$A$2:$A$3990,0))</f>
        <v>Germany</v>
      </c>
      <c r="C483" s="19" t="n">
        <f aca="false">SUMIFS(Data!$I$2:$I$3990,Data!$A$2:$A$3990,A483,Data!$J$2:$J$3990,1)</f>
        <v>29.52</v>
      </c>
      <c r="D483" s="6" t="str">
        <f aca="false">IF(C483&gt;10000,"HIGH VALUE","")</f>
        <v/>
      </c>
    </row>
    <row r="484" customFormat="false" ht="15" hidden="false" customHeight="false" outlineLevel="0" collapsed="false">
      <c r="A484" s="6" t="s">
        <v>571</v>
      </c>
      <c r="B484" s="6" t="str">
        <f aca="false">INDEX(Data!$H$2:$H$3990,MATCH(A484,Data!$A$2:$A$3990,0))</f>
        <v>EIRE</v>
      </c>
      <c r="C484" s="19" t="n">
        <f aca="false">SUMIFS(Data!$I$2:$I$3990,Data!$A$2:$A$3990,A484,Data!$J$2:$J$3990,1)</f>
        <v>2225.52</v>
      </c>
      <c r="D484" s="6" t="str">
        <f aca="false">IF(C484&gt;10000,"HIGH VALUE","")</f>
        <v/>
      </c>
    </row>
    <row r="485" customFormat="false" ht="15" hidden="false" customHeight="false" outlineLevel="0" collapsed="false">
      <c r="A485" s="6" t="s">
        <v>572</v>
      </c>
      <c r="B485" s="6" t="str">
        <f aca="false">INDEX(Data!$H$2:$H$3990,MATCH(A485,Data!$A$2:$A$3990,0))</f>
        <v>United Kingdom</v>
      </c>
      <c r="C485" s="19" t="n">
        <f aca="false">SUMIFS(Data!$I$2:$I$3990,Data!$A$2:$A$3990,A485,Data!$J$2:$J$3990,1)</f>
        <v>270.66</v>
      </c>
      <c r="D485" s="6" t="str">
        <f aca="false">IF(C485&gt;10000,"HIGH VALUE","")</f>
        <v/>
      </c>
    </row>
    <row r="486" customFormat="false" ht="15" hidden="false" customHeight="false" outlineLevel="0" collapsed="false">
      <c r="A486" s="6" t="s">
        <v>573</v>
      </c>
      <c r="B486" s="6" t="str">
        <f aca="false">INDEX(Data!$H$2:$H$3990,MATCH(A486,Data!$A$2:$A$3990,0))</f>
        <v>United Kingdom</v>
      </c>
      <c r="C486" s="19" t="n">
        <f aca="false">SUMIFS(Data!$I$2:$I$3990,Data!$A$2:$A$3990,A486,Data!$J$2:$J$3990,1)</f>
        <v>57.76</v>
      </c>
      <c r="D486" s="6" t="str">
        <f aca="false">IF(C486&gt;10000,"HIGH VALUE","")</f>
        <v/>
      </c>
    </row>
    <row r="487" customFormat="false" ht="15" hidden="false" customHeight="false" outlineLevel="0" collapsed="false">
      <c r="A487" s="6" t="s">
        <v>575</v>
      </c>
      <c r="B487" s="6" t="str">
        <f aca="false">INDEX(Data!$H$2:$H$3990,MATCH(A487,Data!$A$2:$A$3990,0))</f>
        <v>United Kingdom</v>
      </c>
      <c r="C487" s="19" t="n">
        <f aca="false">SUMIFS(Data!$I$2:$I$3990,Data!$A$2:$A$3990,A487,Data!$J$2:$J$3990,1)</f>
        <v>97.6</v>
      </c>
      <c r="D487" s="6" t="str">
        <f aca="false">IF(C487&gt;10000,"HIGH VALUE","")</f>
        <v/>
      </c>
    </row>
    <row r="488" customFormat="false" ht="15" hidden="false" customHeight="false" outlineLevel="0" collapsed="false">
      <c r="A488" s="6" t="s">
        <v>574</v>
      </c>
      <c r="B488" s="6" t="str">
        <f aca="false">INDEX(Data!$H$2:$H$3990,MATCH(A488,Data!$A$2:$A$3990,0))</f>
        <v>United Kingdom</v>
      </c>
      <c r="C488" s="19" t="n">
        <f aca="false">SUMIFS(Data!$I$2:$I$3990,Data!$A$2:$A$3990,A488,Data!$J$2:$J$3990,1)</f>
        <v>96.08</v>
      </c>
      <c r="D488" s="6" t="str">
        <f aca="false">IF(C488&gt;10000,"HIGH VALUE","")</f>
        <v/>
      </c>
    </row>
    <row r="489" customFormat="false" ht="15" hidden="false" customHeight="false" outlineLevel="0" collapsed="false">
      <c r="A489" s="6" t="s">
        <v>576</v>
      </c>
      <c r="B489" s="6" t="str">
        <f aca="false">INDEX(Data!$H$2:$H$3990,MATCH(A489,Data!$A$2:$A$3990,0))</f>
        <v>United Kingdom</v>
      </c>
      <c r="C489" s="19" t="n">
        <f aca="false">SUMIFS(Data!$I$2:$I$3990,Data!$A$2:$A$3990,A489,Data!$J$2:$J$3990,1)</f>
        <v>23.86</v>
      </c>
      <c r="D489" s="6" t="str">
        <f aca="false">IF(C489&gt;10000,"HIGH VALUE","")</f>
        <v/>
      </c>
    </row>
    <row r="490" customFormat="false" ht="15" hidden="false" customHeight="false" outlineLevel="0" collapsed="false">
      <c r="A490" s="6" t="s">
        <v>577</v>
      </c>
      <c r="B490" s="6" t="str">
        <f aca="false">INDEX(Data!$H$2:$H$3990,MATCH(A490,Data!$A$2:$A$3990,0))</f>
        <v>United Kingdom</v>
      </c>
      <c r="C490" s="19" t="n">
        <f aca="false">SUMIFS(Data!$I$2:$I$3990,Data!$A$2:$A$3990,A490,Data!$J$2:$J$3990,1)</f>
        <v>130.97</v>
      </c>
      <c r="D490" s="6" t="str">
        <f aca="false">IF(C490&gt;10000,"HIGH VALUE","")</f>
        <v/>
      </c>
    </row>
    <row r="491" customFormat="false" ht="15" hidden="false" customHeight="false" outlineLevel="0" collapsed="false">
      <c r="A491" s="6" t="s">
        <v>579</v>
      </c>
      <c r="B491" s="6" t="str">
        <f aca="false">INDEX(Data!$H$2:$H$3990,MATCH(A491,Data!$A$2:$A$3990,0))</f>
        <v>Australia</v>
      </c>
      <c r="C491" s="19" t="n">
        <f aca="false">SUMIFS(Data!$I$2:$I$3990,Data!$A$2:$A$3990,A491,Data!$J$2:$J$3990,1)</f>
        <v>1397.76</v>
      </c>
      <c r="D491" s="6" t="str">
        <f aca="false">IF(C491&gt;10000,"HIGH VALUE","")</f>
        <v/>
      </c>
    </row>
    <row r="492" customFormat="false" ht="15" hidden="false" customHeight="false" outlineLevel="0" collapsed="false">
      <c r="A492" s="6" t="s">
        <v>578</v>
      </c>
      <c r="B492" s="6" t="str">
        <f aca="false">INDEX(Data!$H$2:$H$3990,MATCH(A492,Data!$A$2:$A$3990,0))</f>
        <v>United Kingdom</v>
      </c>
      <c r="C492" s="19" t="n">
        <f aca="false">SUMIFS(Data!$I$2:$I$3990,Data!$A$2:$A$3990,A492,Data!$J$2:$J$3990,1)</f>
        <v>3021</v>
      </c>
      <c r="D492" s="6" t="str">
        <f aca="false">IF(C492&gt;10000,"HIGH VALUE","")</f>
        <v/>
      </c>
    </row>
    <row r="493" customFormat="false" ht="15" hidden="false" customHeight="false" outlineLevel="0" collapsed="false">
      <c r="A493" s="6" t="s">
        <v>580</v>
      </c>
      <c r="B493" s="6" t="str">
        <f aca="false">INDEX(Data!$H$2:$H$3990,MATCH(A493,Data!$A$2:$A$3990,0))</f>
        <v>United Kingdom</v>
      </c>
      <c r="C493" s="19" t="n">
        <f aca="false">SUMIFS(Data!$I$2:$I$3990,Data!$A$2:$A$3990,A493,Data!$J$2:$J$3990,1)</f>
        <v>192.01</v>
      </c>
      <c r="D493" s="6" t="str">
        <f aca="false">IF(C493&gt;10000,"HIGH VALUE","")</f>
        <v/>
      </c>
    </row>
    <row r="494" customFormat="false" ht="15" hidden="false" customHeight="false" outlineLevel="0" collapsed="false">
      <c r="A494" s="6" t="s">
        <v>581</v>
      </c>
      <c r="B494" s="6" t="str">
        <f aca="false">INDEX(Data!$H$2:$H$3990,MATCH(A494,Data!$A$2:$A$3990,0))</f>
        <v>United Kingdom</v>
      </c>
      <c r="C494" s="19" t="n">
        <f aca="false">SUMIFS(Data!$I$2:$I$3990,Data!$A$2:$A$3990,A494,Data!$J$2:$J$3990,1)</f>
        <v>119.91</v>
      </c>
      <c r="D494" s="6" t="str">
        <f aca="false">IF(C494&gt;10000,"HIGH VALUE","")</f>
        <v/>
      </c>
    </row>
    <row r="495" customFormat="false" ht="15" hidden="false" customHeight="false" outlineLevel="0" collapsed="false">
      <c r="A495" s="6" t="s">
        <v>582</v>
      </c>
      <c r="B495" s="6" t="str">
        <f aca="false">INDEX(Data!$H$2:$H$3990,MATCH(A495,Data!$A$2:$A$3990,0))</f>
        <v>United Kingdom</v>
      </c>
      <c r="C495" s="19" t="n">
        <f aca="false">SUMIFS(Data!$I$2:$I$3990,Data!$A$2:$A$3990,A495,Data!$J$2:$J$3990,1)</f>
        <v>62.38</v>
      </c>
      <c r="D495" s="6" t="str">
        <f aca="false">IF(C495&gt;10000,"HIGH VALUE","")</f>
        <v/>
      </c>
    </row>
    <row r="496" customFormat="false" ht="15" hidden="false" customHeight="false" outlineLevel="0" collapsed="false">
      <c r="A496" s="6" t="s">
        <v>583</v>
      </c>
      <c r="B496" s="6" t="str">
        <f aca="false">INDEX(Data!$H$2:$H$3990,MATCH(A496,Data!$A$2:$A$3990,0))</f>
        <v>United Kingdom</v>
      </c>
      <c r="C496" s="19" t="n">
        <f aca="false">SUMIFS(Data!$I$2:$I$3990,Data!$A$2:$A$3990,A496,Data!$J$2:$J$3990,1)</f>
        <v>73.01</v>
      </c>
      <c r="D496" s="6" t="str">
        <f aca="false">IF(C496&gt;10000,"HIGH VALUE","")</f>
        <v/>
      </c>
    </row>
    <row r="497" customFormat="false" ht="15" hidden="false" customHeight="false" outlineLevel="0" collapsed="false">
      <c r="A497" s="6" t="s">
        <v>584</v>
      </c>
      <c r="B497" s="6" t="str">
        <f aca="false">INDEX(Data!$H$2:$H$3990,MATCH(A497,Data!$A$2:$A$3990,0))</f>
        <v>United Kingdom</v>
      </c>
      <c r="C497" s="19" t="n">
        <f aca="false">SUMIFS(Data!$I$2:$I$3990,Data!$A$2:$A$3990,A497,Data!$J$2:$J$3990,1)</f>
        <v>39.96</v>
      </c>
      <c r="D497" s="6" t="str">
        <f aca="false">IF(C497&gt;10000,"HIGH VALUE","")</f>
        <v/>
      </c>
    </row>
    <row r="498" customFormat="false" ht="15" hidden="false" customHeight="false" outlineLevel="0" collapsed="false">
      <c r="A498" s="6" t="s">
        <v>585</v>
      </c>
      <c r="B498" s="6" t="str">
        <f aca="false">INDEX(Data!$H$2:$H$3990,MATCH(A498,Data!$A$2:$A$3990,0))</f>
        <v>United Kingdom</v>
      </c>
      <c r="C498" s="19" t="n">
        <f aca="false">SUMIFS(Data!$I$2:$I$3990,Data!$A$2:$A$3990,A498,Data!$J$2:$J$3990,1)</f>
        <v>57.38</v>
      </c>
      <c r="D498" s="6" t="str">
        <f aca="false">IF(C498&gt;10000,"HIGH VALUE","")</f>
        <v/>
      </c>
    </row>
    <row r="499" customFormat="false" ht="15" hidden="false" customHeight="false" outlineLevel="0" collapsed="false">
      <c r="A499" s="6" t="s">
        <v>586</v>
      </c>
      <c r="B499" s="6" t="str">
        <f aca="false">INDEX(Data!$H$2:$H$3990,MATCH(A499,Data!$A$2:$A$3990,0))</f>
        <v>United Kingdom</v>
      </c>
      <c r="C499" s="19" t="n">
        <f aca="false">SUMIFS(Data!$I$2:$I$3990,Data!$A$2:$A$3990,A499,Data!$J$2:$J$3990,1)</f>
        <v>117.34</v>
      </c>
      <c r="D499" s="6" t="str">
        <f aca="false">IF(C499&gt;10000,"HIGH VALUE","")</f>
        <v/>
      </c>
    </row>
    <row r="500" customFormat="false" ht="15" hidden="false" customHeight="false" outlineLevel="0" collapsed="false">
      <c r="A500" s="6" t="s">
        <v>587</v>
      </c>
      <c r="B500" s="6" t="str">
        <f aca="false">INDEX(Data!$H$2:$H$3990,MATCH(A500,Data!$A$2:$A$3990,0))</f>
        <v>United Kingdom</v>
      </c>
      <c r="C500" s="19" t="n">
        <f aca="false">SUMIFS(Data!$I$2:$I$3990,Data!$A$2:$A$3990,A500,Data!$J$2:$J$3990,1)</f>
        <v>1882.56</v>
      </c>
      <c r="D500" s="6" t="str">
        <f aca="false">IF(C500&gt;10000,"HIGH VALUE","")</f>
        <v/>
      </c>
    </row>
    <row r="501" customFormat="false" ht="15" hidden="false" customHeight="false" outlineLevel="0" collapsed="false">
      <c r="A501" s="6" t="s">
        <v>588</v>
      </c>
      <c r="B501" s="6" t="str">
        <f aca="false">INDEX(Data!$H$2:$H$3990,MATCH(A501,Data!$A$2:$A$3990,0))</f>
        <v>United Kingdom</v>
      </c>
      <c r="C501" s="19" t="n">
        <f aca="false">SUMIFS(Data!$I$2:$I$3990,Data!$A$2:$A$3990,A501,Data!$J$2:$J$3990,1)</f>
        <v>893.28</v>
      </c>
      <c r="D501" s="6" t="str">
        <f aca="false">IF(C501&gt;10000,"HIGH VALUE","")</f>
        <v/>
      </c>
    </row>
    <row r="502" customFormat="false" ht="15" hidden="false" customHeight="false" outlineLevel="0" collapsed="false">
      <c r="A502" s="6" t="s">
        <v>590</v>
      </c>
      <c r="B502" s="6" t="str">
        <f aca="false">INDEX(Data!$H$2:$H$3990,MATCH(A502,Data!$A$2:$A$3990,0))</f>
        <v>United Kingdom</v>
      </c>
      <c r="C502" s="19" t="n">
        <f aca="false">SUMIFS(Data!$I$2:$I$3990,Data!$A$2:$A$3990,A502,Data!$J$2:$J$3990,1)</f>
        <v>53.86</v>
      </c>
      <c r="D502" s="6" t="str">
        <f aca="false">IF(C502&gt;10000,"HIGH VALUE","")</f>
        <v/>
      </c>
    </row>
    <row r="503" customFormat="false" ht="15" hidden="false" customHeight="false" outlineLevel="0" collapsed="false">
      <c r="A503" s="6" t="s">
        <v>589</v>
      </c>
      <c r="B503" s="6" t="str">
        <f aca="false">INDEX(Data!$H$2:$H$3990,MATCH(A503,Data!$A$2:$A$3990,0))</f>
        <v>Germany</v>
      </c>
      <c r="C503" s="19" t="n">
        <f aca="false">SUMIFS(Data!$I$2:$I$3990,Data!$A$2:$A$3990,A503,Data!$J$2:$J$3990,1)</f>
        <v>37.11</v>
      </c>
      <c r="D503" s="6" t="str">
        <f aca="false">IF(C503&gt;10000,"HIGH VALUE","")</f>
        <v/>
      </c>
    </row>
    <row r="504" customFormat="false" ht="15" hidden="false" customHeight="false" outlineLevel="0" collapsed="false">
      <c r="A504" s="6" t="s">
        <v>591</v>
      </c>
      <c r="B504" s="6" t="str">
        <f aca="false">INDEX(Data!$H$2:$H$3990,MATCH(A504,Data!$A$2:$A$3990,0))</f>
        <v>United Kingdom</v>
      </c>
      <c r="C504" s="19" t="n">
        <f aca="false">SUMIFS(Data!$I$2:$I$3990,Data!$A$2:$A$3990,A504,Data!$J$2:$J$3990,1)</f>
        <v>45.93</v>
      </c>
      <c r="D504" s="6" t="str">
        <f aca="false">IF(C504&gt;10000,"HIGH VALUE","")</f>
        <v/>
      </c>
    </row>
    <row r="505" customFormat="false" ht="15" hidden="false" customHeight="false" outlineLevel="0" collapsed="false">
      <c r="A505" s="6" t="s">
        <v>592</v>
      </c>
      <c r="B505" s="6" t="str">
        <f aca="false">INDEX(Data!$H$2:$H$3990,MATCH(A505,Data!$A$2:$A$3990,0))</f>
        <v>United Kingdom</v>
      </c>
      <c r="C505" s="19" t="n">
        <f aca="false">SUMIFS(Data!$I$2:$I$3990,Data!$A$2:$A$3990,A505,Data!$J$2:$J$3990,1)</f>
        <v>3.41</v>
      </c>
      <c r="D505" s="6" t="str">
        <f aca="false">IF(C505&gt;10000,"HIGH VALUE","")</f>
        <v/>
      </c>
    </row>
    <row r="506" customFormat="false" ht="15" hidden="false" customHeight="false" outlineLevel="0" collapsed="false">
      <c r="A506" s="6" t="s">
        <v>593</v>
      </c>
      <c r="B506" s="6" t="str">
        <f aca="false">INDEX(Data!$H$2:$H$3990,MATCH(A506,Data!$A$2:$A$3990,0))</f>
        <v>Switzerland</v>
      </c>
      <c r="C506" s="19" t="n">
        <f aca="false">SUMIFS(Data!$I$2:$I$3990,Data!$A$2:$A$3990,A506,Data!$J$2:$J$3990,1)</f>
        <v>123.98</v>
      </c>
      <c r="D506" s="6" t="str">
        <f aca="false">IF(C506&gt;10000,"HIGH VALUE","")</f>
        <v/>
      </c>
    </row>
    <row r="507" customFormat="false" ht="15" hidden="false" customHeight="false" outlineLevel="0" collapsed="false">
      <c r="A507" s="6" t="s">
        <v>594</v>
      </c>
      <c r="B507" s="6" t="str">
        <f aca="false">INDEX(Data!$H$2:$H$3990,MATCH(A507,Data!$A$2:$A$3990,0))</f>
        <v>United Kingdom</v>
      </c>
      <c r="C507" s="19" t="n">
        <f aca="false">SUMIFS(Data!$I$2:$I$3990,Data!$A$2:$A$3990,A507,Data!$J$2:$J$3990,1)</f>
        <v>12.69</v>
      </c>
      <c r="D507" s="6" t="str">
        <f aca="false">IF(C507&gt;10000,"HIGH VALUE","")</f>
        <v/>
      </c>
    </row>
    <row r="508" customFormat="false" ht="15" hidden="false" customHeight="false" outlineLevel="0" collapsed="false">
      <c r="A508" s="6" t="s">
        <v>595</v>
      </c>
      <c r="B508" s="6" t="str">
        <f aca="false">INDEX(Data!$H$2:$H$3990,MATCH(A508,Data!$A$2:$A$3990,0))</f>
        <v>United Kingdom</v>
      </c>
      <c r="C508" s="19" t="n">
        <f aca="false">SUMIFS(Data!$I$2:$I$3990,Data!$A$2:$A$3990,A508,Data!$J$2:$J$3990,1)</f>
        <v>94.5</v>
      </c>
      <c r="D508" s="6" t="str">
        <f aca="false">IF(C508&gt;10000,"HIGH VALUE","")</f>
        <v/>
      </c>
    </row>
    <row r="509" customFormat="false" ht="15" hidden="false" customHeight="false" outlineLevel="0" collapsed="false">
      <c r="A509" s="6" t="s">
        <v>596</v>
      </c>
      <c r="B509" s="6" t="str">
        <f aca="false">INDEX(Data!$H$2:$H$3990,MATCH(A509,Data!$A$2:$A$3990,0))</f>
        <v>United Kingdom</v>
      </c>
      <c r="C509" s="19" t="n">
        <f aca="false">SUMIFS(Data!$I$2:$I$3990,Data!$A$2:$A$3990,A509,Data!$J$2:$J$3990,1)</f>
        <v>115.22</v>
      </c>
      <c r="D509" s="6" t="str">
        <f aca="false">IF(C509&gt;10000,"HIGH VALUE","")</f>
        <v/>
      </c>
    </row>
    <row r="510" customFormat="false" ht="15" hidden="false" customHeight="false" outlineLevel="0" collapsed="false">
      <c r="A510" s="6" t="s">
        <v>598</v>
      </c>
      <c r="B510" s="6" t="str">
        <f aca="false">INDEX(Data!$H$2:$H$3990,MATCH(A510,Data!$A$2:$A$3990,0))</f>
        <v>United Kingdom</v>
      </c>
      <c r="C510" s="19" t="n">
        <f aca="false">SUMIFS(Data!$I$2:$I$3990,Data!$A$2:$A$3990,A510,Data!$J$2:$J$3990,1)</f>
        <v>22.14</v>
      </c>
      <c r="D510" s="6" t="str">
        <f aca="false">IF(C510&gt;10000,"HIGH VALUE","")</f>
        <v/>
      </c>
    </row>
    <row r="511" customFormat="false" ht="15" hidden="false" customHeight="false" outlineLevel="0" collapsed="false">
      <c r="A511" s="6" t="s">
        <v>597</v>
      </c>
      <c r="B511" s="6" t="str">
        <f aca="false">INDEX(Data!$H$2:$H$3990,MATCH(A511,Data!$A$2:$A$3990,0))</f>
        <v>United Kingdom</v>
      </c>
      <c r="C511" s="19" t="n">
        <f aca="false">SUMIFS(Data!$I$2:$I$3990,Data!$A$2:$A$3990,A511,Data!$J$2:$J$3990,1)</f>
        <v>50.04</v>
      </c>
      <c r="D511" s="6" t="str">
        <f aca="false">IF(C511&gt;10000,"HIGH VALUE","")</f>
        <v/>
      </c>
    </row>
    <row r="512" customFormat="false" ht="15" hidden="false" customHeight="false" outlineLevel="0" collapsed="false">
      <c r="A512" s="6" t="s">
        <v>599</v>
      </c>
      <c r="B512" s="6" t="str">
        <f aca="false">INDEX(Data!$H$2:$H$3990,MATCH(A512,Data!$A$2:$A$3990,0))</f>
        <v>United Kingdom</v>
      </c>
      <c r="C512" s="19" t="n">
        <f aca="false">SUMIFS(Data!$I$2:$I$3990,Data!$A$2:$A$3990,A512,Data!$J$2:$J$3990,1)</f>
        <v>4209.18</v>
      </c>
      <c r="D512" s="6" t="str">
        <f aca="false">IF(C512&gt;10000,"HIGH VALUE","")</f>
        <v/>
      </c>
    </row>
    <row r="513" customFormat="false" ht="15" hidden="false" customHeight="false" outlineLevel="0" collapsed="false">
      <c r="A513" s="6" t="s">
        <v>600</v>
      </c>
      <c r="B513" s="6" t="str">
        <f aca="false">INDEX(Data!$H$2:$H$3990,MATCH(A513,Data!$A$2:$A$3990,0))</f>
        <v>United Kingdom</v>
      </c>
      <c r="C513" s="19" t="n">
        <f aca="false">SUMIFS(Data!$I$2:$I$3990,Data!$A$2:$A$3990,A513,Data!$J$2:$J$3990,1)</f>
        <v>65.18</v>
      </c>
      <c r="D513" s="6" t="str">
        <f aca="false">IF(C513&gt;10000,"HIGH VALUE","")</f>
        <v/>
      </c>
    </row>
    <row r="514" customFormat="false" ht="15" hidden="false" customHeight="false" outlineLevel="0" collapsed="false">
      <c r="A514" s="6" t="s">
        <v>603</v>
      </c>
      <c r="B514" s="6" t="str">
        <f aca="false">INDEX(Data!$H$2:$H$3990,MATCH(A514,Data!$A$2:$A$3990,0))</f>
        <v>Germany</v>
      </c>
      <c r="C514" s="19" t="n">
        <f aca="false">SUMIFS(Data!$I$2:$I$3990,Data!$A$2:$A$3990,A514,Data!$J$2:$J$3990,1)</f>
        <v>301.12</v>
      </c>
      <c r="D514" s="6" t="str">
        <f aca="false">IF(C514&gt;10000,"HIGH VALUE","")</f>
        <v/>
      </c>
    </row>
    <row r="515" customFormat="false" ht="15" hidden="false" customHeight="false" outlineLevel="0" collapsed="false">
      <c r="A515" s="6" t="s">
        <v>601</v>
      </c>
      <c r="B515" s="6" t="str">
        <f aca="false">INDEX(Data!$H$2:$H$3990,MATCH(A515,Data!$A$2:$A$3990,0))</f>
        <v>United Kingdom</v>
      </c>
      <c r="C515" s="19" t="n">
        <f aca="false">SUMIFS(Data!$I$2:$I$3990,Data!$A$2:$A$3990,A515,Data!$J$2:$J$3990,1)</f>
        <v>119.26</v>
      </c>
      <c r="D515" s="6" t="str">
        <f aca="false">IF(C515&gt;10000,"HIGH VALUE","")</f>
        <v/>
      </c>
    </row>
    <row r="516" customFormat="false" ht="15" hidden="false" customHeight="false" outlineLevel="0" collapsed="false">
      <c r="A516" s="6" t="s">
        <v>605</v>
      </c>
      <c r="B516" s="6" t="str">
        <f aca="false">INDEX(Data!$H$2:$H$3990,MATCH(A516,Data!$A$2:$A$3990,0))</f>
        <v>United Kingdom</v>
      </c>
      <c r="C516" s="19" t="n">
        <f aca="false">SUMIFS(Data!$I$2:$I$3990,Data!$A$2:$A$3990,A516,Data!$J$2:$J$3990,1)</f>
        <v>60.17</v>
      </c>
      <c r="D516" s="6" t="str">
        <f aca="false">IF(C516&gt;10000,"HIGH VALUE","")</f>
        <v/>
      </c>
    </row>
    <row r="517" customFormat="false" ht="15" hidden="false" customHeight="false" outlineLevel="0" collapsed="false">
      <c r="A517" s="6" t="s">
        <v>606</v>
      </c>
      <c r="B517" s="6" t="str">
        <f aca="false">INDEX(Data!$H$2:$H$3990,MATCH(A517,Data!$A$2:$A$3990,0))</f>
        <v>Spain</v>
      </c>
      <c r="C517" s="19" t="n">
        <f aca="false">SUMIFS(Data!$I$2:$I$3990,Data!$A$2:$A$3990,A517,Data!$J$2:$J$3990,1)</f>
        <v>31.54</v>
      </c>
      <c r="D517" s="6" t="str">
        <f aca="false">IF(C517&gt;10000,"HIGH VALUE","")</f>
        <v/>
      </c>
    </row>
    <row r="518" customFormat="false" ht="15" hidden="false" customHeight="false" outlineLevel="0" collapsed="false">
      <c r="A518" s="6" t="s">
        <v>604</v>
      </c>
      <c r="B518" s="6" t="str">
        <f aca="false">INDEX(Data!$H$2:$H$3990,MATCH(A518,Data!$A$2:$A$3990,0))</f>
        <v>United Kingdom</v>
      </c>
      <c r="C518" s="19" t="n">
        <f aca="false">SUMIFS(Data!$I$2:$I$3990,Data!$A$2:$A$3990,A518,Data!$J$2:$J$3990,1)</f>
        <v>100.08</v>
      </c>
      <c r="D518" s="6" t="str">
        <f aca="false">IF(C518&gt;10000,"HIGH VALUE","")</f>
        <v/>
      </c>
    </row>
    <row r="519" customFormat="false" ht="15" hidden="false" customHeight="false" outlineLevel="0" collapsed="false">
      <c r="A519" s="6" t="s">
        <v>607</v>
      </c>
      <c r="B519" s="6" t="str">
        <f aca="false">INDEX(Data!$H$2:$H$3990,MATCH(A519,Data!$A$2:$A$3990,0))</f>
        <v>Germany</v>
      </c>
      <c r="C519" s="19" t="n">
        <f aca="false">SUMIFS(Data!$I$2:$I$3990,Data!$A$2:$A$3990,A519,Data!$J$2:$J$3990,1)</f>
        <v>298.31</v>
      </c>
      <c r="D519" s="6" t="str">
        <f aca="false">IF(C519&gt;10000,"HIGH VALUE","")</f>
        <v/>
      </c>
    </row>
    <row r="520" customFormat="false" ht="15" hidden="false" customHeight="false" outlineLevel="0" collapsed="false">
      <c r="A520" s="6" t="s">
        <v>608</v>
      </c>
      <c r="B520" s="6" t="str">
        <f aca="false">INDEX(Data!$H$2:$H$3990,MATCH(A520,Data!$A$2:$A$3990,0))</f>
        <v>United Kingdom</v>
      </c>
      <c r="C520" s="19" t="n">
        <f aca="false">SUMIFS(Data!$I$2:$I$3990,Data!$A$2:$A$3990,A520,Data!$J$2:$J$3990,1)</f>
        <v>6.52</v>
      </c>
      <c r="D520" s="6" t="str">
        <f aca="false">IF(C520&gt;10000,"HIGH VALUE","")</f>
        <v/>
      </c>
    </row>
    <row r="521" customFormat="false" ht="15" hidden="false" customHeight="false" outlineLevel="0" collapsed="false">
      <c r="A521" s="6" t="s">
        <v>609</v>
      </c>
      <c r="B521" s="6" t="str">
        <f aca="false">INDEX(Data!$H$2:$H$3990,MATCH(A521,Data!$A$2:$A$3990,0))</f>
        <v>United Kingdom</v>
      </c>
      <c r="C521" s="19" t="n">
        <f aca="false">SUMIFS(Data!$I$2:$I$3990,Data!$A$2:$A$3990,A521,Data!$J$2:$J$3990,1)</f>
        <v>59.04</v>
      </c>
      <c r="D521" s="6" t="str">
        <f aca="false">IF(C521&gt;10000,"HIGH VALUE","")</f>
        <v/>
      </c>
    </row>
    <row r="522" customFormat="false" ht="15" hidden="false" customHeight="false" outlineLevel="0" collapsed="false">
      <c r="A522" s="6" t="s">
        <v>611</v>
      </c>
      <c r="B522" s="6" t="str">
        <f aca="false">INDEX(Data!$H$2:$H$3990,MATCH(A522,Data!$A$2:$A$3990,0))</f>
        <v>United Kingdom</v>
      </c>
      <c r="C522" s="19" t="n">
        <f aca="false">SUMIFS(Data!$I$2:$I$3990,Data!$A$2:$A$3990,A522,Data!$J$2:$J$3990,1)</f>
        <v>478.56</v>
      </c>
      <c r="D522" s="6" t="str">
        <f aca="false">IF(C522&gt;10000,"HIGH VALUE","")</f>
        <v/>
      </c>
    </row>
    <row r="523" customFormat="false" ht="15" hidden="false" customHeight="false" outlineLevel="0" collapsed="false">
      <c r="A523" s="6" t="s">
        <v>610</v>
      </c>
      <c r="B523" s="6" t="str">
        <f aca="false">INDEX(Data!$H$2:$H$3990,MATCH(A523,Data!$A$2:$A$3990,0))</f>
        <v>United Kingdom</v>
      </c>
      <c r="C523" s="19" t="n">
        <f aca="false">SUMIFS(Data!$I$2:$I$3990,Data!$A$2:$A$3990,A523,Data!$J$2:$J$3990,1)</f>
        <v>36.4</v>
      </c>
      <c r="D523" s="6" t="str">
        <f aca="false">IF(C523&gt;10000,"HIGH VALUE","")</f>
        <v/>
      </c>
    </row>
    <row r="524" customFormat="false" ht="15" hidden="false" customHeight="false" outlineLevel="0" collapsed="false">
      <c r="A524" s="6" t="s">
        <v>615</v>
      </c>
      <c r="B524" s="6" t="str">
        <f aca="false">INDEX(Data!$H$2:$H$3990,MATCH(A524,Data!$A$2:$A$3990,0))</f>
        <v>United Kingdom</v>
      </c>
      <c r="C524" s="19" t="n">
        <f aca="false">SUMIFS(Data!$I$2:$I$3990,Data!$A$2:$A$3990,A524,Data!$J$2:$J$3990,1)</f>
        <v>6986.04</v>
      </c>
      <c r="D524" s="6" t="str">
        <f aca="false">IF(C524&gt;10000,"HIGH VALUE","")</f>
        <v/>
      </c>
    </row>
    <row r="525" customFormat="false" ht="15" hidden="false" customHeight="false" outlineLevel="0" collapsed="false">
      <c r="A525" s="6" t="s">
        <v>613</v>
      </c>
      <c r="B525" s="6" t="str">
        <f aca="false">INDEX(Data!$H$2:$H$3990,MATCH(A525,Data!$A$2:$A$3990,0))</f>
        <v>United Kingdom</v>
      </c>
      <c r="C525" s="19" t="n">
        <f aca="false">SUMIFS(Data!$I$2:$I$3990,Data!$A$2:$A$3990,A525,Data!$J$2:$J$3990,1)</f>
        <v>55.2</v>
      </c>
      <c r="D525" s="6" t="str">
        <f aca="false">IF(C525&gt;10000,"HIGH VALUE","")</f>
        <v/>
      </c>
    </row>
    <row r="526" customFormat="false" ht="15" hidden="false" customHeight="false" outlineLevel="0" collapsed="false">
      <c r="A526" s="6" t="s">
        <v>612</v>
      </c>
      <c r="B526" s="6" t="str">
        <f aca="false">INDEX(Data!$H$2:$H$3990,MATCH(A526,Data!$A$2:$A$3990,0))</f>
        <v>United Kingdom</v>
      </c>
      <c r="C526" s="19" t="n">
        <f aca="false">SUMIFS(Data!$I$2:$I$3990,Data!$A$2:$A$3990,A526,Data!$J$2:$J$3990,1)</f>
        <v>1181.76</v>
      </c>
      <c r="D526" s="6" t="str">
        <f aca="false">IF(C526&gt;10000,"HIGH VALUE","")</f>
        <v/>
      </c>
    </row>
    <row r="527" customFormat="false" ht="15" hidden="false" customHeight="false" outlineLevel="0" collapsed="false">
      <c r="A527" s="6" t="s">
        <v>614</v>
      </c>
      <c r="B527" s="6" t="str">
        <f aca="false">INDEX(Data!$H$2:$H$3990,MATCH(A527,Data!$A$2:$A$3990,0))</f>
        <v>United Kingdom</v>
      </c>
      <c r="C527" s="19" t="n">
        <f aca="false">SUMIFS(Data!$I$2:$I$3990,Data!$A$2:$A$3990,A527,Data!$J$2:$J$3990,1)</f>
        <v>92.94</v>
      </c>
      <c r="D527" s="6" t="str">
        <f aca="false">IF(C527&gt;10000,"HIGH VALUE","")</f>
        <v/>
      </c>
    </row>
    <row r="528" customFormat="false" ht="15" hidden="false" customHeight="false" outlineLevel="0" collapsed="false">
      <c r="A528" s="6" t="s">
        <v>616</v>
      </c>
      <c r="B528" s="6" t="str">
        <f aca="false">INDEX(Data!$H$2:$H$3990,MATCH(A528,Data!$A$2:$A$3990,0))</f>
        <v>Germany</v>
      </c>
      <c r="C528" s="19" t="n">
        <f aca="false">SUMIFS(Data!$I$2:$I$3990,Data!$A$2:$A$3990,A528,Data!$J$2:$J$3990,1)</f>
        <v>1111.26</v>
      </c>
      <c r="D528" s="6" t="str">
        <f aca="false">IF(C528&gt;10000,"HIGH VALUE","")</f>
        <v/>
      </c>
    </row>
    <row r="529" customFormat="false" ht="15" hidden="false" customHeight="false" outlineLevel="0" collapsed="false">
      <c r="A529" s="6" t="s">
        <v>617</v>
      </c>
      <c r="B529" s="6" t="str">
        <f aca="false">INDEX(Data!$H$2:$H$3990,MATCH(A529,Data!$A$2:$A$3990,0))</f>
        <v>United Kingdom</v>
      </c>
      <c r="C529" s="19" t="n">
        <f aca="false">SUMIFS(Data!$I$2:$I$3990,Data!$A$2:$A$3990,A529,Data!$J$2:$J$3990,1)</f>
        <v>43.02</v>
      </c>
      <c r="D529" s="6" t="str">
        <f aca="false">IF(C529&gt;10000,"HIGH VALUE","")</f>
        <v/>
      </c>
    </row>
    <row r="530" customFormat="false" ht="15" hidden="false" customHeight="false" outlineLevel="0" collapsed="false">
      <c r="A530" s="6" t="s">
        <v>618</v>
      </c>
      <c r="B530" s="6" t="str">
        <f aca="false">INDEX(Data!$H$2:$H$3990,MATCH(A530,Data!$A$2:$A$3990,0))</f>
        <v>United Kingdom</v>
      </c>
      <c r="C530" s="19" t="n">
        <f aca="false">SUMIFS(Data!$I$2:$I$3990,Data!$A$2:$A$3990,A530,Data!$J$2:$J$3990,1)</f>
        <v>32.51</v>
      </c>
      <c r="D530" s="6" t="str">
        <f aca="false">IF(C530&gt;10000,"HIGH VALUE","")</f>
        <v/>
      </c>
    </row>
    <row r="531" customFormat="false" ht="15" hidden="false" customHeight="false" outlineLevel="0" collapsed="false">
      <c r="A531" s="6" t="s">
        <v>619</v>
      </c>
      <c r="B531" s="6" t="str">
        <f aca="false">INDEX(Data!$H$2:$H$3990,MATCH(A531,Data!$A$2:$A$3990,0))</f>
        <v>Germany</v>
      </c>
      <c r="C531" s="19" t="n">
        <f aca="false">SUMIFS(Data!$I$2:$I$3990,Data!$A$2:$A$3990,A531,Data!$J$2:$J$3990,1)</f>
        <v>72.9</v>
      </c>
      <c r="D531" s="6" t="str">
        <f aca="false">IF(C531&gt;10000,"HIGH VALUE","")</f>
        <v/>
      </c>
    </row>
    <row r="532" customFormat="false" ht="15" hidden="false" customHeight="false" outlineLevel="0" collapsed="false">
      <c r="A532" s="6" t="s">
        <v>622</v>
      </c>
      <c r="B532" s="6" t="str">
        <f aca="false">INDEX(Data!$H$2:$H$3990,MATCH(A532,Data!$A$2:$A$3990,0))</f>
        <v>United Kingdom</v>
      </c>
      <c r="C532" s="19" t="n">
        <f aca="false">SUMIFS(Data!$I$2:$I$3990,Data!$A$2:$A$3990,A532,Data!$J$2:$J$3990,1)</f>
        <v>1050.66</v>
      </c>
      <c r="D532" s="6" t="str">
        <f aca="false">IF(C532&gt;10000,"HIGH VALUE","")</f>
        <v/>
      </c>
    </row>
    <row r="533" customFormat="false" ht="15" hidden="false" customHeight="false" outlineLevel="0" collapsed="false">
      <c r="A533" s="6" t="s">
        <v>621</v>
      </c>
      <c r="B533" s="6" t="str">
        <f aca="false">INDEX(Data!$H$2:$H$3990,MATCH(A533,Data!$A$2:$A$3990,0))</f>
        <v>United Kingdom</v>
      </c>
      <c r="C533" s="19" t="n">
        <f aca="false">SUMIFS(Data!$I$2:$I$3990,Data!$A$2:$A$3990,A533,Data!$J$2:$J$3990,1)</f>
        <v>366.07</v>
      </c>
      <c r="D533" s="6" t="str">
        <f aca="false">IF(C533&gt;10000,"HIGH VALUE","")</f>
        <v/>
      </c>
    </row>
    <row r="534" customFormat="false" ht="15" hidden="false" customHeight="false" outlineLevel="0" collapsed="false">
      <c r="A534" s="6" t="s">
        <v>624</v>
      </c>
      <c r="B534" s="6" t="str">
        <f aca="false">INDEX(Data!$H$2:$H$3990,MATCH(A534,Data!$A$2:$A$3990,0))</f>
        <v>United Kingdom</v>
      </c>
      <c r="C534" s="19" t="n">
        <f aca="false">SUMIFS(Data!$I$2:$I$3990,Data!$A$2:$A$3990,A534,Data!$J$2:$J$3990,1)</f>
        <v>54.96</v>
      </c>
      <c r="D534" s="6" t="str">
        <f aca="false">IF(C534&gt;10000,"HIGH VALUE","")</f>
        <v/>
      </c>
    </row>
    <row r="535" customFormat="false" ht="15" hidden="false" customHeight="false" outlineLevel="0" collapsed="false">
      <c r="A535" s="6" t="s">
        <v>620</v>
      </c>
      <c r="B535" s="6" t="str">
        <f aca="false">INDEX(Data!$H$2:$H$3990,MATCH(A535,Data!$A$2:$A$3990,0))</f>
        <v>United Kingdom</v>
      </c>
      <c r="C535" s="19" t="n">
        <f aca="false">SUMIFS(Data!$I$2:$I$3990,Data!$A$2:$A$3990,A535,Data!$J$2:$J$3990,1)</f>
        <v>2.38</v>
      </c>
      <c r="D535" s="6" t="str">
        <f aca="false">IF(C535&gt;10000,"HIGH VALUE","")</f>
        <v/>
      </c>
    </row>
    <row r="536" customFormat="false" ht="15" hidden="false" customHeight="false" outlineLevel="0" collapsed="false">
      <c r="A536" s="6" t="s">
        <v>623</v>
      </c>
      <c r="B536" s="6" t="str">
        <f aca="false">INDEX(Data!$H$2:$H$3990,MATCH(A536,Data!$A$2:$A$3990,0))</f>
        <v>United Kingdom</v>
      </c>
      <c r="C536" s="19" t="n">
        <f aca="false">SUMIFS(Data!$I$2:$I$3990,Data!$A$2:$A$3990,A536,Data!$J$2:$J$3990,1)</f>
        <v>87.51</v>
      </c>
      <c r="D536" s="6" t="str">
        <f aca="false">IF(C536&gt;10000,"HIGH VALUE","")</f>
        <v/>
      </c>
    </row>
    <row r="537" customFormat="false" ht="15" hidden="false" customHeight="false" outlineLevel="0" collapsed="false">
      <c r="A537" s="6" t="s">
        <v>625</v>
      </c>
      <c r="B537" s="6" t="str">
        <f aca="false">INDEX(Data!$H$2:$H$3990,MATCH(A537,Data!$A$2:$A$3990,0))</f>
        <v>United Kingdom</v>
      </c>
      <c r="C537" s="19" t="n">
        <f aca="false">SUMIFS(Data!$I$2:$I$3990,Data!$A$2:$A$3990,A537,Data!$J$2:$J$3990,1)</f>
        <v>2.58</v>
      </c>
      <c r="D537" s="6" t="str">
        <f aca="false">IF(C537&gt;10000,"HIGH VALUE","")</f>
        <v/>
      </c>
    </row>
    <row r="538" customFormat="false" ht="15" hidden="false" customHeight="false" outlineLevel="0" collapsed="false">
      <c r="A538" s="6" t="s">
        <v>628</v>
      </c>
      <c r="B538" s="6" t="str">
        <f aca="false">INDEX(Data!$H$2:$H$3990,MATCH(A538,Data!$A$2:$A$3990,0))</f>
        <v>United Kingdom</v>
      </c>
      <c r="C538" s="19" t="n">
        <f aca="false">SUMIFS(Data!$I$2:$I$3990,Data!$A$2:$A$3990,A538,Data!$J$2:$J$3990,1)</f>
        <v>41.81</v>
      </c>
      <c r="D538" s="6" t="str">
        <f aca="false">IF(C538&gt;10000,"HIGH VALUE","")</f>
        <v/>
      </c>
    </row>
    <row r="539" customFormat="false" ht="15" hidden="false" customHeight="false" outlineLevel="0" collapsed="false">
      <c r="A539" s="6" t="s">
        <v>626</v>
      </c>
      <c r="B539" s="6" t="str">
        <f aca="false">INDEX(Data!$H$2:$H$3990,MATCH(A539,Data!$A$2:$A$3990,0))</f>
        <v>France</v>
      </c>
      <c r="C539" s="19" t="n">
        <f aca="false">SUMIFS(Data!$I$2:$I$3990,Data!$A$2:$A$3990,A539,Data!$J$2:$J$3990,1)</f>
        <v>43.74</v>
      </c>
      <c r="D539" s="6" t="str">
        <f aca="false">IF(C539&gt;10000,"HIGH VALUE","")</f>
        <v/>
      </c>
    </row>
    <row r="540" customFormat="false" ht="15" hidden="false" customHeight="false" outlineLevel="0" collapsed="false">
      <c r="A540" s="6" t="s">
        <v>629</v>
      </c>
      <c r="B540" s="6" t="str">
        <f aca="false">INDEX(Data!$H$2:$H$3990,MATCH(A540,Data!$A$2:$A$3990,0))</f>
        <v>United Kingdom</v>
      </c>
      <c r="C540" s="19" t="n">
        <f aca="false">SUMIFS(Data!$I$2:$I$3990,Data!$A$2:$A$3990,A540,Data!$J$2:$J$3990,1)</f>
        <v>33.51</v>
      </c>
      <c r="D540" s="6" t="str">
        <f aca="false">IF(C540&gt;10000,"HIGH VALUE","")</f>
        <v/>
      </c>
    </row>
    <row r="541" customFormat="false" ht="15" hidden="false" customHeight="false" outlineLevel="0" collapsed="false">
      <c r="A541" s="6" t="s">
        <v>630</v>
      </c>
      <c r="B541" s="6" t="str">
        <f aca="false">INDEX(Data!$H$2:$H$3990,MATCH(A541,Data!$A$2:$A$3990,0))</f>
        <v>France</v>
      </c>
      <c r="C541" s="19" t="n">
        <f aca="false">SUMIFS(Data!$I$2:$I$3990,Data!$A$2:$A$3990,A541,Data!$J$2:$J$3990,1)</f>
        <v>140.59</v>
      </c>
      <c r="D541" s="6" t="str">
        <f aca="false">IF(C541&gt;10000,"HIGH VALUE","")</f>
        <v/>
      </c>
    </row>
    <row r="542" customFormat="false" ht="15" hidden="false" customHeight="false" outlineLevel="0" collapsed="false">
      <c r="A542" s="6" t="s">
        <v>632</v>
      </c>
      <c r="B542" s="6" t="str">
        <f aca="false">INDEX(Data!$H$2:$H$3990,MATCH(A542,Data!$A$2:$A$3990,0))</f>
        <v>United Kingdom</v>
      </c>
      <c r="C542" s="19" t="n">
        <f aca="false">SUMIFS(Data!$I$2:$I$3990,Data!$A$2:$A$3990,A542,Data!$J$2:$J$3990,1)</f>
        <v>67.36</v>
      </c>
      <c r="D542" s="6" t="str">
        <f aca="false">IF(C542&gt;10000,"HIGH VALUE","")</f>
        <v/>
      </c>
    </row>
    <row r="543" customFormat="false" ht="15" hidden="false" customHeight="false" outlineLevel="0" collapsed="false">
      <c r="A543" s="6" t="s">
        <v>631</v>
      </c>
      <c r="B543" s="6" t="str">
        <f aca="false">INDEX(Data!$H$2:$H$3990,MATCH(A543,Data!$A$2:$A$3990,0))</f>
        <v>United Kingdom</v>
      </c>
      <c r="C543" s="19" t="n">
        <f aca="false">SUMIFS(Data!$I$2:$I$3990,Data!$A$2:$A$3990,A543,Data!$J$2:$J$3990,1)</f>
        <v>88.25</v>
      </c>
      <c r="D543" s="6" t="str">
        <f aca="false">IF(C543&gt;10000,"HIGH VALUE","")</f>
        <v/>
      </c>
    </row>
    <row r="544" customFormat="false" ht="15" hidden="false" customHeight="false" outlineLevel="0" collapsed="false">
      <c r="A544" s="6" t="s">
        <v>633</v>
      </c>
      <c r="B544" s="6" t="str">
        <f aca="false">INDEX(Data!$H$2:$H$3990,MATCH(A544,Data!$A$2:$A$3990,0))</f>
        <v>Germany</v>
      </c>
      <c r="C544" s="19" t="n">
        <f aca="false">SUMIFS(Data!$I$2:$I$3990,Data!$A$2:$A$3990,A544,Data!$J$2:$J$3990,1)</f>
        <v>78.12</v>
      </c>
      <c r="D544" s="6" t="str">
        <f aca="false">IF(C544&gt;10000,"HIGH VALUE","")</f>
        <v/>
      </c>
    </row>
    <row r="545" customFormat="false" ht="15" hidden="false" customHeight="false" outlineLevel="0" collapsed="false">
      <c r="A545" s="6" t="s">
        <v>635</v>
      </c>
      <c r="B545" s="6" t="str">
        <f aca="false">INDEX(Data!$H$2:$H$3990,MATCH(A545,Data!$A$2:$A$3990,0))</f>
        <v>United Kingdom</v>
      </c>
      <c r="C545" s="19" t="n">
        <f aca="false">SUMIFS(Data!$I$2:$I$3990,Data!$A$2:$A$3990,A545,Data!$J$2:$J$3990,1)</f>
        <v>457.74</v>
      </c>
      <c r="D545" s="6" t="str">
        <f aca="false">IF(C545&gt;10000,"HIGH VALUE","")</f>
        <v/>
      </c>
    </row>
    <row r="546" customFormat="false" ht="15" hidden="false" customHeight="false" outlineLevel="0" collapsed="false">
      <c r="A546" s="6" t="s">
        <v>634</v>
      </c>
      <c r="B546" s="6" t="str">
        <f aca="false">INDEX(Data!$H$2:$H$3990,MATCH(A546,Data!$A$2:$A$3990,0))</f>
        <v>Australia</v>
      </c>
      <c r="C546" s="19" t="n">
        <f aca="false">SUMIFS(Data!$I$2:$I$3990,Data!$A$2:$A$3990,A546,Data!$J$2:$J$3990,1)</f>
        <v>22.96</v>
      </c>
      <c r="D546" s="6" t="str">
        <f aca="false">IF(C546&gt;10000,"HIGH VALUE","")</f>
        <v/>
      </c>
    </row>
    <row r="547" customFormat="false" ht="15" hidden="false" customHeight="false" outlineLevel="0" collapsed="false">
      <c r="A547" s="6" t="s">
        <v>636</v>
      </c>
      <c r="B547" s="6" t="str">
        <f aca="false">INDEX(Data!$H$2:$H$3990,MATCH(A547,Data!$A$2:$A$3990,0))</f>
        <v>United Kingdom</v>
      </c>
      <c r="C547" s="19" t="n">
        <f aca="false">SUMIFS(Data!$I$2:$I$3990,Data!$A$2:$A$3990,A547,Data!$J$2:$J$3990,1)</f>
        <v>83.87</v>
      </c>
      <c r="D547" s="6" t="str">
        <f aca="false">IF(C547&gt;10000,"HIGH VALUE","")</f>
        <v/>
      </c>
    </row>
    <row r="548" customFormat="false" ht="15" hidden="false" customHeight="false" outlineLevel="0" collapsed="false">
      <c r="A548" s="6" t="s">
        <v>637</v>
      </c>
      <c r="B548" s="6" t="str">
        <f aca="false">INDEX(Data!$H$2:$H$3990,MATCH(A548,Data!$A$2:$A$3990,0))</f>
        <v>United Kingdom</v>
      </c>
      <c r="C548" s="19" t="n">
        <f aca="false">SUMIFS(Data!$I$2:$I$3990,Data!$A$2:$A$3990,A548,Data!$J$2:$J$3990,1)</f>
        <v>44.46</v>
      </c>
      <c r="D548" s="6" t="str">
        <f aca="false">IF(C548&gt;10000,"HIGH VALUE","")</f>
        <v/>
      </c>
    </row>
    <row r="549" customFormat="false" ht="15" hidden="false" customHeight="false" outlineLevel="0" collapsed="false">
      <c r="A549" s="6" t="s">
        <v>640</v>
      </c>
      <c r="B549" s="6" t="str">
        <f aca="false">INDEX(Data!$H$2:$H$3990,MATCH(A549,Data!$A$2:$A$3990,0))</f>
        <v>United Kingdom</v>
      </c>
      <c r="C549" s="19" t="n">
        <f aca="false">SUMIFS(Data!$I$2:$I$3990,Data!$A$2:$A$3990,A549,Data!$J$2:$J$3990,1)</f>
        <v>104.68</v>
      </c>
      <c r="D549" s="6" t="str">
        <f aca="false">IF(C549&gt;10000,"HIGH VALUE","")</f>
        <v/>
      </c>
    </row>
    <row r="550" customFormat="false" ht="15" hidden="false" customHeight="false" outlineLevel="0" collapsed="false">
      <c r="A550" s="6" t="s">
        <v>642</v>
      </c>
      <c r="B550" s="6" t="str">
        <f aca="false">INDEX(Data!$H$2:$H$3990,MATCH(A550,Data!$A$2:$A$3990,0))</f>
        <v>United Kingdom</v>
      </c>
      <c r="C550" s="19" t="n">
        <f aca="false">SUMIFS(Data!$I$2:$I$3990,Data!$A$2:$A$3990,A550,Data!$J$2:$J$3990,1)</f>
        <v>71.45</v>
      </c>
      <c r="D550" s="6" t="str">
        <f aca="false">IF(C550&gt;10000,"HIGH VALUE","")</f>
        <v/>
      </c>
    </row>
    <row r="551" customFormat="false" ht="15" hidden="false" customHeight="false" outlineLevel="0" collapsed="false">
      <c r="A551" s="6" t="s">
        <v>643</v>
      </c>
      <c r="B551" s="6" t="str">
        <f aca="false">INDEX(Data!$H$2:$H$3990,MATCH(A551,Data!$A$2:$A$3990,0))</f>
        <v>United Kingdom</v>
      </c>
      <c r="C551" s="19" t="n">
        <f aca="false">SUMIFS(Data!$I$2:$I$3990,Data!$A$2:$A$3990,A551,Data!$J$2:$J$3990,1)</f>
        <v>2.38</v>
      </c>
      <c r="D551" s="6" t="str">
        <f aca="false">IF(C551&gt;10000,"HIGH VALUE","")</f>
        <v/>
      </c>
    </row>
    <row r="552" customFormat="false" ht="15" hidden="false" customHeight="false" outlineLevel="0" collapsed="false">
      <c r="A552" s="6" t="s">
        <v>638</v>
      </c>
      <c r="B552" s="6" t="str">
        <f aca="false">INDEX(Data!$H$2:$H$3990,MATCH(A552,Data!$A$2:$A$3990,0))</f>
        <v>United Kingdom</v>
      </c>
      <c r="C552" s="19" t="n">
        <f aca="false">SUMIFS(Data!$I$2:$I$3990,Data!$A$2:$A$3990,A552,Data!$J$2:$J$3990,1)</f>
        <v>361.7</v>
      </c>
      <c r="D552" s="6" t="str">
        <f aca="false">IF(C552&gt;10000,"HIGH VALUE","")</f>
        <v/>
      </c>
    </row>
    <row r="553" customFormat="false" ht="15" hidden="false" customHeight="false" outlineLevel="0" collapsed="false">
      <c r="A553" s="6" t="s">
        <v>639</v>
      </c>
      <c r="B553" s="6" t="str">
        <f aca="false">INDEX(Data!$H$2:$H$3990,MATCH(A553,Data!$A$2:$A$3990,0))</f>
        <v>Belgium</v>
      </c>
      <c r="C553" s="19" t="n">
        <f aca="false">SUMIFS(Data!$I$2:$I$3990,Data!$A$2:$A$3990,A553,Data!$J$2:$J$3990,1)</f>
        <v>83.7</v>
      </c>
      <c r="D553" s="6" t="str">
        <f aca="false">IF(C553&gt;10000,"HIGH VALUE","")</f>
        <v/>
      </c>
    </row>
    <row r="554" customFormat="false" ht="15" hidden="false" customHeight="false" outlineLevel="0" collapsed="false">
      <c r="A554" s="6" t="s">
        <v>641</v>
      </c>
      <c r="B554" s="6" t="str">
        <f aca="false">INDEX(Data!$H$2:$H$3990,MATCH(A554,Data!$A$2:$A$3990,0))</f>
        <v>United Kingdom</v>
      </c>
      <c r="C554" s="19" t="n">
        <f aca="false">SUMIFS(Data!$I$2:$I$3990,Data!$A$2:$A$3990,A554,Data!$J$2:$J$3990,1)</f>
        <v>649.44</v>
      </c>
      <c r="D554" s="6" t="str">
        <f aca="false">IF(C554&gt;10000,"HIGH VALUE","")</f>
        <v/>
      </c>
    </row>
    <row r="555" customFormat="false" ht="15" hidden="false" customHeight="false" outlineLevel="0" collapsed="false">
      <c r="A555" s="6" t="s">
        <v>645</v>
      </c>
      <c r="B555" s="6" t="str">
        <f aca="false">INDEX(Data!$H$2:$H$3990,MATCH(A555,Data!$A$2:$A$3990,0))</f>
        <v>United Kingdom</v>
      </c>
      <c r="C555" s="19" t="n">
        <f aca="false">SUMIFS(Data!$I$2:$I$3990,Data!$A$2:$A$3990,A555,Data!$J$2:$J$3990,1)</f>
        <v>68.36</v>
      </c>
      <c r="D555" s="6" t="str">
        <f aca="false">IF(C555&gt;10000,"HIGH VALUE","")</f>
        <v/>
      </c>
    </row>
    <row r="556" customFormat="false" ht="15" hidden="false" customHeight="false" outlineLevel="0" collapsed="false">
      <c r="A556" s="6" t="s">
        <v>648</v>
      </c>
      <c r="B556" s="6" t="str">
        <f aca="false">INDEX(Data!$H$2:$H$3990,MATCH(A556,Data!$A$2:$A$3990,0))</f>
        <v>United Kingdom</v>
      </c>
      <c r="C556" s="19" t="n">
        <f aca="false">SUMIFS(Data!$I$2:$I$3990,Data!$A$2:$A$3990,A556,Data!$J$2:$J$3990,1)</f>
        <v>8.1</v>
      </c>
      <c r="D556" s="6" t="str">
        <f aca="false">IF(C556&gt;10000,"HIGH VALUE","")</f>
        <v/>
      </c>
    </row>
    <row r="557" customFormat="false" ht="15" hidden="false" customHeight="false" outlineLevel="0" collapsed="false">
      <c r="A557" s="6" t="s">
        <v>644</v>
      </c>
      <c r="B557" s="6" t="str">
        <f aca="false">INDEX(Data!$H$2:$H$3990,MATCH(A557,Data!$A$2:$A$3990,0))</f>
        <v>United Kingdom</v>
      </c>
      <c r="C557" s="19" t="n">
        <f aca="false">SUMIFS(Data!$I$2:$I$3990,Data!$A$2:$A$3990,A557,Data!$J$2:$J$3990,1)</f>
        <v>27.76</v>
      </c>
      <c r="D557" s="6" t="str">
        <f aca="false">IF(C557&gt;10000,"HIGH VALUE","")</f>
        <v/>
      </c>
    </row>
    <row r="558" customFormat="false" ht="15" hidden="false" customHeight="false" outlineLevel="0" collapsed="false">
      <c r="A558" s="6" t="s">
        <v>649</v>
      </c>
      <c r="B558" s="6" t="str">
        <f aca="false">INDEX(Data!$H$2:$H$3990,MATCH(A558,Data!$A$2:$A$3990,0))</f>
        <v>United Kingdom</v>
      </c>
      <c r="C558" s="19" t="n">
        <f aca="false">SUMIFS(Data!$I$2:$I$3990,Data!$A$2:$A$3990,A558,Data!$J$2:$J$3990,1)</f>
        <v>38.25</v>
      </c>
      <c r="D558" s="6" t="str">
        <f aca="false">IF(C558&gt;10000,"HIGH VALUE","")</f>
        <v/>
      </c>
    </row>
    <row r="559" customFormat="false" ht="15" hidden="false" customHeight="false" outlineLevel="0" collapsed="false">
      <c r="A559" s="6" t="s">
        <v>646</v>
      </c>
      <c r="B559" s="6" t="str">
        <f aca="false">INDEX(Data!$H$2:$H$3990,MATCH(A559,Data!$A$2:$A$3990,0))</f>
        <v>United Kingdom</v>
      </c>
      <c r="C559" s="19" t="n">
        <f aca="false">SUMIFS(Data!$I$2:$I$3990,Data!$A$2:$A$3990,A559,Data!$J$2:$J$3990,1)</f>
        <v>91.96</v>
      </c>
      <c r="D559" s="6" t="str">
        <f aca="false">IF(C559&gt;10000,"HIGH VALUE","")</f>
        <v/>
      </c>
    </row>
    <row r="560" customFormat="false" ht="15" hidden="false" customHeight="false" outlineLevel="0" collapsed="false">
      <c r="A560" s="6" t="s">
        <v>647</v>
      </c>
      <c r="B560" s="6" t="str">
        <f aca="false">INDEX(Data!$H$2:$H$3990,MATCH(A560,Data!$A$2:$A$3990,0))</f>
        <v>Germany</v>
      </c>
      <c r="C560" s="19" t="n">
        <f aca="false">SUMIFS(Data!$I$2:$I$3990,Data!$A$2:$A$3990,A560,Data!$J$2:$J$3990,1)</f>
        <v>7.26</v>
      </c>
      <c r="D560" s="6" t="str">
        <f aca="false">IF(C560&gt;10000,"HIGH VALUE","")</f>
        <v/>
      </c>
    </row>
    <row r="561" customFormat="false" ht="15" hidden="false" customHeight="false" outlineLevel="0" collapsed="false">
      <c r="A561" s="6" t="s">
        <v>651</v>
      </c>
      <c r="B561" s="6" t="str">
        <f aca="false">INDEX(Data!$H$2:$H$3990,MATCH(A561,Data!$A$2:$A$3990,0))</f>
        <v>United Kingdom</v>
      </c>
      <c r="C561" s="19" t="n">
        <f aca="false">SUMIFS(Data!$I$2:$I$3990,Data!$A$2:$A$3990,A561,Data!$J$2:$J$3990,1)</f>
        <v>26.74</v>
      </c>
      <c r="D561" s="6" t="str">
        <f aca="false">IF(C561&gt;10000,"HIGH VALUE","")</f>
        <v/>
      </c>
    </row>
    <row r="562" customFormat="false" ht="15" hidden="false" customHeight="false" outlineLevel="0" collapsed="false">
      <c r="A562" s="6" t="s">
        <v>654</v>
      </c>
      <c r="B562" s="6" t="str">
        <f aca="false">INDEX(Data!$H$2:$H$3990,MATCH(A562,Data!$A$2:$A$3990,0))</f>
        <v>United Kingdom</v>
      </c>
      <c r="C562" s="19" t="n">
        <f aca="false">SUMIFS(Data!$I$2:$I$3990,Data!$A$2:$A$3990,A562,Data!$J$2:$J$3990,1)</f>
        <v>3357.9</v>
      </c>
      <c r="D562" s="6" t="str">
        <f aca="false">IF(C562&gt;10000,"HIGH VALUE","")</f>
        <v/>
      </c>
    </row>
    <row r="563" customFormat="false" ht="15" hidden="false" customHeight="false" outlineLevel="0" collapsed="false">
      <c r="A563" s="6" t="s">
        <v>656</v>
      </c>
      <c r="B563" s="6" t="str">
        <f aca="false">INDEX(Data!$H$2:$H$3990,MATCH(A563,Data!$A$2:$A$3990,0))</f>
        <v>France</v>
      </c>
      <c r="C563" s="19" t="n">
        <f aca="false">SUMIFS(Data!$I$2:$I$3990,Data!$A$2:$A$3990,A563,Data!$J$2:$J$3990,1)</f>
        <v>109.68</v>
      </c>
      <c r="D563" s="6" t="str">
        <f aca="false">IF(C563&gt;10000,"HIGH VALUE","")</f>
        <v/>
      </c>
    </row>
    <row r="564" customFormat="false" ht="15" hidden="false" customHeight="false" outlineLevel="0" collapsed="false">
      <c r="A564" s="6" t="s">
        <v>653</v>
      </c>
      <c r="B564" s="6" t="str">
        <f aca="false">INDEX(Data!$H$2:$H$3990,MATCH(A564,Data!$A$2:$A$3990,0))</f>
        <v>Germany</v>
      </c>
      <c r="C564" s="19" t="n">
        <f aca="false">SUMIFS(Data!$I$2:$I$3990,Data!$A$2:$A$3990,A564,Data!$J$2:$J$3990,1)</f>
        <v>87.21</v>
      </c>
      <c r="D564" s="6" t="str">
        <f aca="false">IF(C564&gt;10000,"HIGH VALUE","")</f>
        <v/>
      </c>
    </row>
    <row r="565" customFormat="false" ht="15" hidden="false" customHeight="false" outlineLevel="0" collapsed="false">
      <c r="A565" s="6" t="s">
        <v>650</v>
      </c>
      <c r="B565" s="6" t="str">
        <f aca="false">INDEX(Data!$H$2:$H$3990,MATCH(A565,Data!$A$2:$A$3990,0))</f>
        <v>United Kingdom</v>
      </c>
      <c r="C565" s="19" t="n">
        <f aca="false">SUMIFS(Data!$I$2:$I$3990,Data!$A$2:$A$3990,A565,Data!$J$2:$J$3990,1)</f>
        <v>64.14</v>
      </c>
      <c r="D565" s="6" t="str">
        <f aca="false">IF(C565&gt;10000,"HIGH VALUE","")</f>
        <v/>
      </c>
    </row>
    <row r="566" customFormat="false" ht="15" hidden="false" customHeight="false" outlineLevel="0" collapsed="false">
      <c r="A566" s="6" t="s">
        <v>655</v>
      </c>
      <c r="B566" s="6" t="str">
        <f aca="false">INDEX(Data!$H$2:$H$3990,MATCH(A566,Data!$A$2:$A$3990,0))</f>
        <v>EIRE</v>
      </c>
      <c r="C566" s="19" t="n">
        <f aca="false">SUMIFS(Data!$I$2:$I$3990,Data!$A$2:$A$3990,A566,Data!$J$2:$J$3990,1)</f>
        <v>74.12</v>
      </c>
      <c r="D566" s="6" t="str">
        <f aca="false">IF(C566&gt;10000,"HIGH VALUE","")</f>
        <v/>
      </c>
    </row>
    <row r="567" customFormat="false" ht="15" hidden="false" customHeight="false" outlineLevel="0" collapsed="false">
      <c r="A567" s="6" t="s">
        <v>652</v>
      </c>
      <c r="B567" s="6" t="str">
        <f aca="false">INDEX(Data!$H$2:$H$3990,MATCH(A567,Data!$A$2:$A$3990,0))</f>
        <v>EIRE</v>
      </c>
      <c r="C567" s="19" t="n">
        <f aca="false">SUMIFS(Data!$I$2:$I$3990,Data!$A$2:$A$3990,A567,Data!$J$2:$J$3990,1)</f>
        <v>974.76</v>
      </c>
      <c r="D567" s="6" t="str">
        <f aca="false">IF(C567&gt;10000,"HIGH VALUE","")</f>
        <v/>
      </c>
    </row>
    <row r="568" customFormat="false" ht="15" hidden="false" customHeight="false" outlineLevel="0" collapsed="false">
      <c r="A568" s="6" t="s">
        <v>657</v>
      </c>
      <c r="B568" s="6" t="str">
        <f aca="false">INDEX(Data!$H$2:$H$3990,MATCH(A568,Data!$A$2:$A$3990,0))</f>
        <v>United Kingdom</v>
      </c>
      <c r="C568" s="19" t="n">
        <f aca="false">SUMIFS(Data!$I$2:$I$3990,Data!$A$2:$A$3990,A568,Data!$J$2:$J$3990,1)</f>
        <v>240.66</v>
      </c>
      <c r="D568" s="6" t="str">
        <f aca="false">IF(C568&gt;10000,"HIGH VALUE","")</f>
        <v/>
      </c>
    </row>
    <row r="569" customFormat="false" ht="15" hidden="false" customHeight="false" outlineLevel="0" collapsed="false">
      <c r="A569" s="6" t="s">
        <v>658</v>
      </c>
      <c r="B569" s="6" t="str">
        <f aca="false">INDEX(Data!$H$2:$H$3990,MATCH(A569,Data!$A$2:$A$3990,0))</f>
        <v>EIRE</v>
      </c>
      <c r="C569" s="19" t="n">
        <f aca="false">SUMIFS(Data!$I$2:$I$3990,Data!$A$2:$A$3990,A569,Data!$J$2:$J$3990,1)</f>
        <v>339.9</v>
      </c>
      <c r="D569" s="6" t="str">
        <f aca="false">IF(C569&gt;10000,"HIGH VALUE","")</f>
        <v/>
      </c>
    </row>
    <row r="570" customFormat="false" ht="15" hidden="false" customHeight="false" outlineLevel="0" collapsed="false">
      <c r="A570" s="6" t="s">
        <v>659</v>
      </c>
      <c r="B570" s="6" t="str">
        <f aca="false">INDEX(Data!$H$2:$H$3990,MATCH(A570,Data!$A$2:$A$3990,0))</f>
        <v>United Kingdom</v>
      </c>
      <c r="C570" s="19" t="n">
        <f aca="false">SUMIFS(Data!$I$2:$I$3990,Data!$A$2:$A$3990,A570,Data!$J$2:$J$3990,1)</f>
        <v>27.2</v>
      </c>
      <c r="D570" s="6" t="str">
        <f aca="false">IF(C570&gt;10000,"HIGH VALUE","")</f>
        <v/>
      </c>
    </row>
    <row r="571" customFormat="false" ht="15" hidden="false" customHeight="false" outlineLevel="0" collapsed="false">
      <c r="A571" s="6" t="s">
        <v>660</v>
      </c>
      <c r="B571" s="6" t="str">
        <f aca="false">INDEX(Data!$H$2:$H$3990,MATCH(A571,Data!$A$2:$A$3990,0))</f>
        <v>United Kingdom</v>
      </c>
      <c r="C571" s="19" t="n">
        <f aca="false">SUMIFS(Data!$I$2:$I$3990,Data!$A$2:$A$3990,A571,Data!$J$2:$J$3990,1)</f>
        <v>8065.62</v>
      </c>
      <c r="D571" s="6" t="str">
        <f aca="false">IF(C571&gt;10000,"HIGH VALUE","")</f>
        <v/>
      </c>
    </row>
    <row r="572" customFormat="false" ht="15" hidden="false" customHeight="false" outlineLevel="0" collapsed="false">
      <c r="A572" s="6" t="s">
        <v>661</v>
      </c>
      <c r="B572" s="6" t="str">
        <f aca="false">INDEX(Data!$H$2:$H$3990,MATCH(A572,Data!$A$2:$A$3990,0))</f>
        <v>United Kingdom</v>
      </c>
      <c r="C572" s="19" t="n">
        <f aca="false">SUMIFS(Data!$I$2:$I$3990,Data!$A$2:$A$3990,A572,Data!$J$2:$J$3990,1)</f>
        <v>65.38</v>
      </c>
      <c r="D572" s="6" t="str">
        <f aca="false">IF(C572&gt;10000,"HIGH VALUE","")</f>
        <v/>
      </c>
    </row>
    <row r="573" customFormat="false" ht="15" hidden="false" customHeight="false" outlineLevel="0" collapsed="false">
      <c r="A573" s="6" t="s">
        <v>667</v>
      </c>
      <c r="B573" s="6" t="str">
        <f aca="false">INDEX(Data!$H$2:$H$3990,MATCH(A573,Data!$A$2:$A$3990,0))</f>
        <v>France</v>
      </c>
      <c r="C573" s="19" t="n">
        <f aca="false">SUMIFS(Data!$I$2:$I$3990,Data!$A$2:$A$3990,A573,Data!$J$2:$J$3990,1)</f>
        <v>24.06</v>
      </c>
      <c r="D573" s="6" t="str">
        <f aca="false">IF(C573&gt;10000,"HIGH VALUE","")</f>
        <v/>
      </c>
    </row>
    <row r="574" customFormat="false" ht="15" hidden="false" customHeight="false" outlineLevel="0" collapsed="false">
      <c r="A574" s="6" t="s">
        <v>664</v>
      </c>
      <c r="B574" s="6" t="str">
        <f aca="false">INDEX(Data!$H$2:$H$3990,MATCH(A574,Data!$A$2:$A$3990,0))</f>
        <v>United Kingdom</v>
      </c>
      <c r="C574" s="19" t="n">
        <f aca="false">SUMIFS(Data!$I$2:$I$3990,Data!$A$2:$A$3990,A574,Data!$J$2:$J$3990,1)</f>
        <v>20.18</v>
      </c>
      <c r="D574" s="6" t="str">
        <f aca="false">IF(C574&gt;10000,"HIGH VALUE","")</f>
        <v/>
      </c>
    </row>
    <row r="575" customFormat="false" ht="15" hidden="false" customHeight="false" outlineLevel="0" collapsed="false">
      <c r="A575" s="6" t="s">
        <v>666</v>
      </c>
      <c r="B575" s="6" t="str">
        <f aca="false">INDEX(Data!$H$2:$H$3990,MATCH(A575,Data!$A$2:$A$3990,0))</f>
        <v>United Kingdom</v>
      </c>
      <c r="C575" s="19" t="n">
        <f aca="false">SUMIFS(Data!$I$2:$I$3990,Data!$A$2:$A$3990,A575,Data!$J$2:$J$3990,1)</f>
        <v>27.37</v>
      </c>
      <c r="D575" s="6" t="str">
        <f aca="false">IF(C575&gt;10000,"HIGH VALUE","")</f>
        <v/>
      </c>
    </row>
    <row r="576" customFormat="false" ht="15" hidden="false" customHeight="false" outlineLevel="0" collapsed="false">
      <c r="A576" s="6" t="s">
        <v>662</v>
      </c>
      <c r="B576" s="6" t="str">
        <f aca="false">INDEX(Data!$H$2:$H$3990,MATCH(A576,Data!$A$2:$A$3990,0))</f>
        <v>EIRE</v>
      </c>
      <c r="C576" s="19" t="n">
        <f aca="false">SUMIFS(Data!$I$2:$I$3990,Data!$A$2:$A$3990,A576,Data!$J$2:$J$3990,1)</f>
        <v>37.92</v>
      </c>
      <c r="D576" s="6" t="str">
        <f aca="false">IF(C576&gt;10000,"HIGH VALUE","")</f>
        <v/>
      </c>
    </row>
    <row r="577" customFormat="false" ht="15" hidden="false" customHeight="false" outlineLevel="0" collapsed="false">
      <c r="A577" s="6" t="s">
        <v>663</v>
      </c>
      <c r="B577" s="6" t="str">
        <f aca="false">INDEX(Data!$H$2:$H$3990,MATCH(A577,Data!$A$2:$A$3990,0))</f>
        <v>EIRE</v>
      </c>
      <c r="C577" s="19" t="n">
        <f aca="false">SUMIFS(Data!$I$2:$I$3990,Data!$A$2:$A$3990,A577,Data!$J$2:$J$3990,1)</f>
        <v>152</v>
      </c>
      <c r="D577" s="6" t="str">
        <f aca="false">IF(C577&gt;10000,"HIGH VALUE","")</f>
        <v/>
      </c>
    </row>
    <row r="578" customFormat="false" ht="15" hidden="false" customHeight="false" outlineLevel="0" collapsed="false">
      <c r="A578" s="6" t="s">
        <v>665</v>
      </c>
      <c r="B578" s="6" t="str">
        <f aca="false">INDEX(Data!$H$2:$H$3990,MATCH(A578,Data!$A$2:$A$3990,0))</f>
        <v>United Kingdom</v>
      </c>
      <c r="C578" s="19" t="n">
        <f aca="false">SUMIFS(Data!$I$2:$I$3990,Data!$A$2:$A$3990,A578,Data!$J$2:$J$3990,1)</f>
        <v>64.88</v>
      </c>
      <c r="D578" s="6" t="str">
        <f aca="false">IF(C578&gt;10000,"HIGH VALUE","")</f>
        <v/>
      </c>
    </row>
    <row r="579" customFormat="false" ht="15" hidden="false" customHeight="false" outlineLevel="0" collapsed="false">
      <c r="A579" s="6" t="s">
        <v>669</v>
      </c>
      <c r="B579" s="6" t="str">
        <f aca="false">INDEX(Data!$H$2:$H$3990,MATCH(A579,Data!$A$2:$A$3990,0))</f>
        <v>United Kingdom</v>
      </c>
      <c r="C579" s="19" t="n">
        <f aca="false">SUMIFS(Data!$I$2:$I$3990,Data!$A$2:$A$3990,A579,Data!$J$2:$J$3990,1)</f>
        <v>2463.54</v>
      </c>
      <c r="D579" s="6" t="str">
        <f aca="false">IF(C579&gt;10000,"HIGH VALUE","")</f>
        <v/>
      </c>
    </row>
    <row r="580" customFormat="false" ht="15" hidden="false" customHeight="false" outlineLevel="0" collapsed="false">
      <c r="A580" s="6" t="s">
        <v>675</v>
      </c>
      <c r="B580" s="6" t="str">
        <f aca="false">INDEX(Data!$H$2:$H$3990,MATCH(A580,Data!$A$2:$A$3990,0))</f>
        <v>United Kingdom</v>
      </c>
      <c r="C580" s="19" t="n">
        <f aca="false">SUMIFS(Data!$I$2:$I$3990,Data!$A$2:$A$3990,A580,Data!$J$2:$J$3990,1)</f>
        <v>204.98</v>
      </c>
      <c r="D580" s="6" t="str">
        <f aca="false">IF(C580&gt;10000,"HIGH VALUE","")</f>
        <v/>
      </c>
    </row>
    <row r="581" customFormat="false" ht="15" hidden="false" customHeight="false" outlineLevel="0" collapsed="false">
      <c r="A581" s="6" t="s">
        <v>671</v>
      </c>
      <c r="B581" s="6" t="str">
        <f aca="false">INDEX(Data!$H$2:$H$3990,MATCH(A581,Data!$A$2:$A$3990,0))</f>
        <v>United Kingdom</v>
      </c>
      <c r="C581" s="19" t="n">
        <f aca="false">SUMIFS(Data!$I$2:$I$3990,Data!$A$2:$A$3990,A581,Data!$J$2:$J$3990,1)</f>
        <v>14.49</v>
      </c>
      <c r="D581" s="6" t="str">
        <f aca="false">IF(C581&gt;10000,"HIGH VALUE","")</f>
        <v/>
      </c>
    </row>
    <row r="582" customFormat="false" ht="15" hidden="false" customHeight="false" outlineLevel="0" collapsed="false">
      <c r="A582" s="6" t="s">
        <v>670</v>
      </c>
      <c r="B582" s="6" t="str">
        <f aca="false">INDEX(Data!$H$2:$H$3990,MATCH(A582,Data!$A$2:$A$3990,0))</f>
        <v>United Kingdom</v>
      </c>
      <c r="C582" s="19" t="n">
        <f aca="false">SUMIFS(Data!$I$2:$I$3990,Data!$A$2:$A$3990,A582,Data!$J$2:$J$3990,1)</f>
        <v>66.9</v>
      </c>
      <c r="D582" s="6" t="str">
        <f aca="false">IF(C582&gt;10000,"HIGH VALUE","")</f>
        <v/>
      </c>
    </row>
    <row r="583" customFormat="false" ht="15" hidden="false" customHeight="false" outlineLevel="0" collapsed="false">
      <c r="A583" s="6" t="s">
        <v>672</v>
      </c>
      <c r="B583" s="6" t="str">
        <f aca="false">INDEX(Data!$H$2:$H$3990,MATCH(A583,Data!$A$2:$A$3990,0))</f>
        <v>United Kingdom</v>
      </c>
      <c r="C583" s="19" t="n">
        <f aca="false">SUMIFS(Data!$I$2:$I$3990,Data!$A$2:$A$3990,A583,Data!$J$2:$J$3990,1)</f>
        <v>7.92</v>
      </c>
      <c r="D583" s="6" t="str">
        <f aca="false">IF(C583&gt;10000,"HIGH VALUE","")</f>
        <v/>
      </c>
    </row>
    <row r="584" customFormat="false" ht="15" hidden="false" customHeight="false" outlineLevel="0" collapsed="false">
      <c r="A584" s="6" t="s">
        <v>668</v>
      </c>
      <c r="B584" s="6" t="str">
        <f aca="false">INDEX(Data!$H$2:$H$3990,MATCH(A584,Data!$A$2:$A$3990,0))</f>
        <v>United Kingdom</v>
      </c>
      <c r="C584" s="19" t="n">
        <f aca="false">SUMIFS(Data!$I$2:$I$3990,Data!$A$2:$A$3990,A584,Data!$J$2:$J$3990,1)</f>
        <v>20.58</v>
      </c>
      <c r="D584" s="6" t="str">
        <f aca="false">IF(C584&gt;10000,"HIGH VALUE","")</f>
        <v/>
      </c>
    </row>
    <row r="585" customFormat="false" ht="15" hidden="false" customHeight="false" outlineLevel="0" collapsed="false">
      <c r="A585" s="6" t="s">
        <v>673</v>
      </c>
      <c r="B585" s="6" t="str">
        <f aca="false">INDEX(Data!$H$2:$H$3990,MATCH(A585,Data!$A$2:$A$3990,0))</f>
        <v>United Kingdom</v>
      </c>
      <c r="C585" s="19" t="n">
        <f aca="false">SUMIFS(Data!$I$2:$I$3990,Data!$A$2:$A$3990,A585,Data!$J$2:$J$3990,1)</f>
        <v>36.16</v>
      </c>
      <c r="D585" s="6" t="str">
        <f aca="false">IF(C585&gt;10000,"HIGH VALUE","")</f>
        <v/>
      </c>
    </row>
    <row r="586" customFormat="false" ht="15" hidden="false" customHeight="false" outlineLevel="0" collapsed="false">
      <c r="A586" s="6" t="s">
        <v>674</v>
      </c>
      <c r="B586" s="6" t="str">
        <f aca="false">INDEX(Data!$H$2:$H$3990,MATCH(A586,Data!$A$2:$A$3990,0))</f>
        <v>United Kingdom</v>
      </c>
      <c r="C586" s="19" t="n">
        <f aca="false">SUMIFS(Data!$I$2:$I$3990,Data!$A$2:$A$3990,A586,Data!$J$2:$J$3990,1)</f>
        <v>57.12</v>
      </c>
      <c r="D586" s="6" t="str">
        <f aca="false">IF(C586&gt;10000,"HIGH VALUE","")</f>
        <v/>
      </c>
    </row>
    <row r="587" customFormat="false" ht="15" hidden="false" customHeight="false" outlineLevel="0" collapsed="false">
      <c r="A587" s="6" t="s">
        <v>676</v>
      </c>
      <c r="B587" s="6" t="str">
        <f aca="false">INDEX(Data!$H$2:$H$3990,MATCH(A587,Data!$A$2:$A$3990,0))</f>
        <v>United Kingdom</v>
      </c>
      <c r="C587" s="19" t="n">
        <f aca="false">SUMIFS(Data!$I$2:$I$3990,Data!$A$2:$A$3990,A587,Data!$J$2:$J$3990,1)</f>
        <v>128.88</v>
      </c>
      <c r="D587" s="6" t="str">
        <f aca="false">IF(C587&gt;10000,"HIGH VALUE","")</f>
        <v/>
      </c>
    </row>
    <row r="588" customFormat="false" ht="15" hidden="false" customHeight="false" outlineLevel="0" collapsed="false">
      <c r="A588" s="6" t="s">
        <v>677</v>
      </c>
      <c r="B588" s="6" t="str">
        <f aca="false">INDEX(Data!$H$2:$H$3990,MATCH(A588,Data!$A$2:$A$3990,0))</f>
        <v>United Kingdom</v>
      </c>
      <c r="C588" s="19" t="n">
        <f aca="false">SUMIFS(Data!$I$2:$I$3990,Data!$A$2:$A$3990,A588,Data!$J$2:$J$3990,1)</f>
        <v>114.48</v>
      </c>
      <c r="D588" s="6" t="str">
        <f aca="false">IF(C588&gt;10000,"HIGH VALUE","")</f>
        <v/>
      </c>
    </row>
    <row r="589" customFormat="false" ht="15" hidden="false" customHeight="false" outlineLevel="0" collapsed="false">
      <c r="A589" s="6" t="s">
        <v>678</v>
      </c>
      <c r="B589" s="6" t="str">
        <f aca="false">INDEX(Data!$H$2:$H$3990,MATCH(A589,Data!$A$2:$A$3990,0))</f>
        <v>United Kingdom</v>
      </c>
      <c r="C589" s="19" t="n">
        <f aca="false">SUMIFS(Data!$I$2:$I$3990,Data!$A$2:$A$3990,A589,Data!$J$2:$J$3990,1)</f>
        <v>354.66</v>
      </c>
      <c r="D589" s="6" t="str">
        <f aca="false">IF(C589&gt;10000,"HIGH VALUE","")</f>
        <v/>
      </c>
    </row>
    <row r="590" customFormat="false" ht="15" hidden="false" customHeight="false" outlineLevel="0" collapsed="false">
      <c r="A590" s="6" t="s">
        <v>679</v>
      </c>
      <c r="B590" s="6" t="str">
        <f aca="false">INDEX(Data!$H$2:$H$3990,MATCH(A590,Data!$A$2:$A$3990,0))</f>
        <v>United Kingdom</v>
      </c>
      <c r="C590" s="19" t="n">
        <f aca="false">SUMIFS(Data!$I$2:$I$3990,Data!$A$2:$A$3990,A590,Data!$J$2:$J$3990,1)</f>
        <v>168.03</v>
      </c>
      <c r="D590" s="6" t="str">
        <f aca="false">IF(C590&gt;10000,"HIGH VALUE","")</f>
        <v/>
      </c>
    </row>
    <row r="591" customFormat="false" ht="15" hidden="false" customHeight="false" outlineLevel="0" collapsed="false">
      <c r="A591" s="6" t="s">
        <v>680</v>
      </c>
      <c r="B591" s="6" t="str">
        <f aca="false">INDEX(Data!$H$2:$H$3990,MATCH(A591,Data!$A$2:$A$3990,0))</f>
        <v>United Kingdom</v>
      </c>
      <c r="C591" s="19" t="n">
        <f aca="false">SUMIFS(Data!$I$2:$I$3990,Data!$A$2:$A$3990,A591,Data!$J$2:$J$3990,1)</f>
        <v>482.04</v>
      </c>
      <c r="D591" s="6" t="str">
        <f aca="false">IF(C591&gt;10000,"HIGH VALUE","")</f>
        <v/>
      </c>
    </row>
    <row r="592" customFormat="false" ht="15" hidden="false" customHeight="false" outlineLevel="0" collapsed="false">
      <c r="A592" s="6" t="s">
        <v>681</v>
      </c>
      <c r="B592" s="6" t="str">
        <f aca="false">INDEX(Data!$H$2:$H$3990,MATCH(A592,Data!$A$2:$A$3990,0))</f>
        <v>United Kingdom</v>
      </c>
      <c r="C592" s="19" t="n">
        <f aca="false">SUMIFS(Data!$I$2:$I$3990,Data!$A$2:$A$3990,A592,Data!$J$2:$J$3990,1)</f>
        <v>86.97</v>
      </c>
      <c r="D592" s="6" t="str">
        <f aca="false">IF(C592&gt;10000,"HIGH VALUE","")</f>
        <v/>
      </c>
    </row>
    <row r="593" customFormat="false" ht="15" hidden="false" customHeight="false" outlineLevel="0" collapsed="false">
      <c r="A593" s="6" t="s">
        <v>684</v>
      </c>
      <c r="B593" s="6" t="str">
        <f aca="false">INDEX(Data!$H$2:$H$3990,MATCH(A593,Data!$A$2:$A$3990,0))</f>
        <v>United Kingdom</v>
      </c>
      <c r="C593" s="19" t="n">
        <f aca="false">SUMIFS(Data!$I$2:$I$3990,Data!$A$2:$A$3990,A593,Data!$J$2:$J$3990,1)</f>
        <v>20.94</v>
      </c>
      <c r="D593" s="6" t="str">
        <f aca="false">IF(C593&gt;10000,"HIGH VALUE","")</f>
        <v/>
      </c>
    </row>
    <row r="594" customFormat="false" ht="15" hidden="false" customHeight="false" outlineLevel="0" collapsed="false">
      <c r="A594" s="6" t="s">
        <v>682</v>
      </c>
      <c r="B594" s="6" t="str">
        <f aca="false">INDEX(Data!$H$2:$H$3990,MATCH(A594,Data!$A$2:$A$3990,0))</f>
        <v>Germany</v>
      </c>
      <c r="C594" s="19" t="n">
        <f aca="false">SUMIFS(Data!$I$2:$I$3990,Data!$A$2:$A$3990,A594,Data!$J$2:$J$3990,1)</f>
        <v>226.14</v>
      </c>
      <c r="D594" s="6" t="str">
        <f aca="false">IF(C594&gt;10000,"HIGH VALUE","")</f>
        <v/>
      </c>
    </row>
    <row r="595" customFormat="false" ht="15" hidden="false" customHeight="false" outlineLevel="0" collapsed="false">
      <c r="A595" s="6" t="s">
        <v>683</v>
      </c>
      <c r="B595" s="6" t="str">
        <f aca="false">INDEX(Data!$H$2:$H$3990,MATCH(A595,Data!$A$2:$A$3990,0))</f>
        <v>Belgium</v>
      </c>
      <c r="C595" s="19" t="n">
        <f aca="false">SUMIFS(Data!$I$2:$I$3990,Data!$A$2:$A$3990,A595,Data!$J$2:$J$3990,1)</f>
        <v>4.86</v>
      </c>
      <c r="D595" s="6" t="str">
        <f aca="false">IF(C595&gt;10000,"HIGH VALUE","")</f>
        <v/>
      </c>
    </row>
    <row r="596" customFormat="false" ht="15" hidden="false" customHeight="false" outlineLevel="0" collapsed="false">
      <c r="A596" s="6" t="s">
        <v>685</v>
      </c>
      <c r="B596" s="6" t="str">
        <f aca="false">INDEX(Data!$H$2:$H$3990,MATCH(A596,Data!$A$2:$A$3990,0))</f>
        <v>United Kingdom</v>
      </c>
      <c r="C596" s="19" t="n">
        <f aca="false">SUMIFS(Data!$I$2:$I$3990,Data!$A$2:$A$3990,A596,Data!$J$2:$J$3990,1)</f>
        <v>53.11</v>
      </c>
      <c r="D596" s="6" t="str">
        <f aca="false">IF(C596&gt;10000,"HIGH VALUE","")</f>
        <v/>
      </c>
    </row>
    <row r="597" customFormat="false" ht="15" hidden="false" customHeight="false" outlineLevel="0" collapsed="false">
      <c r="A597" s="6" t="s">
        <v>690</v>
      </c>
      <c r="B597" s="6" t="str">
        <f aca="false">INDEX(Data!$H$2:$H$3990,MATCH(A597,Data!$A$2:$A$3990,0))</f>
        <v>United Kingdom</v>
      </c>
      <c r="C597" s="19" t="n">
        <f aca="false">SUMIFS(Data!$I$2:$I$3990,Data!$A$2:$A$3990,A597,Data!$J$2:$J$3990,1)</f>
        <v>211.15</v>
      </c>
      <c r="D597" s="6" t="str">
        <f aca="false">IF(C597&gt;10000,"HIGH VALUE","")</f>
        <v/>
      </c>
    </row>
    <row r="598" customFormat="false" ht="15" hidden="false" customHeight="false" outlineLevel="0" collapsed="false">
      <c r="A598" s="6" t="s">
        <v>691</v>
      </c>
      <c r="B598" s="6" t="str">
        <f aca="false">INDEX(Data!$H$2:$H$3990,MATCH(A598,Data!$A$2:$A$3990,0))</f>
        <v>United Kingdom</v>
      </c>
      <c r="C598" s="19" t="n">
        <f aca="false">SUMIFS(Data!$I$2:$I$3990,Data!$A$2:$A$3990,A598,Data!$J$2:$J$3990,1)</f>
        <v>148.65</v>
      </c>
      <c r="D598" s="6" t="str">
        <f aca="false">IF(C598&gt;10000,"HIGH VALUE","")</f>
        <v/>
      </c>
    </row>
    <row r="599" customFormat="false" ht="15" hidden="false" customHeight="false" outlineLevel="0" collapsed="false">
      <c r="A599" s="6" t="s">
        <v>689</v>
      </c>
      <c r="B599" s="6" t="str">
        <f aca="false">INDEX(Data!$H$2:$H$3990,MATCH(A599,Data!$A$2:$A$3990,0))</f>
        <v>United Kingdom</v>
      </c>
      <c r="C599" s="19" t="n">
        <f aca="false">SUMIFS(Data!$I$2:$I$3990,Data!$A$2:$A$3990,A599,Data!$J$2:$J$3990,1)</f>
        <v>42.74</v>
      </c>
      <c r="D599" s="6" t="str">
        <f aca="false">IF(C599&gt;10000,"HIGH VALUE","")</f>
        <v/>
      </c>
    </row>
    <row r="600" customFormat="false" ht="15" hidden="false" customHeight="false" outlineLevel="0" collapsed="false">
      <c r="A600" s="6" t="s">
        <v>687</v>
      </c>
      <c r="B600" s="6" t="str">
        <f aca="false">INDEX(Data!$H$2:$H$3990,MATCH(A600,Data!$A$2:$A$3990,0))</f>
        <v>United Kingdom</v>
      </c>
      <c r="C600" s="19" t="n">
        <f aca="false">SUMIFS(Data!$I$2:$I$3990,Data!$A$2:$A$3990,A600,Data!$J$2:$J$3990,1)</f>
        <v>21.16</v>
      </c>
      <c r="D600" s="6" t="str">
        <f aca="false">IF(C600&gt;10000,"HIGH VALUE","")</f>
        <v/>
      </c>
    </row>
    <row r="601" customFormat="false" ht="15" hidden="false" customHeight="false" outlineLevel="0" collapsed="false">
      <c r="A601" s="6" t="s">
        <v>688</v>
      </c>
      <c r="B601" s="6" t="str">
        <f aca="false">INDEX(Data!$H$2:$H$3990,MATCH(A601,Data!$A$2:$A$3990,0))</f>
        <v>United Kingdom</v>
      </c>
      <c r="C601" s="19" t="n">
        <f aca="false">SUMIFS(Data!$I$2:$I$3990,Data!$A$2:$A$3990,A601,Data!$J$2:$J$3990,1)</f>
        <v>112.55</v>
      </c>
      <c r="D601" s="6" t="str">
        <f aca="false">IF(C601&gt;10000,"HIGH VALUE","")</f>
        <v/>
      </c>
    </row>
    <row r="602" customFormat="false" ht="15" hidden="false" customHeight="false" outlineLevel="0" collapsed="false">
      <c r="A602" s="6" t="s">
        <v>692</v>
      </c>
      <c r="B602" s="6" t="str">
        <f aca="false">INDEX(Data!$H$2:$H$3990,MATCH(A602,Data!$A$2:$A$3990,0))</f>
        <v>United Kingdom</v>
      </c>
      <c r="C602" s="19" t="n">
        <f aca="false">SUMIFS(Data!$I$2:$I$3990,Data!$A$2:$A$3990,A602,Data!$J$2:$J$3990,1)</f>
        <v>49.65</v>
      </c>
      <c r="D602" s="6" t="str">
        <f aca="false">IF(C602&gt;10000,"HIGH VALUE","")</f>
        <v/>
      </c>
    </row>
    <row r="603" customFormat="false" ht="15" hidden="false" customHeight="false" outlineLevel="0" collapsed="false">
      <c r="A603" s="6" t="s">
        <v>693</v>
      </c>
      <c r="B603" s="6" t="str">
        <f aca="false">INDEX(Data!$H$2:$H$3990,MATCH(A603,Data!$A$2:$A$3990,0))</f>
        <v>United Kingdom</v>
      </c>
      <c r="C603" s="19" t="n">
        <f aca="false">SUMIFS(Data!$I$2:$I$3990,Data!$A$2:$A$3990,A603,Data!$J$2:$J$3990,1)</f>
        <v>6.48</v>
      </c>
      <c r="D603" s="6" t="str">
        <f aca="false">IF(C603&gt;10000,"HIGH VALUE","")</f>
        <v/>
      </c>
    </row>
    <row r="604" customFormat="false" ht="15" hidden="false" customHeight="false" outlineLevel="0" collapsed="false">
      <c r="A604" s="6" t="s">
        <v>695</v>
      </c>
      <c r="B604" s="6" t="str">
        <f aca="false">INDEX(Data!$H$2:$H$3990,MATCH(A604,Data!$A$2:$A$3990,0))</f>
        <v>United Kingdom</v>
      </c>
      <c r="C604" s="19" t="n">
        <f aca="false">SUMIFS(Data!$I$2:$I$3990,Data!$A$2:$A$3990,A604,Data!$J$2:$J$3990,1)</f>
        <v>10707.12</v>
      </c>
      <c r="D604" s="6" t="str">
        <f aca="false">IF(C604&gt;10000,"HIGH VALUE","")</f>
        <v>HIGH VALUE</v>
      </c>
    </row>
    <row r="605" customFormat="false" ht="15" hidden="false" customHeight="false" outlineLevel="0" collapsed="false">
      <c r="A605" s="6" t="s">
        <v>697</v>
      </c>
      <c r="B605" s="6" t="str">
        <f aca="false">INDEX(Data!$H$2:$H$3990,MATCH(A605,Data!$A$2:$A$3990,0))</f>
        <v>Netherlands</v>
      </c>
      <c r="C605" s="19" t="n">
        <f aca="false">SUMIFS(Data!$I$2:$I$3990,Data!$A$2:$A$3990,A605,Data!$J$2:$J$3990,1)</f>
        <v>146.7</v>
      </c>
      <c r="D605" s="6" t="str">
        <f aca="false">IF(C605&gt;10000,"HIGH VALUE","")</f>
        <v/>
      </c>
    </row>
    <row r="606" customFormat="false" ht="15" hidden="false" customHeight="false" outlineLevel="0" collapsed="false">
      <c r="A606" s="6" t="s">
        <v>694</v>
      </c>
      <c r="B606" s="6" t="str">
        <f aca="false">INDEX(Data!$H$2:$H$3990,MATCH(A606,Data!$A$2:$A$3990,0))</f>
        <v>United Kingdom</v>
      </c>
      <c r="C606" s="19" t="n">
        <f aca="false">SUMIFS(Data!$I$2:$I$3990,Data!$A$2:$A$3990,A606,Data!$J$2:$J$3990,1)</f>
        <v>201.93</v>
      </c>
      <c r="D606" s="6" t="str">
        <f aca="false">IF(C606&gt;10000,"HIGH VALUE","")</f>
        <v/>
      </c>
    </row>
    <row r="607" customFormat="false" ht="15" hidden="false" customHeight="false" outlineLevel="0" collapsed="false">
      <c r="A607" s="6" t="s">
        <v>696</v>
      </c>
      <c r="B607" s="6" t="str">
        <f aca="false">INDEX(Data!$H$2:$H$3990,MATCH(A607,Data!$A$2:$A$3990,0))</f>
        <v>Germany</v>
      </c>
      <c r="C607" s="19" t="n">
        <f aca="false">SUMIFS(Data!$I$2:$I$3990,Data!$A$2:$A$3990,A607,Data!$J$2:$J$3990,1)</f>
        <v>87.17</v>
      </c>
      <c r="D607" s="6" t="str">
        <f aca="false">IF(C607&gt;10000,"HIGH VALUE","")</f>
        <v/>
      </c>
    </row>
    <row r="608" customFormat="false" ht="15" hidden="false" customHeight="false" outlineLevel="0" collapsed="false">
      <c r="A608" s="6" t="s">
        <v>699</v>
      </c>
      <c r="B608" s="6" t="str">
        <f aca="false">INDEX(Data!$H$2:$H$3990,MATCH(A608,Data!$A$2:$A$3990,0))</f>
        <v>United Kingdom</v>
      </c>
      <c r="C608" s="19" t="n">
        <f aca="false">SUMIFS(Data!$I$2:$I$3990,Data!$A$2:$A$3990,A608,Data!$J$2:$J$3990,1)</f>
        <v>50.05</v>
      </c>
      <c r="D608" s="6" t="str">
        <f aca="false">IF(C608&gt;10000,"HIGH VALUE","")</f>
        <v/>
      </c>
    </row>
    <row r="609" customFormat="false" ht="15" hidden="false" customHeight="false" outlineLevel="0" collapsed="false">
      <c r="A609" s="6" t="s">
        <v>698</v>
      </c>
      <c r="B609" s="6" t="str">
        <f aca="false">INDEX(Data!$H$2:$H$3990,MATCH(A609,Data!$A$2:$A$3990,0))</f>
        <v>Germany</v>
      </c>
      <c r="C609" s="19" t="n">
        <f aca="false">SUMIFS(Data!$I$2:$I$3990,Data!$A$2:$A$3990,A609,Data!$J$2:$J$3990,1)</f>
        <v>85.17</v>
      </c>
      <c r="D609" s="6" t="str">
        <f aca="false">IF(C609&gt;10000,"HIGH VALUE","")</f>
        <v/>
      </c>
    </row>
    <row r="610" customFormat="false" ht="15" hidden="false" customHeight="false" outlineLevel="0" collapsed="false">
      <c r="A610" s="6" t="s">
        <v>700</v>
      </c>
      <c r="B610" s="6" t="str">
        <f aca="false">INDEX(Data!$H$2:$H$3990,MATCH(A610,Data!$A$2:$A$3990,0))</f>
        <v>United Kingdom</v>
      </c>
      <c r="C610" s="19" t="n">
        <f aca="false">SUMIFS(Data!$I$2:$I$3990,Data!$A$2:$A$3990,A610,Data!$J$2:$J$3990,1)</f>
        <v>116.81</v>
      </c>
      <c r="D610" s="6" t="str">
        <f aca="false">IF(C610&gt;10000,"HIGH VALUE","")</f>
        <v/>
      </c>
    </row>
    <row r="611" customFormat="false" ht="15" hidden="false" customHeight="false" outlineLevel="0" collapsed="false">
      <c r="A611" s="6" t="s">
        <v>701</v>
      </c>
      <c r="B611" s="6" t="str">
        <f aca="false">INDEX(Data!$H$2:$H$3990,MATCH(A611,Data!$A$2:$A$3990,0))</f>
        <v>France</v>
      </c>
      <c r="C611" s="19" t="n">
        <f aca="false">SUMIFS(Data!$I$2:$I$3990,Data!$A$2:$A$3990,A611,Data!$J$2:$J$3990,1)</f>
        <v>14.86</v>
      </c>
      <c r="D611" s="6" t="str">
        <f aca="false">IF(C611&gt;10000,"HIGH VALUE","")</f>
        <v/>
      </c>
    </row>
    <row r="612" customFormat="false" ht="15" hidden="false" customHeight="false" outlineLevel="0" collapsed="false">
      <c r="A612" s="6" t="s">
        <v>704</v>
      </c>
      <c r="B612" s="6" t="str">
        <f aca="false">INDEX(Data!$H$2:$H$3990,MATCH(A612,Data!$A$2:$A$3990,0))</f>
        <v>United Kingdom</v>
      </c>
      <c r="C612" s="19" t="n">
        <f aca="false">SUMIFS(Data!$I$2:$I$3990,Data!$A$2:$A$3990,A612,Data!$J$2:$J$3990,1)</f>
        <v>38.46</v>
      </c>
      <c r="D612" s="6" t="str">
        <f aca="false">IF(C612&gt;10000,"HIGH VALUE","")</f>
        <v/>
      </c>
    </row>
    <row r="613" customFormat="false" ht="15" hidden="false" customHeight="false" outlineLevel="0" collapsed="false">
      <c r="A613" s="6" t="s">
        <v>702</v>
      </c>
      <c r="B613" s="6" t="str">
        <f aca="false">INDEX(Data!$H$2:$H$3990,MATCH(A613,Data!$A$2:$A$3990,0))</f>
        <v>United Kingdom</v>
      </c>
      <c r="C613" s="19" t="n">
        <f aca="false">SUMIFS(Data!$I$2:$I$3990,Data!$A$2:$A$3990,A613,Data!$J$2:$J$3990,1)</f>
        <v>9.54</v>
      </c>
      <c r="D613" s="6" t="str">
        <f aca="false">IF(C613&gt;10000,"HIGH VALUE","")</f>
        <v/>
      </c>
    </row>
    <row r="614" customFormat="false" ht="15" hidden="false" customHeight="false" outlineLevel="0" collapsed="false">
      <c r="A614" s="6" t="s">
        <v>703</v>
      </c>
      <c r="B614" s="6" t="str">
        <f aca="false">INDEX(Data!$H$2:$H$3990,MATCH(A614,Data!$A$2:$A$3990,0))</f>
        <v>Netherlands</v>
      </c>
      <c r="C614" s="19" t="n">
        <f aca="false">SUMIFS(Data!$I$2:$I$3990,Data!$A$2:$A$3990,A614,Data!$J$2:$J$3990,1)</f>
        <v>171.24</v>
      </c>
      <c r="D614" s="6" t="str">
        <f aca="false">IF(C614&gt;10000,"HIGH VALUE","")</f>
        <v/>
      </c>
    </row>
    <row r="615" customFormat="false" ht="15" hidden="false" customHeight="false" outlineLevel="0" collapsed="false">
      <c r="A615" s="6" t="s">
        <v>709</v>
      </c>
      <c r="B615" s="6" t="str">
        <f aca="false">INDEX(Data!$H$2:$H$3990,MATCH(A615,Data!$A$2:$A$3990,0))</f>
        <v>Switzerland</v>
      </c>
      <c r="C615" s="19" t="n">
        <f aca="false">SUMIFS(Data!$I$2:$I$3990,Data!$A$2:$A$3990,A615,Data!$J$2:$J$3990,1)</f>
        <v>89.97</v>
      </c>
      <c r="D615" s="6" t="str">
        <f aca="false">IF(C615&gt;10000,"HIGH VALUE","")</f>
        <v/>
      </c>
    </row>
    <row r="616" customFormat="false" ht="15" hidden="false" customHeight="false" outlineLevel="0" collapsed="false">
      <c r="A616" s="6" t="s">
        <v>710</v>
      </c>
      <c r="B616" s="6" t="str">
        <f aca="false">INDEX(Data!$H$2:$H$3990,MATCH(A616,Data!$A$2:$A$3990,0))</f>
        <v>Switzerland</v>
      </c>
      <c r="C616" s="19" t="n">
        <f aca="false">SUMIFS(Data!$I$2:$I$3990,Data!$A$2:$A$3990,A616,Data!$J$2:$J$3990,1)</f>
        <v>51.42</v>
      </c>
      <c r="D616" s="6" t="str">
        <f aca="false">IF(C616&gt;10000,"HIGH VALUE","")</f>
        <v/>
      </c>
    </row>
    <row r="617" customFormat="false" ht="15" hidden="false" customHeight="false" outlineLevel="0" collapsed="false">
      <c r="A617" s="6" t="s">
        <v>705</v>
      </c>
      <c r="B617" s="6" t="str">
        <f aca="false">INDEX(Data!$H$2:$H$3990,MATCH(A617,Data!$A$2:$A$3990,0))</f>
        <v>United Kingdom</v>
      </c>
      <c r="C617" s="19" t="n">
        <f aca="false">SUMIFS(Data!$I$2:$I$3990,Data!$A$2:$A$3990,A617,Data!$J$2:$J$3990,1)</f>
        <v>7.14</v>
      </c>
      <c r="D617" s="6" t="str">
        <f aca="false">IF(C617&gt;10000,"HIGH VALUE","")</f>
        <v/>
      </c>
    </row>
    <row r="618" customFormat="false" ht="15" hidden="false" customHeight="false" outlineLevel="0" collapsed="false">
      <c r="A618" s="6" t="s">
        <v>706</v>
      </c>
      <c r="B618" s="6" t="str">
        <f aca="false">INDEX(Data!$H$2:$H$3990,MATCH(A618,Data!$A$2:$A$3990,0))</f>
        <v>United Kingdom</v>
      </c>
      <c r="C618" s="19" t="n">
        <f aca="false">SUMIFS(Data!$I$2:$I$3990,Data!$A$2:$A$3990,A618,Data!$J$2:$J$3990,1)</f>
        <v>120.18</v>
      </c>
      <c r="D618" s="6" t="str">
        <f aca="false">IF(C618&gt;10000,"HIGH VALUE","")</f>
        <v/>
      </c>
    </row>
    <row r="619" customFormat="false" ht="15" hidden="false" customHeight="false" outlineLevel="0" collapsed="false">
      <c r="A619" s="6" t="s">
        <v>707</v>
      </c>
      <c r="B619" s="6" t="str">
        <f aca="false">INDEX(Data!$H$2:$H$3990,MATCH(A619,Data!$A$2:$A$3990,0))</f>
        <v>United Kingdom</v>
      </c>
      <c r="C619" s="19" t="n">
        <f aca="false">SUMIFS(Data!$I$2:$I$3990,Data!$A$2:$A$3990,A619,Data!$J$2:$J$3990,1)</f>
        <v>230.36</v>
      </c>
      <c r="D619" s="6" t="str">
        <f aca="false">IF(C619&gt;10000,"HIGH VALUE","")</f>
        <v/>
      </c>
    </row>
    <row r="620" customFormat="false" ht="15" hidden="false" customHeight="false" outlineLevel="0" collapsed="false">
      <c r="A620" s="6" t="s">
        <v>708</v>
      </c>
      <c r="B620" s="6" t="str">
        <f aca="false">INDEX(Data!$H$2:$H$3990,MATCH(A620,Data!$A$2:$A$3990,0))</f>
        <v>United Kingdom</v>
      </c>
      <c r="C620" s="19" t="n">
        <f aca="false">SUMIFS(Data!$I$2:$I$3990,Data!$A$2:$A$3990,A620,Data!$J$2:$J$3990,1)</f>
        <v>212.94</v>
      </c>
      <c r="D620" s="6" t="str">
        <f aca="false">IF(C620&gt;10000,"HIGH VALUE","")</f>
        <v/>
      </c>
    </row>
    <row r="621" customFormat="false" ht="15" hidden="false" customHeight="false" outlineLevel="0" collapsed="false">
      <c r="A621" s="6" t="s">
        <v>712</v>
      </c>
      <c r="B621" s="6" t="str">
        <f aca="false">INDEX(Data!$H$2:$H$3990,MATCH(A621,Data!$A$2:$A$3990,0))</f>
        <v>United Kingdom</v>
      </c>
      <c r="C621" s="19" t="n">
        <f aca="false">SUMIFS(Data!$I$2:$I$3990,Data!$A$2:$A$3990,A621,Data!$J$2:$J$3990,1)</f>
        <v>61.7</v>
      </c>
      <c r="D621" s="6" t="str">
        <f aca="false">IF(C621&gt;10000,"HIGH VALUE","")</f>
        <v/>
      </c>
    </row>
    <row r="622" customFormat="false" ht="15" hidden="false" customHeight="false" outlineLevel="0" collapsed="false">
      <c r="A622" s="6" t="s">
        <v>711</v>
      </c>
      <c r="B622" s="6" t="str">
        <f aca="false">INDEX(Data!$H$2:$H$3990,MATCH(A622,Data!$A$2:$A$3990,0))</f>
        <v>EIRE</v>
      </c>
      <c r="C622" s="19" t="n">
        <f aca="false">SUMIFS(Data!$I$2:$I$3990,Data!$A$2:$A$3990,A622,Data!$J$2:$J$3990,1)</f>
        <v>621.54</v>
      </c>
      <c r="D622" s="6" t="str">
        <f aca="false">IF(C622&gt;10000,"HIGH VALUE","")</f>
        <v/>
      </c>
    </row>
    <row r="623" customFormat="false" ht="15" hidden="false" customHeight="false" outlineLevel="0" collapsed="false">
      <c r="A623" s="6" t="s">
        <v>715</v>
      </c>
      <c r="B623" s="6" t="str">
        <f aca="false">INDEX(Data!$H$2:$H$3990,MATCH(A623,Data!$A$2:$A$3990,0))</f>
        <v>United Kingdom</v>
      </c>
      <c r="C623" s="19" t="n">
        <f aca="false">SUMIFS(Data!$I$2:$I$3990,Data!$A$2:$A$3990,A623,Data!$J$2:$J$3990,1)</f>
        <v>1416.48</v>
      </c>
      <c r="D623" s="6" t="str">
        <f aca="false">IF(C623&gt;10000,"HIGH VALUE","")</f>
        <v/>
      </c>
    </row>
    <row r="624" customFormat="false" ht="15" hidden="false" customHeight="false" outlineLevel="0" collapsed="false">
      <c r="A624" s="6" t="s">
        <v>714</v>
      </c>
      <c r="B624" s="6" t="str">
        <f aca="false">INDEX(Data!$H$2:$H$3990,MATCH(A624,Data!$A$2:$A$3990,0))</f>
        <v>United Kingdom</v>
      </c>
      <c r="C624" s="19" t="n">
        <f aca="false">SUMIFS(Data!$I$2:$I$3990,Data!$A$2:$A$3990,A624,Data!$J$2:$J$3990,1)</f>
        <v>33.28</v>
      </c>
      <c r="D624" s="6" t="str">
        <f aca="false">IF(C624&gt;10000,"HIGH VALUE","")</f>
        <v/>
      </c>
    </row>
    <row r="625" customFormat="false" ht="15" hidden="false" customHeight="false" outlineLevel="0" collapsed="false">
      <c r="A625" s="6" t="s">
        <v>713</v>
      </c>
      <c r="B625" s="6" t="str">
        <f aca="false">INDEX(Data!$H$2:$H$3990,MATCH(A625,Data!$A$2:$A$3990,0))</f>
        <v>United Kingdom</v>
      </c>
      <c r="C625" s="19" t="n">
        <f aca="false">SUMIFS(Data!$I$2:$I$3990,Data!$A$2:$A$3990,A625,Data!$J$2:$J$3990,1)</f>
        <v>24.58</v>
      </c>
      <c r="D625" s="6" t="str">
        <f aca="false">IF(C625&gt;10000,"HIGH VALUE","")</f>
        <v/>
      </c>
    </row>
    <row r="626" customFormat="false" ht="15" hidden="false" customHeight="false" outlineLevel="0" collapsed="false">
      <c r="A626" s="6" t="s">
        <v>716</v>
      </c>
      <c r="B626" s="6" t="str">
        <f aca="false">INDEX(Data!$H$2:$H$3990,MATCH(A626,Data!$A$2:$A$3990,0))</f>
        <v>France</v>
      </c>
      <c r="C626" s="19" t="n">
        <f aca="false">SUMIFS(Data!$I$2:$I$3990,Data!$A$2:$A$3990,A626,Data!$J$2:$J$3990,1)</f>
        <v>118.86</v>
      </c>
      <c r="D626" s="6" t="str">
        <f aca="false">IF(C626&gt;10000,"HIGH VALUE","")</f>
        <v/>
      </c>
    </row>
    <row r="627" customFormat="false" ht="15" hidden="false" customHeight="false" outlineLevel="0" collapsed="false">
      <c r="A627" s="6" t="s">
        <v>717</v>
      </c>
      <c r="B627" s="6" t="str">
        <f aca="false">INDEX(Data!$H$2:$H$3990,MATCH(A627,Data!$A$2:$A$3990,0))</f>
        <v>Germany</v>
      </c>
      <c r="C627" s="19" t="n">
        <f aca="false">SUMIFS(Data!$I$2:$I$3990,Data!$A$2:$A$3990,A627,Data!$J$2:$J$3990,1)</f>
        <v>195.84</v>
      </c>
      <c r="D627" s="6" t="str">
        <f aca="false">IF(C627&gt;10000,"HIGH VALUE","")</f>
        <v/>
      </c>
    </row>
    <row r="628" customFormat="false" ht="15" hidden="false" customHeight="false" outlineLevel="0" collapsed="false">
      <c r="A628" s="6" t="s">
        <v>720</v>
      </c>
      <c r="B628" s="6" t="str">
        <f aca="false">INDEX(Data!$H$2:$H$3990,MATCH(A628,Data!$A$2:$A$3990,0))</f>
        <v>United Kingdom</v>
      </c>
      <c r="C628" s="19" t="n">
        <f aca="false">SUMIFS(Data!$I$2:$I$3990,Data!$A$2:$A$3990,A628,Data!$J$2:$J$3990,1)</f>
        <v>3917.4</v>
      </c>
      <c r="D628" s="6" t="str">
        <f aca="false">IF(C628&gt;10000,"HIGH VALUE","")</f>
        <v/>
      </c>
    </row>
    <row r="629" customFormat="false" ht="15" hidden="false" customHeight="false" outlineLevel="0" collapsed="false">
      <c r="A629" s="6" t="s">
        <v>719</v>
      </c>
      <c r="B629" s="6" t="str">
        <f aca="false">INDEX(Data!$H$2:$H$3990,MATCH(A629,Data!$A$2:$A$3990,0))</f>
        <v>United Kingdom</v>
      </c>
      <c r="C629" s="19" t="n">
        <f aca="false">SUMIFS(Data!$I$2:$I$3990,Data!$A$2:$A$3990,A629,Data!$J$2:$J$3990,1)</f>
        <v>127.7</v>
      </c>
      <c r="D629" s="6" t="str">
        <f aca="false">IF(C629&gt;10000,"HIGH VALUE","")</f>
        <v/>
      </c>
    </row>
    <row r="630" customFormat="false" ht="15" hidden="false" customHeight="false" outlineLevel="0" collapsed="false">
      <c r="A630" s="6" t="s">
        <v>718</v>
      </c>
      <c r="B630" s="6" t="str">
        <f aca="false">INDEX(Data!$H$2:$H$3990,MATCH(A630,Data!$A$2:$A$3990,0))</f>
        <v>United Kingdom</v>
      </c>
      <c r="C630" s="19" t="n">
        <f aca="false">SUMIFS(Data!$I$2:$I$3990,Data!$A$2:$A$3990,A630,Data!$J$2:$J$3990,1)</f>
        <v>53.46</v>
      </c>
      <c r="D630" s="6" t="str">
        <f aca="false">IF(C630&gt;10000,"HIGH VALUE","")</f>
        <v/>
      </c>
    </row>
    <row r="631" customFormat="false" ht="15" hidden="false" customHeight="false" outlineLevel="0" collapsed="false">
      <c r="A631" s="6" t="s">
        <v>721</v>
      </c>
      <c r="B631" s="6" t="str">
        <f aca="false">INDEX(Data!$H$2:$H$3990,MATCH(A631,Data!$A$2:$A$3990,0))</f>
        <v>Netherlands</v>
      </c>
      <c r="C631" s="19" t="n">
        <f aca="false">SUMIFS(Data!$I$2:$I$3990,Data!$A$2:$A$3990,A631,Data!$J$2:$J$3990,1)</f>
        <v>945.21</v>
      </c>
      <c r="D631" s="6" t="str">
        <f aca="false">IF(C631&gt;10000,"HIGH VALUE","")</f>
        <v/>
      </c>
    </row>
    <row r="632" customFormat="false" ht="15" hidden="false" customHeight="false" outlineLevel="0" collapsed="false">
      <c r="A632" s="6" t="s">
        <v>722</v>
      </c>
      <c r="B632" s="6" t="str">
        <f aca="false">INDEX(Data!$H$2:$H$3990,MATCH(A632,Data!$A$2:$A$3990,0))</f>
        <v>United Kingdom</v>
      </c>
      <c r="C632" s="19" t="n">
        <f aca="false">SUMIFS(Data!$I$2:$I$3990,Data!$A$2:$A$3990,A632,Data!$J$2:$J$3990,1)</f>
        <v>125.23</v>
      </c>
      <c r="D632" s="6" t="str">
        <f aca="false">IF(C632&gt;10000,"HIGH VALUE","")</f>
        <v/>
      </c>
    </row>
    <row r="633" customFormat="false" ht="15" hidden="false" customHeight="false" outlineLevel="0" collapsed="false">
      <c r="A633" s="6" t="s">
        <v>723</v>
      </c>
      <c r="B633" s="6" t="str">
        <f aca="false">INDEX(Data!$H$2:$H$3990,MATCH(A633,Data!$A$2:$A$3990,0))</f>
        <v>United Kingdom</v>
      </c>
      <c r="C633" s="19" t="n">
        <f aca="false">SUMIFS(Data!$I$2:$I$3990,Data!$A$2:$A$3990,A633,Data!$J$2:$J$3990,1)</f>
        <v>59.89</v>
      </c>
      <c r="D633" s="6" t="str">
        <f aca="false">IF(C633&gt;10000,"HIGH VALUE","")</f>
        <v/>
      </c>
    </row>
    <row r="634" customFormat="false" ht="15" hidden="false" customHeight="false" outlineLevel="0" collapsed="false">
      <c r="A634" s="6" t="s">
        <v>724</v>
      </c>
      <c r="B634" s="6" t="str">
        <f aca="false">INDEX(Data!$H$2:$H$3990,MATCH(A634,Data!$A$2:$A$3990,0))</f>
        <v>United Kingdom</v>
      </c>
      <c r="C634" s="19" t="n">
        <f aca="false">SUMIFS(Data!$I$2:$I$3990,Data!$A$2:$A$3990,A634,Data!$J$2:$J$3990,1)</f>
        <v>26.73</v>
      </c>
      <c r="D634" s="6" t="str">
        <f aca="false">IF(C634&gt;10000,"HIGH VALUE","")</f>
        <v/>
      </c>
    </row>
    <row r="635" customFormat="false" ht="15" hidden="false" customHeight="false" outlineLevel="0" collapsed="false">
      <c r="A635" s="6" t="s">
        <v>727</v>
      </c>
      <c r="B635" s="6" t="str">
        <f aca="false">INDEX(Data!$H$2:$H$3990,MATCH(A635,Data!$A$2:$A$3990,0))</f>
        <v>United Kingdom</v>
      </c>
      <c r="C635" s="19" t="n">
        <f aca="false">SUMIFS(Data!$I$2:$I$3990,Data!$A$2:$A$3990,A635,Data!$J$2:$J$3990,1)</f>
        <v>37.26</v>
      </c>
      <c r="D635" s="6" t="str">
        <f aca="false">IF(C635&gt;10000,"HIGH VALUE","")</f>
        <v/>
      </c>
    </row>
    <row r="636" customFormat="false" ht="15" hidden="false" customHeight="false" outlineLevel="0" collapsed="false">
      <c r="A636" s="6" t="s">
        <v>725</v>
      </c>
      <c r="B636" s="6" t="str">
        <f aca="false">INDEX(Data!$H$2:$H$3990,MATCH(A636,Data!$A$2:$A$3990,0))</f>
        <v>United Kingdom</v>
      </c>
      <c r="C636" s="19" t="n">
        <f aca="false">SUMIFS(Data!$I$2:$I$3990,Data!$A$2:$A$3990,A636,Data!$J$2:$J$3990,1)</f>
        <v>52.77</v>
      </c>
      <c r="D636" s="6" t="str">
        <f aca="false">IF(C636&gt;10000,"HIGH VALUE","")</f>
        <v/>
      </c>
    </row>
    <row r="637" customFormat="false" ht="15" hidden="false" customHeight="false" outlineLevel="0" collapsed="false">
      <c r="A637" s="6" t="s">
        <v>728</v>
      </c>
      <c r="B637" s="6" t="str">
        <f aca="false">INDEX(Data!$H$2:$H$3990,MATCH(A637,Data!$A$2:$A$3990,0))</f>
        <v>United Kingdom</v>
      </c>
      <c r="C637" s="19" t="n">
        <f aca="false">SUMIFS(Data!$I$2:$I$3990,Data!$A$2:$A$3990,A637,Data!$J$2:$J$3990,1)</f>
        <v>12.48</v>
      </c>
      <c r="D637" s="6" t="str">
        <f aca="false">IF(C637&gt;10000,"HIGH VALUE","")</f>
        <v/>
      </c>
    </row>
    <row r="638" customFormat="false" ht="15" hidden="false" customHeight="false" outlineLevel="0" collapsed="false">
      <c r="A638" s="6" t="s">
        <v>726</v>
      </c>
      <c r="B638" s="6" t="str">
        <f aca="false">INDEX(Data!$H$2:$H$3990,MATCH(A638,Data!$A$2:$A$3990,0))</f>
        <v>EIRE</v>
      </c>
      <c r="C638" s="19" t="n">
        <f aca="false">SUMIFS(Data!$I$2:$I$3990,Data!$A$2:$A$3990,A638,Data!$J$2:$J$3990,1)</f>
        <v>22.72</v>
      </c>
      <c r="D638" s="6" t="str">
        <f aca="false">IF(C638&gt;10000,"HIGH VALUE","")</f>
        <v/>
      </c>
    </row>
    <row r="639" customFormat="false" ht="15" hidden="false" customHeight="false" outlineLevel="0" collapsed="false">
      <c r="A639" s="6" t="s">
        <v>729</v>
      </c>
      <c r="B639" s="6" t="str">
        <f aca="false">INDEX(Data!$H$2:$H$3990,MATCH(A639,Data!$A$2:$A$3990,0))</f>
        <v>Germany</v>
      </c>
      <c r="C639" s="19" t="n">
        <f aca="false">SUMIFS(Data!$I$2:$I$3990,Data!$A$2:$A$3990,A639,Data!$J$2:$J$3990,1)</f>
        <v>18.18</v>
      </c>
      <c r="D639" s="6" t="str">
        <f aca="false">IF(C639&gt;10000,"HIGH VALUE","")</f>
        <v/>
      </c>
    </row>
    <row r="640" customFormat="false" ht="15" hidden="false" customHeight="false" outlineLevel="0" collapsed="false">
      <c r="A640" s="6" t="s">
        <v>730</v>
      </c>
      <c r="B640" s="6" t="str">
        <f aca="false">INDEX(Data!$H$2:$H$3990,MATCH(A640,Data!$A$2:$A$3990,0))</f>
        <v>United Kingdom</v>
      </c>
      <c r="C640" s="19" t="n">
        <f aca="false">SUMIFS(Data!$I$2:$I$3990,Data!$A$2:$A$3990,A640,Data!$J$2:$J$3990,1)</f>
        <v>43.58</v>
      </c>
      <c r="D640" s="6" t="str">
        <f aca="false">IF(C640&gt;10000,"HIGH VALUE","")</f>
        <v/>
      </c>
    </row>
    <row r="641" customFormat="false" ht="15" hidden="false" customHeight="false" outlineLevel="0" collapsed="false">
      <c r="A641" s="6" t="s">
        <v>731</v>
      </c>
      <c r="B641" s="6" t="str">
        <f aca="false">INDEX(Data!$H$2:$H$3990,MATCH(A641,Data!$A$2:$A$3990,0))</f>
        <v>United Kingdom</v>
      </c>
      <c r="C641" s="19" t="n">
        <f aca="false">SUMIFS(Data!$I$2:$I$3990,Data!$A$2:$A$3990,A641,Data!$J$2:$J$3990,1)</f>
        <v>75.48</v>
      </c>
      <c r="D641" s="6" t="str">
        <f aca="false">IF(C641&gt;10000,"HIGH VALUE","")</f>
        <v/>
      </c>
    </row>
    <row r="642" customFormat="false" ht="15" hidden="false" customHeight="false" outlineLevel="0" collapsed="false">
      <c r="A642" s="6" t="s">
        <v>735</v>
      </c>
      <c r="B642" s="6" t="str">
        <f aca="false">INDEX(Data!$H$2:$H$3990,MATCH(A642,Data!$A$2:$A$3990,0))</f>
        <v>United Kingdom</v>
      </c>
      <c r="C642" s="19" t="n">
        <f aca="false">SUMIFS(Data!$I$2:$I$3990,Data!$A$2:$A$3990,A642,Data!$J$2:$J$3990,1)</f>
        <v>214.35</v>
      </c>
      <c r="D642" s="6" t="str">
        <f aca="false">IF(C642&gt;10000,"HIGH VALUE","")</f>
        <v/>
      </c>
    </row>
    <row r="643" customFormat="false" ht="15" hidden="false" customHeight="false" outlineLevel="0" collapsed="false">
      <c r="A643" s="6" t="s">
        <v>734</v>
      </c>
      <c r="B643" s="6" t="str">
        <f aca="false">INDEX(Data!$H$2:$H$3990,MATCH(A643,Data!$A$2:$A$3990,0))</f>
        <v>United Kingdom</v>
      </c>
      <c r="C643" s="19" t="n">
        <f aca="false">SUMIFS(Data!$I$2:$I$3990,Data!$A$2:$A$3990,A643,Data!$J$2:$J$3990,1)</f>
        <v>74.28</v>
      </c>
      <c r="D643" s="6" t="str">
        <f aca="false">IF(C643&gt;10000,"HIGH VALUE","")</f>
        <v/>
      </c>
    </row>
    <row r="644" customFormat="false" ht="15" hidden="false" customHeight="false" outlineLevel="0" collapsed="false">
      <c r="A644" s="6" t="s">
        <v>732</v>
      </c>
      <c r="B644" s="6" t="str">
        <f aca="false">INDEX(Data!$H$2:$H$3990,MATCH(A644,Data!$A$2:$A$3990,0))</f>
        <v>Netherlands</v>
      </c>
      <c r="C644" s="19" t="n">
        <f aca="false">SUMIFS(Data!$I$2:$I$3990,Data!$A$2:$A$3990,A644,Data!$J$2:$J$3990,1)</f>
        <v>50.37</v>
      </c>
      <c r="D644" s="6" t="str">
        <f aca="false">IF(C644&gt;10000,"HIGH VALUE","")</f>
        <v/>
      </c>
    </row>
    <row r="645" customFormat="false" ht="15" hidden="false" customHeight="false" outlineLevel="0" collapsed="false">
      <c r="A645" s="6" t="s">
        <v>733</v>
      </c>
      <c r="B645" s="6" t="str">
        <f aca="false">INDEX(Data!$H$2:$H$3990,MATCH(A645,Data!$A$2:$A$3990,0))</f>
        <v>United Kingdom</v>
      </c>
      <c r="C645" s="19" t="n">
        <f aca="false">SUMIFS(Data!$I$2:$I$3990,Data!$A$2:$A$3990,A645,Data!$J$2:$J$3990,1)</f>
        <v>4.54</v>
      </c>
      <c r="D645" s="6" t="str">
        <f aca="false">IF(C645&gt;10000,"HIGH VALUE","")</f>
        <v/>
      </c>
    </row>
    <row r="646" customFormat="false" ht="15" hidden="false" customHeight="false" outlineLevel="0" collapsed="false">
      <c r="A646" s="6" t="s">
        <v>736</v>
      </c>
      <c r="B646" s="6" t="str">
        <f aca="false">INDEX(Data!$H$2:$H$3990,MATCH(A646,Data!$A$2:$A$3990,0))</f>
        <v>United Kingdom</v>
      </c>
      <c r="C646" s="19" t="n">
        <f aca="false">SUMIFS(Data!$I$2:$I$3990,Data!$A$2:$A$3990,A646,Data!$J$2:$J$3990,1)</f>
        <v>77.46</v>
      </c>
      <c r="D646" s="6" t="str">
        <f aca="false">IF(C646&gt;10000,"HIGH VALUE","")</f>
        <v/>
      </c>
    </row>
    <row r="647" customFormat="false" ht="15" hidden="false" customHeight="false" outlineLevel="0" collapsed="false">
      <c r="A647" s="6" t="s">
        <v>741</v>
      </c>
      <c r="B647" s="6" t="str">
        <f aca="false">INDEX(Data!$H$2:$H$3990,MATCH(A647,Data!$A$2:$A$3990,0))</f>
        <v>United Kingdom</v>
      </c>
      <c r="C647" s="19" t="n">
        <f aca="false">SUMIFS(Data!$I$2:$I$3990,Data!$A$2:$A$3990,A647,Data!$J$2:$J$3990,1)</f>
        <v>118.46</v>
      </c>
      <c r="D647" s="6" t="str">
        <f aca="false">IF(C647&gt;10000,"HIGH VALUE","")</f>
        <v/>
      </c>
    </row>
    <row r="648" customFormat="false" ht="15" hidden="false" customHeight="false" outlineLevel="0" collapsed="false">
      <c r="A648" s="6" t="s">
        <v>739</v>
      </c>
      <c r="B648" s="6" t="str">
        <f aca="false">INDEX(Data!$H$2:$H$3990,MATCH(A648,Data!$A$2:$A$3990,0))</f>
        <v>France</v>
      </c>
      <c r="C648" s="19" t="n">
        <f aca="false">SUMIFS(Data!$I$2:$I$3990,Data!$A$2:$A$3990,A648,Data!$J$2:$J$3990,1)</f>
        <v>294.04</v>
      </c>
      <c r="D648" s="6" t="str">
        <f aca="false">IF(C648&gt;10000,"HIGH VALUE","")</f>
        <v/>
      </c>
    </row>
    <row r="649" customFormat="false" ht="15" hidden="false" customHeight="false" outlineLevel="0" collapsed="false">
      <c r="A649" s="6" t="s">
        <v>737</v>
      </c>
      <c r="B649" s="6" t="str">
        <f aca="false">INDEX(Data!$H$2:$H$3990,MATCH(A649,Data!$A$2:$A$3990,0))</f>
        <v>United Kingdom</v>
      </c>
      <c r="C649" s="19" t="n">
        <f aca="false">SUMIFS(Data!$I$2:$I$3990,Data!$A$2:$A$3990,A649,Data!$J$2:$J$3990,1)</f>
        <v>931.2</v>
      </c>
      <c r="D649" s="6" t="str">
        <f aca="false">IF(C649&gt;10000,"HIGH VALUE","")</f>
        <v/>
      </c>
    </row>
    <row r="650" customFormat="false" ht="15" hidden="false" customHeight="false" outlineLevel="0" collapsed="false">
      <c r="A650" s="6" t="s">
        <v>740</v>
      </c>
      <c r="B650" s="6" t="str">
        <f aca="false">INDEX(Data!$H$2:$H$3990,MATCH(A650,Data!$A$2:$A$3990,0))</f>
        <v>United Kingdom</v>
      </c>
      <c r="C650" s="19" t="n">
        <f aca="false">SUMIFS(Data!$I$2:$I$3990,Data!$A$2:$A$3990,A650,Data!$J$2:$J$3990,1)</f>
        <v>171.18</v>
      </c>
      <c r="D650" s="6" t="str">
        <f aca="false">IF(C650&gt;10000,"HIGH VALUE","")</f>
        <v/>
      </c>
    </row>
    <row r="651" customFormat="false" ht="15" hidden="false" customHeight="false" outlineLevel="0" collapsed="false">
      <c r="A651" s="6" t="s">
        <v>738</v>
      </c>
      <c r="B651" s="6" t="str">
        <f aca="false">INDEX(Data!$H$2:$H$3990,MATCH(A651,Data!$A$2:$A$3990,0))</f>
        <v>United Kingdom</v>
      </c>
      <c r="C651" s="19" t="n">
        <f aca="false">SUMIFS(Data!$I$2:$I$3990,Data!$A$2:$A$3990,A651,Data!$J$2:$J$3990,1)</f>
        <v>137.93</v>
      </c>
      <c r="D651" s="6" t="str">
        <f aca="false">IF(C651&gt;10000,"HIGH VALUE","")</f>
        <v/>
      </c>
    </row>
    <row r="652" customFormat="false" ht="15" hidden="false" customHeight="false" outlineLevel="0" collapsed="false">
      <c r="A652" s="6" t="s">
        <v>745</v>
      </c>
      <c r="B652" s="6" t="str">
        <f aca="false">INDEX(Data!$H$2:$H$3990,MATCH(A652,Data!$A$2:$A$3990,0))</f>
        <v>United Kingdom</v>
      </c>
      <c r="C652" s="19" t="n">
        <f aca="false">SUMIFS(Data!$I$2:$I$3990,Data!$A$2:$A$3990,A652,Data!$J$2:$J$3990,1)</f>
        <v>80.93</v>
      </c>
      <c r="D652" s="6" t="str">
        <f aca="false">IF(C652&gt;10000,"HIGH VALUE","")</f>
        <v/>
      </c>
    </row>
    <row r="653" customFormat="false" ht="15" hidden="false" customHeight="false" outlineLevel="0" collapsed="false">
      <c r="A653" s="6" t="s">
        <v>743</v>
      </c>
      <c r="B653" s="6" t="str">
        <f aca="false">INDEX(Data!$H$2:$H$3990,MATCH(A653,Data!$A$2:$A$3990,0))</f>
        <v>EIRE</v>
      </c>
      <c r="C653" s="19" t="n">
        <f aca="false">SUMIFS(Data!$I$2:$I$3990,Data!$A$2:$A$3990,A653,Data!$J$2:$J$3990,1)</f>
        <v>83.36</v>
      </c>
      <c r="D653" s="6" t="str">
        <f aca="false">IF(C653&gt;10000,"HIGH VALUE","")</f>
        <v/>
      </c>
    </row>
    <row r="654" customFormat="false" ht="15" hidden="false" customHeight="false" outlineLevel="0" collapsed="false">
      <c r="A654" s="6" t="s">
        <v>746</v>
      </c>
      <c r="B654" s="6" t="str">
        <f aca="false">INDEX(Data!$H$2:$H$3990,MATCH(A654,Data!$A$2:$A$3990,0))</f>
        <v>United Kingdom</v>
      </c>
      <c r="C654" s="19" t="n">
        <f aca="false">SUMIFS(Data!$I$2:$I$3990,Data!$A$2:$A$3990,A654,Data!$J$2:$J$3990,1)</f>
        <v>178.92</v>
      </c>
      <c r="D654" s="6" t="str">
        <f aca="false">IF(C654&gt;10000,"HIGH VALUE","")</f>
        <v/>
      </c>
    </row>
    <row r="655" customFormat="false" ht="15" hidden="false" customHeight="false" outlineLevel="0" collapsed="false">
      <c r="A655" s="6" t="s">
        <v>744</v>
      </c>
      <c r="B655" s="6" t="str">
        <f aca="false">INDEX(Data!$H$2:$H$3990,MATCH(A655,Data!$A$2:$A$3990,0))</f>
        <v>United Kingdom</v>
      </c>
      <c r="C655" s="19" t="n">
        <f aca="false">SUMIFS(Data!$I$2:$I$3990,Data!$A$2:$A$3990,A655,Data!$J$2:$J$3990,1)</f>
        <v>163.45</v>
      </c>
      <c r="D655" s="6" t="str">
        <f aca="false">IF(C655&gt;10000,"HIGH VALUE","")</f>
        <v/>
      </c>
    </row>
    <row r="656" customFormat="false" ht="15" hidden="false" customHeight="false" outlineLevel="0" collapsed="false">
      <c r="A656" s="6" t="s">
        <v>742</v>
      </c>
      <c r="B656" s="6" t="str">
        <f aca="false">INDEX(Data!$H$2:$H$3990,MATCH(A656,Data!$A$2:$A$3990,0))</f>
        <v>France</v>
      </c>
      <c r="C656" s="19" t="n">
        <f aca="false">SUMIFS(Data!$I$2:$I$3990,Data!$A$2:$A$3990,A656,Data!$J$2:$J$3990,1)</f>
        <v>129.62</v>
      </c>
      <c r="D656" s="6" t="str">
        <f aca="false">IF(C656&gt;10000,"HIGH VALUE","")</f>
        <v/>
      </c>
    </row>
    <row r="657" customFormat="false" ht="15" hidden="false" customHeight="false" outlineLevel="0" collapsed="false">
      <c r="A657" s="6" t="s">
        <v>747</v>
      </c>
      <c r="B657" s="6" t="str">
        <f aca="false">INDEX(Data!$H$2:$H$3990,MATCH(A657,Data!$A$2:$A$3990,0))</f>
        <v>United Kingdom</v>
      </c>
      <c r="C657" s="19" t="n">
        <f aca="false">SUMIFS(Data!$I$2:$I$3990,Data!$A$2:$A$3990,A657,Data!$J$2:$J$3990,1)</f>
        <v>79.73</v>
      </c>
      <c r="D657" s="6" t="str">
        <f aca="false">IF(C657&gt;10000,"HIGH VALUE","")</f>
        <v/>
      </c>
    </row>
    <row r="658" customFormat="false" ht="15" hidden="false" customHeight="false" outlineLevel="0" collapsed="false">
      <c r="A658" s="6" t="s">
        <v>748</v>
      </c>
      <c r="B658" s="6" t="str">
        <f aca="false">INDEX(Data!$H$2:$H$3990,MATCH(A658,Data!$A$2:$A$3990,0))</f>
        <v>United Kingdom</v>
      </c>
      <c r="C658" s="19" t="n">
        <f aca="false">SUMIFS(Data!$I$2:$I$3990,Data!$A$2:$A$3990,A658,Data!$J$2:$J$3990,1)</f>
        <v>103.98</v>
      </c>
      <c r="D658" s="6" t="str">
        <f aca="false">IF(C658&gt;10000,"HIGH VALUE","")</f>
        <v/>
      </c>
    </row>
    <row r="659" customFormat="false" ht="15" hidden="false" customHeight="false" outlineLevel="0" collapsed="false">
      <c r="A659" s="6" t="s">
        <v>749</v>
      </c>
      <c r="B659" s="6" t="str">
        <f aca="false">INDEX(Data!$H$2:$H$3990,MATCH(A659,Data!$A$2:$A$3990,0))</f>
        <v>United Kingdom</v>
      </c>
      <c r="C659" s="19" t="n">
        <f aca="false">SUMIFS(Data!$I$2:$I$3990,Data!$A$2:$A$3990,A659,Data!$J$2:$J$3990,1)</f>
        <v>8.07</v>
      </c>
      <c r="D659" s="6" t="str">
        <f aca="false">IF(C659&gt;10000,"HIGH VALUE","")</f>
        <v/>
      </c>
    </row>
    <row r="660" customFormat="false" ht="15" hidden="false" customHeight="false" outlineLevel="0" collapsed="false">
      <c r="A660" s="6" t="s">
        <v>750</v>
      </c>
      <c r="B660" s="6" t="str">
        <f aca="false">INDEX(Data!$H$2:$H$3990,MATCH(A660,Data!$A$2:$A$3990,0))</f>
        <v>United Kingdom</v>
      </c>
      <c r="C660" s="19" t="n">
        <f aca="false">SUMIFS(Data!$I$2:$I$3990,Data!$A$2:$A$3990,A660,Data!$J$2:$J$3990,1)</f>
        <v>50.73</v>
      </c>
      <c r="D660" s="6" t="str">
        <f aca="false">IF(C660&gt;10000,"HIGH VALUE","")</f>
        <v/>
      </c>
    </row>
    <row r="661" customFormat="false" ht="15" hidden="false" customHeight="false" outlineLevel="0" collapsed="false">
      <c r="A661" s="6" t="s">
        <v>751</v>
      </c>
      <c r="B661" s="6" t="str">
        <f aca="false">INDEX(Data!$H$2:$H$3990,MATCH(A661,Data!$A$2:$A$3990,0))</f>
        <v>United Kingdom</v>
      </c>
      <c r="C661" s="19" t="n">
        <f aca="false">SUMIFS(Data!$I$2:$I$3990,Data!$A$2:$A$3990,A661,Data!$J$2:$J$3990,1)</f>
        <v>94.8</v>
      </c>
      <c r="D661" s="6" t="str">
        <f aca="false">IF(C661&gt;10000,"HIGH VALUE","")</f>
        <v/>
      </c>
    </row>
    <row r="662" customFormat="false" ht="15" hidden="false" customHeight="false" outlineLevel="0" collapsed="false">
      <c r="A662" s="6" t="s">
        <v>758</v>
      </c>
      <c r="B662" s="6" t="str">
        <f aca="false">INDEX(Data!$H$2:$H$3990,MATCH(A662,Data!$A$2:$A$3990,0))</f>
        <v>United Kingdom</v>
      </c>
      <c r="C662" s="19" t="n">
        <f aca="false">SUMIFS(Data!$I$2:$I$3990,Data!$A$2:$A$3990,A662,Data!$J$2:$J$3990,1)</f>
        <v>197.2</v>
      </c>
      <c r="D662" s="6" t="str">
        <f aca="false">IF(C662&gt;10000,"HIGH VALUE","")</f>
        <v/>
      </c>
    </row>
    <row r="663" customFormat="false" ht="15" hidden="false" customHeight="false" outlineLevel="0" collapsed="false">
      <c r="A663" s="6" t="s">
        <v>752</v>
      </c>
      <c r="B663" s="6" t="str">
        <f aca="false">INDEX(Data!$H$2:$H$3990,MATCH(A663,Data!$A$2:$A$3990,0))</f>
        <v>United Kingdom</v>
      </c>
      <c r="C663" s="19" t="n">
        <f aca="false">SUMIFS(Data!$I$2:$I$3990,Data!$A$2:$A$3990,A663,Data!$J$2:$J$3990,1)</f>
        <v>159.38</v>
      </c>
      <c r="D663" s="6" t="str">
        <f aca="false">IF(C663&gt;10000,"HIGH VALUE","")</f>
        <v/>
      </c>
    </row>
    <row r="664" customFormat="false" ht="15" hidden="false" customHeight="false" outlineLevel="0" collapsed="false">
      <c r="A664" s="6" t="s">
        <v>753</v>
      </c>
      <c r="B664" s="6" t="str">
        <f aca="false">INDEX(Data!$H$2:$H$3990,MATCH(A664,Data!$A$2:$A$3990,0))</f>
        <v>United Kingdom</v>
      </c>
      <c r="C664" s="19" t="n">
        <f aca="false">SUMIFS(Data!$I$2:$I$3990,Data!$A$2:$A$3990,A664,Data!$J$2:$J$3990,1)</f>
        <v>30.48</v>
      </c>
      <c r="D664" s="6" t="str">
        <f aca="false">IF(C664&gt;10000,"HIGH VALUE","")</f>
        <v/>
      </c>
    </row>
    <row r="665" customFormat="false" ht="15" hidden="false" customHeight="false" outlineLevel="0" collapsed="false">
      <c r="A665" s="6" t="s">
        <v>756</v>
      </c>
      <c r="B665" s="6" t="str">
        <f aca="false">INDEX(Data!$H$2:$H$3990,MATCH(A665,Data!$A$2:$A$3990,0))</f>
        <v>United Kingdom</v>
      </c>
      <c r="C665" s="19" t="n">
        <f aca="false">SUMIFS(Data!$I$2:$I$3990,Data!$A$2:$A$3990,A665,Data!$J$2:$J$3990,1)</f>
        <v>44</v>
      </c>
      <c r="D665" s="6" t="str">
        <f aca="false">IF(C665&gt;10000,"HIGH VALUE","")</f>
        <v/>
      </c>
    </row>
    <row r="666" customFormat="false" ht="15" hidden="false" customHeight="false" outlineLevel="0" collapsed="false">
      <c r="A666" s="6" t="s">
        <v>755</v>
      </c>
      <c r="B666" s="6" t="str">
        <f aca="false">INDEX(Data!$H$2:$H$3990,MATCH(A666,Data!$A$2:$A$3990,0))</f>
        <v>United Kingdom</v>
      </c>
      <c r="C666" s="19" t="n">
        <f aca="false">SUMIFS(Data!$I$2:$I$3990,Data!$A$2:$A$3990,A666,Data!$J$2:$J$3990,1)</f>
        <v>88.11</v>
      </c>
      <c r="D666" s="6" t="str">
        <f aca="false">IF(C666&gt;10000,"HIGH VALUE","")</f>
        <v/>
      </c>
    </row>
    <row r="667" customFormat="false" ht="15" hidden="false" customHeight="false" outlineLevel="0" collapsed="false">
      <c r="A667" s="6" t="s">
        <v>757</v>
      </c>
      <c r="B667" s="6" t="str">
        <f aca="false">INDEX(Data!$H$2:$H$3990,MATCH(A667,Data!$A$2:$A$3990,0))</f>
        <v>Germany</v>
      </c>
      <c r="C667" s="19" t="n">
        <f aca="false">SUMIFS(Data!$I$2:$I$3990,Data!$A$2:$A$3990,A667,Data!$J$2:$J$3990,1)</f>
        <v>193.13</v>
      </c>
      <c r="D667" s="6" t="str">
        <f aca="false">IF(C667&gt;10000,"HIGH VALUE","")</f>
        <v/>
      </c>
    </row>
    <row r="668" customFormat="false" ht="15" hidden="false" customHeight="false" outlineLevel="0" collapsed="false">
      <c r="A668" s="6" t="s">
        <v>759</v>
      </c>
      <c r="B668" s="6" t="str">
        <f aca="false">INDEX(Data!$H$2:$H$3990,MATCH(A668,Data!$A$2:$A$3990,0))</f>
        <v>United Kingdom</v>
      </c>
      <c r="C668" s="19" t="n">
        <f aca="false">SUMIFS(Data!$I$2:$I$3990,Data!$A$2:$A$3990,A668,Data!$J$2:$J$3990,1)</f>
        <v>108.93</v>
      </c>
      <c r="D668" s="6" t="str">
        <f aca="false">IF(C668&gt;10000,"HIGH VALUE","")</f>
        <v/>
      </c>
    </row>
    <row r="669" customFormat="false" ht="15" hidden="false" customHeight="false" outlineLevel="0" collapsed="false">
      <c r="A669" s="6" t="s">
        <v>760</v>
      </c>
      <c r="B669" s="6" t="str">
        <f aca="false">INDEX(Data!$H$2:$H$3990,MATCH(A669,Data!$A$2:$A$3990,0))</f>
        <v>Germany</v>
      </c>
      <c r="C669" s="19" t="n">
        <f aca="false">SUMIFS(Data!$I$2:$I$3990,Data!$A$2:$A$3990,A669,Data!$J$2:$J$3990,1)</f>
        <v>380.63</v>
      </c>
      <c r="D669" s="6" t="str">
        <f aca="false">IF(C669&gt;10000,"HIGH VALUE","")</f>
        <v/>
      </c>
    </row>
    <row r="670" customFormat="false" ht="15" hidden="false" customHeight="false" outlineLevel="0" collapsed="false">
      <c r="A670" s="6" t="s">
        <v>763</v>
      </c>
      <c r="B670" s="6" t="str">
        <f aca="false">INDEX(Data!$H$2:$H$3990,MATCH(A670,Data!$A$2:$A$3990,0))</f>
        <v>Belgium</v>
      </c>
      <c r="C670" s="19" t="n">
        <f aca="false">SUMIFS(Data!$I$2:$I$3990,Data!$A$2:$A$3990,A670,Data!$J$2:$J$3990,1)</f>
        <v>192.44</v>
      </c>
      <c r="D670" s="6" t="str">
        <f aca="false">IF(C670&gt;10000,"HIGH VALUE","")</f>
        <v/>
      </c>
    </row>
    <row r="671" customFormat="false" ht="15" hidden="false" customHeight="false" outlineLevel="0" collapsed="false">
      <c r="A671" s="6" t="s">
        <v>761</v>
      </c>
      <c r="B671" s="6" t="str">
        <f aca="false">INDEX(Data!$H$2:$H$3990,MATCH(A671,Data!$A$2:$A$3990,0))</f>
        <v>United Kingdom</v>
      </c>
      <c r="C671" s="19" t="n">
        <f aca="false">SUMIFS(Data!$I$2:$I$3990,Data!$A$2:$A$3990,A671,Data!$J$2:$J$3990,1)</f>
        <v>15.12</v>
      </c>
      <c r="D671" s="6" t="str">
        <f aca="false">IF(C671&gt;10000,"HIGH VALUE","")</f>
        <v/>
      </c>
    </row>
    <row r="672" customFormat="false" ht="15" hidden="false" customHeight="false" outlineLevel="0" collapsed="false">
      <c r="A672" s="6" t="s">
        <v>762</v>
      </c>
      <c r="B672" s="6" t="str">
        <f aca="false">INDEX(Data!$H$2:$H$3990,MATCH(A672,Data!$A$2:$A$3990,0))</f>
        <v>United Kingdom</v>
      </c>
      <c r="C672" s="19" t="n">
        <f aca="false">SUMIFS(Data!$I$2:$I$3990,Data!$A$2:$A$3990,A672,Data!$J$2:$J$3990,1)</f>
        <v>56.64</v>
      </c>
      <c r="D672" s="6" t="str">
        <f aca="false">IF(C672&gt;10000,"HIGH VALUE","")</f>
        <v/>
      </c>
    </row>
    <row r="673" customFormat="false" ht="15" hidden="false" customHeight="false" outlineLevel="0" collapsed="false">
      <c r="A673" s="6" t="s">
        <v>765</v>
      </c>
      <c r="B673" s="6" t="str">
        <f aca="false">INDEX(Data!$H$2:$H$3990,MATCH(A673,Data!$A$2:$A$3990,0))</f>
        <v>United Kingdom</v>
      </c>
      <c r="C673" s="19" t="n">
        <f aca="false">SUMIFS(Data!$I$2:$I$3990,Data!$A$2:$A$3990,A673,Data!$J$2:$J$3990,1)</f>
        <v>29.45</v>
      </c>
      <c r="D673" s="6" t="str">
        <f aca="false">IF(C673&gt;10000,"HIGH VALUE","")</f>
        <v/>
      </c>
    </row>
    <row r="674" customFormat="false" ht="15" hidden="false" customHeight="false" outlineLevel="0" collapsed="false">
      <c r="A674" s="6" t="s">
        <v>764</v>
      </c>
      <c r="B674" s="6" t="str">
        <f aca="false">INDEX(Data!$H$2:$H$3990,MATCH(A674,Data!$A$2:$A$3990,0))</f>
        <v>United Kingdom</v>
      </c>
      <c r="C674" s="19" t="n">
        <f aca="false">SUMIFS(Data!$I$2:$I$3990,Data!$A$2:$A$3990,A674,Data!$J$2:$J$3990,1)</f>
        <v>226.04</v>
      </c>
      <c r="D674" s="6" t="str">
        <f aca="false">IF(C674&gt;10000,"HIGH VALUE","")</f>
        <v/>
      </c>
    </row>
    <row r="675" customFormat="false" ht="15" hidden="false" customHeight="false" outlineLevel="0" collapsed="false">
      <c r="A675" s="6" t="s">
        <v>766</v>
      </c>
      <c r="B675" s="6" t="str">
        <f aca="false">INDEX(Data!$H$2:$H$3990,MATCH(A675,Data!$A$2:$A$3990,0))</f>
        <v>United Kingdom</v>
      </c>
      <c r="C675" s="19" t="n">
        <f aca="false">SUMIFS(Data!$I$2:$I$3990,Data!$A$2:$A$3990,A675,Data!$J$2:$J$3990,1)</f>
        <v>185.37</v>
      </c>
      <c r="D675" s="6" t="str">
        <f aca="false">IF(C675&gt;10000,"HIGH VALUE","")</f>
        <v/>
      </c>
    </row>
    <row r="676" customFormat="false" ht="15" hidden="false" customHeight="false" outlineLevel="0" collapsed="false">
      <c r="A676" s="6" t="s">
        <v>768</v>
      </c>
      <c r="B676" s="6" t="str">
        <f aca="false">INDEX(Data!$H$2:$H$3990,MATCH(A676,Data!$A$2:$A$3990,0))</f>
        <v>Netherlands</v>
      </c>
      <c r="C676" s="19" t="n">
        <f aca="false">SUMIFS(Data!$I$2:$I$3990,Data!$A$2:$A$3990,A676,Data!$J$2:$J$3990,1)</f>
        <v>78.9</v>
      </c>
      <c r="D676" s="6" t="str">
        <f aca="false">IF(C676&gt;10000,"HIGH VALUE","")</f>
        <v/>
      </c>
    </row>
    <row r="677" customFormat="false" ht="15" hidden="false" customHeight="false" outlineLevel="0" collapsed="false">
      <c r="A677" s="6" t="s">
        <v>767</v>
      </c>
      <c r="B677" s="6" t="str">
        <f aca="false">INDEX(Data!$H$2:$H$3990,MATCH(A677,Data!$A$2:$A$3990,0))</f>
        <v>United Kingdom</v>
      </c>
      <c r="C677" s="19" t="n">
        <f aca="false">SUMIFS(Data!$I$2:$I$3990,Data!$A$2:$A$3990,A677,Data!$J$2:$J$3990,1)</f>
        <v>3092.52</v>
      </c>
      <c r="D677" s="6" t="str">
        <f aca="false">IF(C677&gt;10000,"HIGH VALUE","")</f>
        <v/>
      </c>
    </row>
    <row r="678" customFormat="false" ht="15" hidden="false" customHeight="false" outlineLevel="0" collapsed="false">
      <c r="A678" s="6" t="s">
        <v>769</v>
      </c>
      <c r="B678" s="6" t="str">
        <f aca="false">INDEX(Data!$H$2:$H$3990,MATCH(A678,Data!$A$2:$A$3990,0))</f>
        <v>United Kingdom</v>
      </c>
      <c r="C678" s="19" t="n">
        <f aca="false">SUMIFS(Data!$I$2:$I$3990,Data!$A$2:$A$3990,A678,Data!$J$2:$J$3990,1)</f>
        <v>42.16</v>
      </c>
      <c r="D678" s="6" t="str">
        <f aca="false">IF(C678&gt;10000,"HIGH VALUE","")</f>
        <v/>
      </c>
    </row>
    <row r="679" customFormat="false" ht="15" hidden="false" customHeight="false" outlineLevel="0" collapsed="false">
      <c r="A679" s="6" t="s">
        <v>771</v>
      </c>
      <c r="B679" s="6" t="str">
        <f aca="false">INDEX(Data!$H$2:$H$3990,MATCH(A679,Data!$A$2:$A$3990,0))</f>
        <v>Germany</v>
      </c>
      <c r="C679" s="19" t="n">
        <f aca="false">SUMIFS(Data!$I$2:$I$3990,Data!$A$2:$A$3990,A679,Data!$J$2:$J$3990,1)</f>
        <v>170.23</v>
      </c>
      <c r="D679" s="6" t="str">
        <f aca="false">IF(C679&gt;10000,"HIGH VALUE","")</f>
        <v/>
      </c>
    </row>
    <row r="680" customFormat="false" ht="15" hidden="false" customHeight="false" outlineLevel="0" collapsed="false">
      <c r="A680" s="6" t="s">
        <v>770</v>
      </c>
      <c r="B680" s="6" t="str">
        <f aca="false">INDEX(Data!$H$2:$H$3990,MATCH(A680,Data!$A$2:$A$3990,0))</f>
        <v>United Kingdom</v>
      </c>
      <c r="C680" s="19" t="n">
        <f aca="false">SUMIFS(Data!$I$2:$I$3990,Data!$A$2:$A$3990,A680,Data!$J$2:$J$3990,1)</f>
        <v>99.95</v>
      </c>
      <c r="D680" s="6" t="str">
        <f aca="false">IF(C680&gt;10000,"HIGH VALUE","")</f>
        <v/>
      </c>
    </row>
    <row r="681" customFormat="false" ht="15" hidden="false" customHeight="false" outlineLevel="0" collapsed="false">
      <c r="A681" s="6" t="s">
        <v>773</v>
      </c>
      <c r="B681" s="6" t="str">
        <f aca="false">INDEX(Data!$H$2:$H$3990,MATCH(A681,Data!$A$2:$A$3990,0))</f>
        <v>United Kingdom</v>
      </c>
      <c r="C681" s="19" t="n">
        <f aca="false">SUMIFS(Data!$I$2:$I$3990,Data!$A$2:$A$3990,A681,Data!$J$2:$J$3990,1)</f>
        <v>130</v>
      </c>
      <c r="D681" s="6" t="str">
        <f aca="false">IF(C681&gt;10000,"HIGH VALUE","")</f>
        <v/>
      </c>
    </row>
    <row r="682" customFormat="false" ht="15" hidden="false" customHeight="false" outlineLevel="0" collapsed="false">
      <c r="A682" s="6" t="s">
        <v>772</v>
      </c>
      <c r="B682" s="6" t="str">
        <f aca="false">INDEX(Data!$H$2:$H$3990,MATCH(A682,Data!$A$2:$A$3990,0))</f>
        <v>United Kingdom</v>
      </c>
      <c r="C682" s="19" t="n">
        <f aca="false">SUMIFS(Data!$I$2:$I$3990,Data!$A$2:$A$3990,A682,Data!$J$2:$J$3990,1)</f>
        <v>123.18</v>
      </c>
      <c r="D682" s="6" t="str">
        <f aca="false">IF(C682&gt;10000,"HIGH VALUE","")</f>
        <v/>
      </c>
    </row>
    <row r="683" customFormat="false" ht="15" hidden="false" customHeight="false" outlineLevel="0" collapsed="false">
      <c r="A683" s="6" t="s">
        <v>774</v>
      </c>
      <c r="B683" s="6" t="str">
        <f aca="false">INDEX(Data!$H$2:$H$3990,MATCH(A683,Data!$A$2:$A$3990,0))</f>
        <v>Netherlands</v>
      </c>
      <c r="C683" s="19" t="n">
        <f aca="false">SUMIFS(Data!$I$2:$I$3990,Data!$A$2:$A$3990,A683,Data!$J$2:$J$3990,1)</f>
        <v>418.8</v>
      </c>
      <c r="D683" s="6" t="str">
        <f aca="false">IF(C683&gt;10000,"HIGH VALUE","")</f>
        <v/>
      </c>
    </row>
    <row r="684" customFormat="false" ht="15" hidden="false" customHeight="false" outlineLevel="0" collapsed="false">
      <c r="A684" s="6" t="s">
        <v>775</v>
      </c>
      <c r="B684" s="6" t="str">
        <f aca="false">INDEX(Data!$H$2:$H$3990,MATCH(A684,Data!$A$2:$A$3990,0))</f>
        <v>United Kingdom</v>
      </c>
      <c r="C684" s="19" t="n">
        <f aca="false">SUMIFS(Data!$I$2:$I$3990,Data!$A$2:$A$3990,A684,Data!$J$2:$J$3990,1)</f>
        <v>5.07</v>
      </c>
      <c r="D684" s="6" t="str">
        <f aca="false">IF(C684&gt;10000,"HIGH VALUE","")</f>
        <v/>
      </c>
    </row>
    <row r="685" customFormat="false" ht="15" hidden="false" customHeight="false" outlineLevel="0" collapsed="false">
      <c r="A685" s="6" t="s">
        <v>776</v>
      </c>
      <c r="B685" s="6" t="str">
        <f aca="false">INDEX(Data!$H$2:$H$3990,MATCH(A685,Data!$A$2:$A$3990,0))</f>
        <v>United Kingdom</v>
      </c>
      <c r="C685" s="19" t="n">
        <f aca="false">SUMIFS(Data!$I$2:$I$3990,Data!$A$2:$A$3990,A685,Data!$J$2:$J$3990,1)</f>
        <v>13.48</v>
      </c>
      <c r="D685" s="6" t="str">
        <f aca="false">IF(C685&gt;10000,"HIGH VALUE","")</f>
        <v/>
      </c>
    </row>
    <row r="686" customFormat="false" ht="15" hidden="false" customHeight="false" outlineLevel="0" collapsed="false">
      <c r="A686" s="6" t="s">
        <v>777</v>
      </c>
      <c r="B686" s="6" t="str">
        <f aca="false">INDEX(Data!$H$2:$H$3990,MATCH(A686,Data!$A$2:$A$3990,0))</f>
        <v>Germany</v>
      </c>
      <c r="C686" s="19" t="n">
        <f aca="false">SUMIFS(Data!$I$2:$I$3990,Data!$A$2:$A$3990,A686,Data!$J$2:$J$3990,1)</f>
        <v>118.75</v>
      </c>
      <c r="D686" s="6" t="str">
        <f aca="false">IF(C686&gt;10000,"HIGH VALUE","")</f>
        <v/>
      </c>
    </row>
    <row r="687" customFormat="false" ht="15" hidden="false" customHeight="false" outlineLevel="0" collapsed="false">
      <c r="A687" s="6" t="s">
        <v>778</v>
      </c>
      <c r="B687" s="6" t="str">
        <f aca="false">INDEX(Data!$H$2:$H$3990,MATCH(A687,Data!$A$2:$A$3990,0))</f>
        <v>United Kingdom</v>
      </c>
      <c r="C687" s="19" t="n">
        <f aca="false">SUMIFS(Data!$I$2:$I$3990,Data!$A$2:$A$3990,A687,Data!$J$2:$J$3990,1)</f>
        <v>98.52</v>
      </c>
      <c r="D687" s="6" t="str">
        <f aca="false">IF(C687&gt;10000,"HIGH VALUE","")</f>
        <v/>
      </c>
    </row>
    <row r="688" customFormat="false" ht="15" hidden="false" customHeight="false" outlineLevel="0" collapsed="false">
      <c r="A688" s="6" t="s">
        <v>779</v>
      </c>
      <c r="B688" s="6" t="str">
        <f aca="false">INDEX(Data!$H$2:$H$3990,MATCH(A688,Data!$A$2:$A$3990,0))</f>
        <v>United Kingdom</v>
      </c>
      <c r="C688" s="19" t="n">
        <f aca="false">SUMIFS(Data!$I$2:$I$3990,Data!$A$2:$A$3990,A688,Data!$J$2:$J$3990,1)</f>
        <v>42.81</v>
      </c>
      <c r="D688" s="6" t="str">
        <f aca="false">IF(C688&gt;10000,"HIGH VALUE","")</f>
        <v/>
      </c>
    </row>
    <row r="689" customFormat="false" ht="15" hidden="false" customHeight="false" outlineLevel="0" collapsed="false">
      <c r="A689" s="6" t="s">
        <v>782</v>
      </c>
      <c r="B689" s="6" t="str">
        <f aca="false">INDEX(Data!$H$2:$H$3990,MATCH(A689,Data!$A$2:$A$3990,0))</f>
        <v>United Kingdom</v>
      </c>
      <c r="C689" s="19" t="n">
        <f aca="false">SUMIFS(Data!$I$2:$I$3990,Data!$A$2:$A$3990,A689,Data!$J$2:$J$3990,1)</f>
        <v>40.29</v>
      </c>
      <c r="D689" s="6" t="str">
        <f aca="false">IF(C689&gt;10000,"HIGH VALUE","")</f>
        <v/>
      </c>
    </row>
    <row r="690" customFormat="false" ht="15" hidden="false" customHeight="false" outlineLevel="0" collapsed="false">
      <c r="A690" s="6" t="s">
        <v>780</v>
      </c>
      <c r="B690" s="6" t="str">
        <f aca="false">INDEX(Data!$H$2:$H$3990,MATCH(A690,Data!$A$2:$A$3990,0))</f>
        <v>United Kingdom</v>
      </c>
      <c r="C690" s="19" t="n">
        <f aca="false">SUMIFS(Data!$I$2:$I$3990,Data!$A$2:$A$3990,A690,Data!$J$2:$J$3990,1)</f>
        <v>12.72</v>
      </c>
      <c r="D690" s="6" t="str">
        <f aca="false">IF(C690&gt;10000,"HIGH VALUE","")</f>
        <v/>
      </c>
    </row>
    <row r="691" customFormat="false" ht="15" hidden="false" customHeight="false" outlineLevel="0" collapsed="false">
      <c r="A691" s="6" t="s">
        <v>781</v>
      </c>
      <c r="B691" s="6" t="str">
        <f aca="false">INDEX(Data!$H$2:$H$3990,MATCH(A691,Data!$A$2:$A$3990,0))</f>
        <v>United Kingdom</v>
      </c>
      <c r="C691" s="19" t="n">
        <f aca="false">SUMIFS(Data!$I$2:$I$3990,Data!$A$2:$A$3990,A691,Data!$J$2:$J$3990,1)</f>
        <v>118.2</v>
      </c>
      <c r="D691" s="6" t="str">
        <f aca="false">IF(C691&gt;10000,"HIGH VALUE","")</f>
        <v/>
      </c>
    </row>
    <row r="692" customFormat="false" ht="15" hidden="false" customHeight="false" outlineLevel="0" collapsed="false">
      <c r="A692" s="6" t="s">
        <v>783</v>
      </c>
      <c r="B692" s="6" t="str">
        <f aca="false">INDEX(Data!$H$2:$H$3990,MATCH(A692,Data!$A$2:$A$3990,0))</f>
        <v>Germany</v>
      </c>
      <c r="C692" s="19" t="n">
        <f aca="false">SUMIFS(Data!$I$2:$I$3990,Data!$A$2:$A$3990,A692,Data!$J$2:$J$3990,1)</f>
        <v>124.13</v>
      </c>
      <c r="D692" s="6" t="str">
        <f aca="false">IF(C692&gt;10000,"HIGH VALUE","")</f>
        <v/>
      </c>
    </row>
    <row r="693" customFormat="false" ht="15" hidden="false" customHeight="false" outlineLevel="0" collapsed="false">
      <c r="A693" s="6" t="s">
        <v>785</v>
      </c>
      <c r="B693" s="6" t="str">
        <f aca="false">INDEX(Data!$H$2:$H$3990,MATCH(A693,Data!$A$2:$A$3990,0))</f>
        <v>United Kingdom</v>
      </c>
      <c r="C693" s="19" t="n">
        <f aca="false">SUMIFS(Data!$I$2:$I$3990,Data!$A$2:$A$3990,A693,Data!$J$2:$J$3990,1)</f>
        <v>5.04</v>
      </c>
      <c r="D693" s="6" t="str">
        <f aca="false">IF(C693&gt;10000,"HIGH VALUE","")</f>
        <v/>
      </c>
    </row>
    <row r="694" customFormat="false" ht="15" hidden="false" customHeight="false" outlineLevel="0" collapsed="false">
      <c r="A694" s="6" t="s">
        <v>788</v>
      </c>
      <c r="B694" s="6" t="str">
        <f aca="false">INDEX(Data!$H$2:$H$3990,MATCH(A694,Data!$A$2:$A$3990,0))</f>
        <v>Germany</v>
      </c>
      <c r="C694" s="19" t="n">
        <f aca="false">SUMIFS(Data!$I$2:$I$3990,Data!$A$2:$A$3990,A694,Data!$J$2:$J$3990,1)</f>
        <v>13.65</v>
      </c>
      <c r="D694" s="6" t="str">
        <f aca="false">IF(C694&gt;10000,"HIGH VALUE","")</f>
        <v/>
      </c>
    </row>
    <row r="695" customFormat="false" ht="15" hidden="false" customHeight="false" outlineLevel="0" collapsed="false">
      <c r="A695" s="6" t="s">
        <v>787</v>
      </c>
      <c r="B695" s="6" t="str">
        <f aca="false">INDEX(Data!$H$2:$H$3990,MATCH(A695,Data!$A$2:$A$3990,0))</f>
        <v>United Kingdom</v>
      </c>
      <c r="C695" s="19" t="n">
        <f aca="false">SUMIFS(Data!$I$2:$I$3990,Data!$A$2:$A$3990,A695,Data!$J$2:$J$3990,1)</f>
        <v>343.72</v>
      </c>
      <c r="D695" s="6" t="str">
        <f aca="false">IF(C695&gt;10000,"HIGH VALUE","")</f>
        <v/>
      </c>
    </row>
    <row r="696" customFormat="false" ht="15" hidden="false" customHeight="false" outlineLevel="0" collapsed="false">
      <c r="A696" s="6" t="s">
        <v>786</v>
      </c>
      <c r="B696" s="6" t="str">
        <f aca="false">INDEX(Data!$H$2:$H$3990,MATCH(A696,Data!$A$2:$A$3990,0))</f>
        <v>United Kingdom</v>
      </c>
      <c r="C696" s="19" t="n">
        <f aca="false">SUMIFS(Data!$I$2:$I$3990,Data!$A$2:$A$3990,A696,Data!$J$2:$J$3990,1)</f>
        <v>134.33</v>
      </c>
      <c r="D696" s="6" t="str">
        <f aca="false">IF(C696&gt;10000,"HIGH VALUE","")</f>
        <v/>
      </c>
    </row>
    <row r="697" customFormat="false" ht="15" hidden="false" customHeight="false" outlineLevel="0" collapsed="false">
      <c r="A697" s="6" t="s">
        <v>790</v>
      </c>
      <c r="B697" s="6" t="str">
        <f aca="false">INDEX(Data!$H$2:$H$3990,MATCH(A697,Data!$A$2:$A$3990,0))</f>
        <v>EIRE</v>
      </c>
      <c r="C697" s="19" t="n">
        <f aca="false">SUMIFS(Data!$I$2:$I$3990,Data!$A$2:$A$3990,A697,Data!$J$2:$J$3990,1)</f>
        <v>147.96</v>
      </c>
      <c r="D697" s="6" t="str">
        <f aca="false">IF(C697&gt;10000,"HIGH VALUE","")</f>
        <v/>
      </c>
    </row>
    <row r="698" customFormat="false" ht="15" hidden="false" customHeight="false" outlineLevel="0" collapsed="false">
      <c r="A698" s="6" t="s">
        <v>791</v>
      </c>
      <c r="B698" s="6" t="str">
        <f aca="false">INDEX(Data!$H$2:$H$3990,MATCH(A698,Data!$A$2:$A$3990,0))</f>
        <v>United Kingdom</v>
      </c>
      <c r="C698" s="19" t="n">
        <f aca="false">SUMIFS(Data!$I$2:$I$3990,Data!$A$2:$A$3990,A698,Data!$J$2:$J$3990,1)</f>
        <v>539.04</v>
      </c>
      <c r="D698" s="6" t="str">
        <f aca="false">IF(C698&gt;10000,"HIGH VALUE","")</f>
        <v/>
      </c>
    </row>
    <row r="699" customFormat="false" ht="15" hidden="false" customHeight="false" outlineLevel="0" collapsed="false">
      <c r="A699" s="6" t="s">
        <v>792</v>
      </c>
      <c r="B699" s="6" t="str">
        <f aca="false">INDEX(Data!$H$2:$H$3990,MATCH(A699,Data!$A$2:$A$3990,0))</f>
        <v>United Kingdom</v>
      </c>
      <c r="C699" s="19" t="n">
        <f aca="false">SUMIFS(Data!$I$2:$I$3990,Data!$A$2:$A$3990,A699,Data!$J$2:$J$3990,1)</f>
        <v>40.05</v>
      </c>
      <c r="D699" s="6" t="str">
        <f aca="false">IF(C699&gt;10000,"HIGH VALUE","")</f>
        <v/>
      </c>
    </row>
    <row r="700" customFormat="false" ht="15" hidden="false" customHeight="false" outlineLevel="0" collapsed="false">
      <c r="A700" s="6" t="s">
        <v>793</v>
      </c>
      <c r="B700" s="6" t="str">
        <f aca="false">INDEX(Data!$H$2:$H$3990,MATCH(A700,Data!$A$2:$A$3990,0))</f>
        <v>United Kingdom</v>
      </c>
      <c r="C700" s="19" t="n">
        <f aca="false">SUMIFS(Data!$I$2:$I$3990,Data!$A$2:$A$3990,A700,Data!$J$2:$J$3990,1)</f>
        <v>214.11</v>
      </c>
      <c r="D700" s="6" t="str">
        <f aca="false">IF(C700&gt;10000,"HIGH VALUE","")</f>
        <v/>
      </c>
    </row>
    <row r="701" customFormat="false" ht="15" hidden="false" customHeight="false" outlineLevel="0" collapsed="false">
      <c r="A701" s="6" t="s">
        <v>795</v>
      </c>
      <c r="B701" s="6" t="str">
        <f aca="false">INDEX(Data!$H$2:$H$3990,MATCH(A701,Data!$A$2:$A$3990,0))</f>
        <v>United Kingdom</v>
      </c>
      <c r="C701" s="19" t="n">
        <f aca="false">SUMIFS(Data!$I$2:$I$3990,Data!$A$2:$A$3990,A701,Data!$J$2:$J$3990,1)</f>
        <v>9.12</v>
      </c>
      <c r="D701" s="6" t="str">
        <f aca="false">IF(C701&gt;10000,"HIGH VALUE","")</f>
        <v/>
      </c>
    </row>
    <row r="702" customFormat="false" ht="15" hidden="false" customHeight="false" outlineLevel="0" collapsed="false">
      <c r="A702" s="6" t="s">
        <v>794</v>
      </c>
      <c r="B702" s="6" t="str">
        <f aca="false">INDEX(Data!$H$2:$H$3990,MATCH(A702,Data!$A$2:$A$3990,0))</f>
        <v>Switzerland</v>
      </c>
      <c r="C702" s="19" t="n">
        <f aca="false">SUMIFS(Data!$I$2:$I$3990,Data!$A$2:$A$3990,A702,Data!$J$2:$J$3990,1)</f>
        <v>187.06</v>
      </c>
      <c r="D702" s="6" t="str">
        <f aca="false">IF(C702&gt;10000,"HIGH VALUE","")</f>
        <v/>
      </c>
    </row>
    <row r="703" customFormat="false" ht="15" hidden="false" customHeight="false" outlineLevel="0" collapsed="false">
      <c r="A703" s="6" t="s">
        <v>796</v>
      </c>
      <c r="B703" s="6" t="str">
        <f aca="false">INDEX(Data!$H$2:$H$3990,MATCH(A703,Data!$A$2:$A$3990,0))</f>
        <v>United Kingdom</v>
      </c>
      <c r="C703" s="19" t="n">
        <f aca="false">SUMIFS(Data!$I$2:$I$3990,Data!$A$2:$A$3990,A703,Data!$J$2:$J$3990,1)</f>
        <v>32.97</v>
      </c>
      <c r="D703" s="6" t="str">
        <f aca="false">IF(C703&gt;10000,"HIGH VALUE","")</f>
        <v/>
      </c>
    </row>
    <row r="704" customFormat="false" ht="15" hidden="false" customHeight="false" outlineLevel="0" collapsed="false">
      <c r="A704" s="6" t="s">
        <v>798</v>
      </c>
      <c r="B704" s="6" t="str">
        <f aca="false">INDEX(Data!$H$2:$H$3990,MATCH(A704,Data!$A$2:$A$3990,0))</f>
        <v>United Kingdom</v>
      </c>
      <c r="C704" s="19" t="n">
        <f aca="false">SUMIFS(Data!$I$2:$I$3990,Data!$A$2:$A$3990,A704,Data!$J$2:$J$3990,1)</f>
        <v>18.12</v>
      </c>
      <c r="D704" s="6" t="str">
        <f aca="false">IF(C704&gt;10000,"HIGH VALUE","")</f>
        <v/>
      </c>
    </row>
    <row r="705" customFormat="false" ht="15" hidden="false" customHeight="false" outlineLevel="0" collapsed="false">
      <c r="A705" s="6" t="s">
        <v>797</v>
      </c>
      <c r="B705" s="6" t="str">
        <f aca="false">INDEX(Data!$H$2:$H$3990,MATCH(A705,Data!$A$2:$A$3990,0))</f>
        <v>United Kingdom</v>
      </c>
      <c r="C705" s="19" t="n">
        <f aca="false">SUMIFS(Data!$I$2:$I$3990,Data!$A$2:$A$3990,A705,Data!$J$2:$J$3990,1)</f>
        <v>274.06</v>
      </c>
      <c r="D705" s="6" t="str">
        <f aca="false">IF(C705&gt;10000,"HIGH VALUE","")</f>
        <v/>
      </c>
    </row>
    <row r="706" customFormat="false" ht="15" hidden="false" customHeight="false" outlineLevel="0" collapsed="false">
      <c r="A706" s="6" t="s">
        <v>801</v>
      </c>
      <c r="B706" s="6" t="str">
        <f aca="false">INDEX(Data!$H$2:$H$3990,MATCH(A706,Data!$A$2:$A$3990,0))</f>
        <v>United Kingdom</v>
      </c>
      <c r="C706" s="19" t="n">
        <f aca="false">SUMIFS(Data!$I$2:$I$3990,Data!$A$2:$A$3990,A706,Data!$J$2:$J$3990,1)</f>
        <v>121.75</v>
      </c>
      <c r="D706" s="6" t="str">
        <f aca="false">IF(C706&gt;10000,"HIGH VALUE","")</f>
        <v/>
      </c>
    </row>
    <row r="707" customFormat="false" ht="15" hidden="false" customHeight="false" outlineLevel="0" collapsed="false">
      <c r="A707" s="6" t="s">
        <v>800</v>
      </c>
      <c r="B707" s="6" t="str">
        <f aca="false">INDEX(Data!$H$2:$H$3990,MATCH(A707,Data!$A$2:$A$3990,0))</f>
        <v>United Kingdom</v>
      </c>
      <c r="C707" s="19" t="n">
        <f aca="false">SUMIFS(Data!$I$2:$I$3990,Data!$A$2:$A$3990,A707,Data!$J$2:$J$3990,1)</f>
        <v>37.03</v>
      </c>
      <c r="D707" s="6" t="str">
        <f aca="false">IF(C707&gt;10000,"HIGH VALUE","")</f>
        <v/>
      </c>
    </row>
    <row r="708" customFormat="false" ht="15" hidden="false" customHeight="false" outlineLevel="0" collapsed="false">
      <c r="A708" s="6" t="s">
        <v>799</v>
      </c>
      <c r="B708" s="6" t="str">
        <f aca="false">INDEX(Data!$H$2:$H$3990,MATCH(A708,Data!$A$2:$A$3990,0))</f>
        <v>United Kingdom</v>
      </c>
      <c r="C708" s="19" t="n">
        <f aca="false">SUMIFS(Data!$I$2:$I$3990,Data!$A$2:$A$3990,A708,Data!$J$2:$J$3990,1)</f>
        <v>5.04</v>
      </c>
      <c r="D708" s="6" t="str">
        <f aca="false">IF(C708&gt;10000,"HIGH VALUE","")</f>
        <v/>
      </c>
    </row>
    <row r="709" customFormat="false" ht="15" hidden="false" customHeight="false" outlineLevel="0" collapsed="false">
      <c r="A709" s="6" t="s">
        <v>805</v>
      </c>
      <c r="B709" s="6" t="str">
        <f aca="false">INDEX(Data!$H$2:$H$3990,MATCH(A709,Data!$A$2:$A$3990,0))</f>
        <v>United Kingdom</v>
      </c>
      <c r="C709" s="19" t="n">
        <f aca="false">SUMIFS(Data!$I$2:$I$3990,Data!$A$2:$A$3990,A709,Data!$J$2:$J$3990,1)</f>
        <v>161.01</v>
      </c>
      <c r="D709" s="6" t="str">
        <f aca="false">IF(C709&gt;10000,"HIGH VALUE","")</f>
        <v/>
      </c>
    </row>
    <row r="710" customFormat="false" ht="15" hidden="false" customHeight="false" outlineLevel="0" collapsed="false">
      <c r="A710" s="6" t="s">
        <v>803</v>
      </c>
      <c r="B710" s="6" t="str">
        <f aca="false">INDEX(Data!$H$2:$H$3990,MATCH(A710,Data!$A$2:$A$3990,0))</f>
        <v>United Kingdom</v>
      </c>
      <c r="C710" s="19" t="n">
        <f aca="false">SUMIFS(Data!$I$2:$I$3990,Data!$A$2:$A$3990,A710,Data!$J$2:$J$3990,1)</f>
        <v>136.11</v>
      </c>
      <c r="D710" s="6" t="str">
        <f aca="false">IF(C710&gt;10000,"HIGH VALUE","")</f>
        <v/>
      </c>
    </row>
    <row r="711" customFormat="false" ht="15" hidden="false" customHeight="false" outlineLevel="0" collapsed="false">
      <c r="A711" s="6" t="s">
        <v>802</v>
      </c>
      <c r="B711" s="6" t="str">
        <f aca="false">INDEX(Data!$H$2:$H$3990,MATCH(A711,Data!$A$2:$A$3990,0))</f>
        <v>United Kingdom</v>
      </c>
      <c r="C711" s="19" t="n">
        <f aca="false">SUMIFS(Data!$I$2:$I$3990,Data!$A$2:$A$3990,A711,Data!$J$2:$J$3990,1)</f>
        <v>23.16</v>
      </c>
      <c r="D711" s="6" t="str">
        <f aca="false">IF(C711&gt;10000,"HIGH VALUE","")</f>
        <v/>
      </c>
    </row>
    <row r="712" customFormat="false" ht="15" hidden="false" customHeight="false" outlineLevel="0" collapsed="false">
      <c r="A712" s="6" t="s">
        <v>804</v>
      </c>
      <c r="B712" s="6" t="str">
        <f aca="false">INDEX(Data!$H$2:$H$3990,MATCH(A712,Data!$A$2:$A$3990,0))</f>
        <v>United Kingdom</v>
      </c>
      <c r="C712" s="19" t="n">
        <f aca="false">SUMIFS(Data!$I$2:$I$3990,Data!$A$2:$A$3990,A712,Data!$J$2:$J$3990,1)</f>
        <v>26.13</v>
      </c>
      <c r="D712" s="6" t="str">
        <f aca="false">IF(C712&gt;10000,"HIGH VALUE","")</f>
        <v/>
      </c>
    </row>
    <row r="713" customFormat="false" ht="15" hidden="false" customHeight="false" outlineLevel="0" collapsed="false">
      <c r="A713" s="6" t="s">
        <v>806</v>
      </c>
      <c r="B713" s="6" t="str">
        <f aca="false">INDEX(Data!$H$2:$H$3990,MATCH(A713,Data!$A$2:$A$3990,0))</f>
        <v>United Kingdom</v>
      </c>
      <c r="C713" s="19" t="n">
        <f aca="false">SUMIFS(Data!$I$2:$I$3990,Data!$A$2:$A$3990,A713,Data!$J$2:$J$3990,1)</f>
        <v>42.84</v>
      </c>
      <c r="D713" s="6" t="str">
        <f aca="false">IF(C713&gt;10000,"HIGH VALUE","")</f>
        <v/>
      </c>
    </row>
    <row r="714" customFormat="false" ht="15" hidden="false" customHeight="false" outlineLevel="0" collapsed="false">
      <c r="A714" s="6" t="s">
        <v>807</v>
      </c>
      <c r="B714" s="6" t="str">
        <f aca="false">INDEX(Data!$H$2:$H$3990,MATCH(A714,Data!$A$2:$A$3990,0))</f>
        <v>United Kingdom</v>
      </c>
      <c r="C714" s="19" t="n">
        <f aca="false">SUMIFS(Data!$I$2:$I$3990,Data!$A$2:$A$3990,A714,Data!$J$2:$J$3990,1)</f>
        <v>98.61</v>
      </c>
      <c r="D714" s="6" t="str">
        <f aca="false">IF(C714&gt;10000,"HIGH VALUE","")</f>
        <v/>
      </c>
    </row>
    <row r="715" customFormat="false" ht="15" hidden="false" customHeight="false" outlineLevel="0" collapsed="false">
      <c r="A715" s="6" t="s">
        <v>808</v>
      </c>
      <c r="B715" s="6" t="str">
        <f aca="false">INDEX(Data!$H$2:$H$3990,MATCH(A715,Data!$A$2:$A$3990,0))</f>
        <v>United Kingdom</v>
      </c>
      <c r="C715" s="19" t="n">
        <f aca="false">SUMIFS(Data!$I$2:$I$3990,Data!$A$2:$A$3990,A715,Data!$J$2:$J$3990,1)</f>
        <v>227.41</v>
      </c>
      <c r="D715" s="6" t="str">
        <f aca="false">IF(C715&gt;10000,"HIGH VALUE","")</f>
        <v/>
      </c>
    </row>
    <row r="716" customFormat="false" ht="15" hidden="false" customHeight="false" outlineLevel="0" collapsed="false">
      <c r="A716" s="6" t="s">
        <v>810</v>
      </c>
      <c r="B716" s="6" t="str">
        <f aca="false">INDEX(Data!$H$2:$H$3990,MATCH(A716,Data!$A$2:$A$3990,0))</f>
        <v>United Kingdom</v>
      </c>
      <c r="C716" s="19" t="n">
        <f aca="false">SUMIFS(Data!$I$2:$I$3990,Data!$A$2:$A$3990,A716,Data!$J$2:$J$3990,1)</f>
        <v>269.4</v>
      </c>
      <c r="D716" s="6" t="str">
        <f aca="false">IF(C716&gt;10000,"HIGH VALUE","")</f>
        <v/>
      </c>
    </row>
    <row r="717" customFormat="false" ht="15" hidden="false" customHeight="false" outlineLevel="0" collapsed="false">
      <c r="A717" s="6" t="s">
        <v>809</v>
      </c>
      <c r="B717" s="6" t="str">
        <f aca="false">INDEX(Data!$H$2:$H$3990,MATCH(A717,Data!$A$2:$A$3990,0))</f>
        <v>France</v>
      </c>
      <c r="C717" s="19" t="n">
        <f aca="false">SUMIFS(Data!$I$2:$I$3990,Data!$A$2:$A$3990,A717,Data!$J$2:$J$3990,1)</f>
        <v>208.17</v>
      </c>
      <c r="D717" s="6" t="str">
        <f aca="false">IF(C717&gt;10000,"HIGH VALUE","")</f>
        <v/>
      </c>
    </row>
    <row r="718" customFormat="false" ht="15" hidden="false" customHeight="false" outlineLevel="0" collapsed="false">
      <c r="A718" s="6" t="s">
        <v>812</v>
      </c>
      <c r="B718" s="6" t="str">
        <f aca="false">INDEX(Data!$H$2:$H$3990,MATCH(A718,Data!$A$2:$A$3990,0))</f>
        <v>United Kingdom</v>
      </c>
      <c r="C718" s="19" t="n">
        <f aca="false">SUMIFS(Data!$I$2:$I$3990,Data!$A$2:$A$3990,A718,Data!$J$2:$J$3990,1)</f>
        <v>179.81</v>
      </c>
      <c r="D718" s="6" t="str">
        <f aca="false">IF(C718&gt;10000,"HIGH VALUE","")</f>
        <v/>
      </c>
    </row>
    <row r="719" customFormat="false" ht="15" hidden="false" customHeight="false" outlineLevel="0" collapsed="false">
      <c r="A719" s="6" t="s">
        <v>811</v>
      </c>
      <c r="B719" s="6" t="str">
        <f aca="false">INDEX(Data!$H$2:$H$3990,MATCH(A719,Data!$A$2:$A$3990,0))</f>
        <v>France</v>
      </c>
      <c r="C719" s="19" t="n">
        <f aca="false">SUMIFS(Data!$I$2:$I$3990,Data!$A$2:$A$3990,A719,Data!$J$2:$J$3990,1)</f>
        <v>66.13</v>
      </c>
      <c r="D719" s="6" t="str">
        <f aca="false">IF(C719&gt;10000,"HIGH VALUE","")</f>
        <v/>
      </c>
    </row>
    <row r="720" customFormat="false" ht="15" hidden="false" customHeight="false" outlineLevel="0" collapsed="false">
      <c r="A720" s="6" t="s">
        <v>814</v>
      </c>
      <c r="B720" s="6" t="str">
        <f aca="false">INDEX(Data!$H$2:$H$3990,MATCH(A720,Data!$A$2:$A$3990,0))</f>
        <v>United Kingdom</v>
      </c>
      <c r="C720" s="19" t="n">
        <f aca="false">SUMIFS(Data!$I$2:$I$3990,Data!$A$2:$A$3990,A720,Data!$J$2:$J$3990,1)</f>
        <v>13.92</v>
      </c>
      <c r="D720" s="6" t="str">
        <f aca="false">IF(C720&gt;10000,"HIGH VALUE","")</f>
        <v/>
      </c>
    </row>
    <row r="721" customFormat="false" ht="15" hidden="false" customHeight="false" outlineLevel="0" collapsed="false">
      <c r="A721" s="6" t="s">
        <v>813</v>
      </c>
      <c r="B721" s="6" t="str">
        <f aca="false">INDEX(Data!$H$2:$H$3990,MATCH(A721,Data!$A$2:$A$3990,0))</f>
        <v>United Kingdom</v>
      </c>
      <c r="C721" s="19" t="n">
        <f aca="false">SUMIFS(Data!$I$2:$I$3990,Data!$A$2:$A$3990,A721,Data!$J$2:$J$3990,1)</f>
        <v>340.33</v>
      </c>
      <c r="D721" s="6" t="str">
        <f aca="false">IF(C721&gt;10000,"HIGH VALUE","")</f>
        <v/>
      </c>
    </row>
    <row r="722" customFormat="false" ht="15" hidden="false" customHeight="false" outlineLevel="0" collapsed="false">
      <c r="A722" s="6" t="s">
        <v>815</v>
      </c>
      <c r="B722" s="6" t="str">
        <f aca="false">INDEX(Data!$H$2:$H$3990,MATCH(A722,Data!$A$2:$A$3990,0))</f>
        <v>United Kingdom</v>
      </c>
      <c r="C722" s="19" t="n">
        <f aca="false">SUMIFS(Data!$I$2:$I$3990,Data!$A$2:$A$3990,A722,Data!$J$2:$J$3990,1)</f>
        <v>80.15</v>
      </c>
      <c r="D722" s="6" t="str">
        <f aca="false">IF(C722&gt;10000,"HIGH VALUE","")</f>
        <v/>
      </c>
    </row>
    <row r="723" customFormat="false" ht="15" hidden="false" customHeight="false" outlineLevel="0" collapsed="false">
      <c r="A723" s="6" t="s">
        <v>816</v>
      </c>
      <c r="B723" s="6" t="str">
        <f aca="false">INDEX(Data!$H$2:$H$3990,MATCH(A723,Data!$A$2:$A$3990,0))</f>
        <v>United Kingdom</v>
      </c>
      <c r="C723" s="19" t="n">
        <f aca="false">SUMIFS(Data!$I$2:$I$3990,Data!$A$2:$A$3990,A723,Data!$J$2:$J$3990,1)</f>
        <v>129.84</v>
      </c>
      <c r="D723" s="6" t="str">
        <f aca="false">IF(C723&gt;10000,"HIGH VALUE","")</f>
        <v/>
      </c>
    </row>
  </sheetData>
  <conditionalFormatting sqref="A4:D723">
    <cfRule type="expression" priority="2" aboveAverage="0" equalAverage="0" bottom="0" percent="0" rank="0" text="" dxfId="3">
      <formula>$C4&gt;10000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"/>
    <col collapsed="false" customWidth="true" hidden="false" outlineLevel="0" max="4" min="4" style="0" width="42"/>
    <col collapsed="false" customWidth="true" hidden="false" outlineLevel="0" max="6" min="5" style="0" width="14"/>
  </cols>
  <sheetData>
    <row r="1" customFormat="false" ht="16.15" hidden="false" customHeight="false" outlineLevel="0" collapsed="false">
      <c r="A1" s="5" t="s">
        <v>846</v>
      </c>
    </row>
    <row r="3" customFormat="false" ht="15" hidden="false" customHeight="false" outlineLevel="0" collapsed="false">
      <c r="A3" s="1" t="s">
        <v>120</v>
      </c>
      <c r="B3" s="1" t="s">
        <v>57</v>
      </c>
      <c r="D3" s="24" t="s">
        <v>847</v>
      </c>
      <c r="E3" s="1" t="s">
        <v>120</v>
      </c>
      <c r="F3" s="1" t="s">
        <v>57</v>
      </c>
    </row>
    <row r="4" customFormat="false" ht="15" hidden="false" customHeight="false" outlineLevel="0" collapsed="false">
      <c r="A4" s="25" t="n">
        <v>26.93</v>
      </c>
      <c r="B4" s="25" t="n">
        <v>178.6</v>
      </c>
      <c r="D4" s="7" t="s">
        <v>848</v>
      </c>
      <c r="E4" s="12" t="n">
        <f aca="false">AVERAGE(A4:A37)</f>
        <v>176.146176470588</v>
      </c>
      <c r="F4" s="12" t="n">
        <f aca="false">AVERAGE(B4:B50)</f>
        <v>775.889574468085</v>
      </c>
    </row>
    <row r="5" customFormat="false" ht="15" hidden="false" customHeight="false" outlineLevel="0" collapsed="false">
      <c r="A5" s="25" t="n">
        <v>109.25</v>
      </c>
      <c r="B5" s="25" t="n">
        <v>173.23</v>
      </c>
      <c r="D5" s="7" t="s">
        <v>849</v>
      </c>
      <c r="E5" s="12" t="n">
        <f aca="false">VAR(A4:A37)</f>
        <v>109462.558084938</v>
      </c>
      <c r="F5" s="12" t="n">
        <f aca="false">VAR(B4:B50)</f>
        <v>3556818.52879112</v>
      </c>
    </row>
    <row r="6" customFormat="false" ht="15" hidden="false" customHeight="false" outlineLevel="0" collapsed="false">
      <c r="A6" s="25" t="n">
        <v>256.62</v>
      </c>
      <c r="B6" s="25" t="n">
        <v>18.9</v>
      </c>
      <c r="D6" s="7" t="s">
        <v>850</v>
      </c>
      <c r="E6" s="13" t="n">
        <f aca="false">COUNT(A4:A37)</f>
        <v>34</v>
      </c>
      <c r="F6" s="13" t="n">
        <f aca="false">COUNT(B4:B50)</f>
        <v>47</v>
      </c>
    </row>
    <row r="7" customFormat="false" ht="15" hidden="false" customHeight="false" outlineLevel="0" collapsed="false">
      <c r="A7" s="25" t="n">
        <v>5.42</v>
      </c>
      <c r="B7" s="25" t="n">
        <v>28.86</v>
      </c>
      <c r="D7" s="7" t="s">
        <v>851</v>
      </c>
      <c r="E7" s="26" t="n">
        <v>0</v>
      </c>
    </row>
    <row r="8" customFormat="false" ht="15" hidden="false" customHeight="false" outlineLevel="0" collapsed="false">
      <c r="A8" s="25" t="n">
        <v>994.83</v>
      </c>
      <c r="B8" s="25" t="n">
        <v>54.54</v>
      </c>
      <c r="D8" s="7" t="s">
        <v>852</v>
      </c>
      <c r="E8" s="13" t="n">
        <f aca="false">ROUND((E5/E6+F5/F6)^2/((E5/E6)^2/(E6-1)+(F5/F6)^2/(F6-1)),0)</f>
        <v>50</v>
      </c>
    </row>
    <row r="9" customFormat="false" ht="15" hidden="false" customHeight="false" outlineLevel="0" collapsed="false">
      <c r="A9" s="25" t="n">
        <v>1743.74</v>
      </c>
      <c r="B9" s="25" t="n">
        <v>8356.81</v>
      </c>
      <c r="D9" s="7" t="s">
        <v>853</v>
      </c>
      <c r="E9" s="27" t="n">
        <f aca="false">(E4-F4-E7)/SQRT(E5/E6+F5/F6)</f>
        <v>-2.13519070674225</v>
      </c>
    </row>
    <row r="10" customFormat="false" ht="15" hidden="false" customHeight="false" outlineLevel="0" collapsed="false">
      <c r="A10" s="25" t="n">
        <v>75.26</v>
      </c>
      <c r="B10" s="25" t="n">
        <v>18.31</v>
      </c>
      <c r="D10" s="7" t="s">
        <v>854</v>
      </c>
      <c r="E10" s="27" t="n">
        <f aca="false">TTEST(A4:A37,B4:B50,2,3)</f>
        <v>0.0376814199255155</v>
      </c>
    </row>
    <row r="11" customFormat="false" ht="15" hidden="false" customHeight="false" outlineLevel="0" collapsed="false">
      <c r="A11" s="25" t="n">
        <v>6.63</v>
      </c>
      <c r="B11" s="25" t="n">
        <v>3140.61</v>
      </c>
      <c r="D11" s="7" t="s">
        <v>855</v>
      </c>
      <c r="E11" s="28" t="n">
        <v>0.05</v>
      </c>
    </row>
    <row r="12" customFormat="false" ht="15" hidden="false" customHeight="false" outlineLevel="0" collapsed="false">
      <c r="A12" s="25" t="n">
        <v>24.21</v>
      </c>
      <c r="B12" s="25" t="n">
        <v>36.99</v>
      </c>
      <c r="D12" s="7" t="s">
        <v>856</v>
      </c>
      <c r="E12" s="27" t="n">
        <f aca="false">TINV(E11,E8)</f>
        <v>2.00855911210076</v>
      </c>
    </row>
    <row r="13" customFormat="false" ht="15" hidden="false" customHeight="false" outlineLevel="0" collapsed="false">
      <c r="A13" s="25" t="n">
        <v>300.07</v>
      </c>
      <c r="B13" s="25" t="n">
        <v>6301.44</v>
      </c>
    </row>
    <row r="14" customFormat="false" ht="15" hidden="false" customHeight="false" outlineLevel="0" collapsed="false">
      <c r="A14" s="25" t="n">
        <v>45.36</v>
      </c>
      <c r="B14" s="25" t="n">
        <v>236.56</v>
      </c>
      <c r="D14" s="9" t="s">
        <v>857</v>
      </c>
      <c r="E14" s="29" t="str">
        <f aca="false">IF(E10&lt;E11,"Significant difference (reject H0)","Not significant (fail to reject H0)")</f>
        <v>Significant difference (reject H0)</v>
      </c>
      <c r="F14" s="29"/>
      <c r="G14" s="29"/>
      <c r="H14" s="29"/>
    </row>
    <row r="15" customFormat="false" ht="15" hidden="false" customHeight="false" outlineLevel="0" collapsed="false">
      <c r="A15" s="25" t="n">
        <v>18.2</v>
      </c>
      <c r="B15" s="25" t="n">
        <v>59.71</v>
      </c>
    </row>
    <row r="16" customFormat="false" ht="15" hidden="false" customHeight="false" outlineLevel="0" collapsed="false">
      <c r="A16" s="25" t="n">
        <v>281.01</v>
      </c>
      <c r="B16" s="25" t="n">
        <v>428.83</v>
      </c>
      <c r="D16" s="11" t="s">
        <v>858</v>
      </c>
    </row>
    <row r="17" customFormat="false" ht="15" hidden="false" customHeight="false" outlineLevel="0" collapsed="false">
      <c r="A17" s="25" t="n">
        <v>40.36</v>
      </c>
      <c r="B17" s="25" t="n">
        <v>120.98</v>
      </c>
    </row>
    <row r="18" customFormat="false" ht="15" hidden="false" customHeight="false" outlineLevel="0" collapsed="false">
      <c r="A18" s="25" t="n">
        <v>129.87</v>
      </c>
      <c r="B18" s="25" t="n">
        <v>26.46</v>
      </c>
    </row>
    <row r="19" customFormat="false" ht="15" hidden="false" customHeight="false" outlineLevel="0" collapsed="false">
      <c r="A19" s="25" t="n">
        <v>11.61</v>
      </c>
      <c r="B19" s="25" t="n">
        <v>7150.98</v>
      </c>
    </row>
    <row r="20" customFormat="false" ht="15" hidden="false" customHeight="false" outlineLevel="0" collapsed="false">
      <c r="A20" s="25" t="n">
        <v>21.4</v>
      </c>
      <c r="B20" s="25" t="n">
        <v>80.56</v>
      </c>
    </row>
    <row r="21" customFormat="false" ht="15" hidden="false" customHeight="false" outlineLevel="0" collapsed="false">
      <c r="A21" s="25" t="n">
        <v>26.33</v>
      </c>
      <c r="B21" s="25" t="n">
        <v>88.53</v>
      </c>
    </row>
    <row r="22" customFormat="false" ht="15" hidden="false" customHeight="false" outlineLevel="0" collapsed="false">
      <c r="A22" s="25" t="n">
        <v>37.68</v>
      </c>
      <c r="B22" s="25" t="n">
        <v>58.17</v>
      </c>
    </row>
    <row r="23" customFormat="false" ht="15" hidden="false" customHeight="false" outlineLevel="0" collapsed="false">
      <c r="A23" s="25" t="n">
        <v>160.7</v>
      </c>
      <c r="B23" s="25" t="n">
        <v>153.62</v>
      </c>
    </row>
    <row r="24" customFormat="false" ht="15" hidden="false" customHeight="false" outlineLevel="0" collapsed="false">
      <c r="A24" s="25" t="n">
        <v>42.24</v>
      </c>
      <c r="B24" s="25" t="n">
        <v>172.12</v>
      </c>
    </row>
    <row r="25" customFormat="false" ht="15" hidden="false" customHeight="false" outlineLevel="0" collapsed="false">
      <c r="A25" s="25" t="n">
        <v>351.9</v>
      </c>
      <c r="B25" s="25" t="n">
        <v>319.4</v>
      </c>
    </row>
    <row r="26" customFormat="false" ht="15" hidden="false" customHeight="false" outlineLevel="0" collapsed="false">
      <c r="A26" s="25" t="n">
        <v>64.04</v>
      </c>
      <c r="B26" s="25" t="n">
        <v>4274.88</v>
      </c>
    </row>
    <row r="27" customFormat="false" ht="15" hidden="false" customHeight="false" outlineLevel="0" collapsed="false">
      <c r="A27" s="25" t="n">
        <v>65.56</v>
      </c>
      <c r="B27" s="25" t="n">
        <v>181.61</v>
      </c>
    </row>
    <row r="28" customFormat="false" ht="15" hidden="false" customHeight="false" outlineLevel="0" collapsed="false">
      <c r="A28" s="25" t="n">
        <v>43.74</v>
      </c>
      <c r="B28" s="25" t="n">
        <v>805.56</v>
      </c>
    </row>
    <row r="29" customFormat="false" ht="15" hidden="false" customHeight="false" outlineLevel="0" collapsed="false">
      <c r="A29" s="25" t="n">
        <v>140.59</v>
      </c>
      <c r="B29" s="25" t="n">
        <v>9.75</v>
      </c>
    </row>
    <row r="30" customFormat="false" ht="15" hidden="false" customHeight="false" outlineLevel="0" collapsed="false">
      <c r="A30" s="25" t="n">
        <v>109.68</v>
      </c>
      <c r="B30" s="25" t="n">
        <v>354.97</v>
      </c>
    </row>
    <row r="31" customFormat="false" ht="15" hidden="false" customHeight="false" outlineLevel="0" collapsed="false">
      <c r="A31" s="25" t="n">
        <v>24.06</v>
      </c>
      <c r="B31" s="25" t="n">
        <v>29.52</v>
      </c>
    </row>
    <row r="32" customFormat="false" ht="15" hidden="false" customHeight="false" outlineLevel="0" collapsed="false">
      <c r="A32" s="25" t="n">
        <v>14.86</v>
      </c>
      <c r="B32" s="25" t="n">
        <v>37.11</v>
      </c>
    </row>
    <row r="33" customFormat="false" ht="15" hidden="false" customHeight="false" outlineLevel="0" collapsed="false">
      <c r="A33" s="25" t="n">
        <v>118.86</v>
      </c>
      <c r="B33" s="25" t="n">
        <v>301.12</v>
      </c>
    </row>
    <row r="34" customFormat="false" ht="15" hidden="false" customHeight="false" outlineLevel="0" collapsed="false">
      <c r="A34" s="25" t="n">
        <v>294.04</v>
      </c>
      <c r="B34" s="25" t="n">
        <v>298.31</v>
      </c>
    </row>
    <row r="35" customFormat="false" ht="15" hidden="false" customHeight="false" outlineLevel="0" collapsed="false">
      <c r="A35" s="25" t="n">
        <v>129.62</v>
      </c>
      <c r="B35" s="25" t="n">
        <v>1111.26</v>
      </c>
    </row>
    <row r="36" customFormat="false" ht="15" hidden="false" customHeight="false" outlineLevel="0" collapsed="false">
      <c r="A36" s="25" t="n">
        <v>208.17</v>
      </c>
      <c r="B36" s="25" t="n">
        <v>72.9</v>
      </c>
    </row>
    <row r="37" customFormat="false" ht="15" hidden="false" customHeight="false" outlineLevel="0" collapsed="false">
      <c r="A37" s="25" t="n">
        <v>66.13</v>
      </c>
      <c r="B37" s="25" t="n">
        <v>78.12</v>
      </c>
    </row>
    <row r="38" customFormat="false" ht="15" hidden="false" customHeight="false" outlineLevel="0" collapsed="false">
      <c r="B38" s="25" t="n">
        <v>7.26</v>
      </c>
    </row>
    <row r="39" customFormat="false" ht="15" hidden="false" customHeight="false" outlineLevel="0" collapsed="false">
      <c r="B39" s="25" t="n">
        <v>87.21</v>
      </c>
    </row>
    <row r="40" customFormat="false" ht="15" hidden="false" customHeight="false" outlineLevel="0" collapsed="false">
      <c r="B40" s="25" t="n">
        <v>226.14</v>
      </c>
    </row>
    <row r="41" customFormat="false" ht="15" hidden="false" customHeight="false" outlineLevel="0" collapsed="false">
      <c r="B41" s="25" t="n">
        <v>87.17</v>
      </c>
    </row>
    <row r="42" customFormat="false" ht="15" hidden="false" customHeight="false" outlineLevel="0" collapsed="false">
      <c r="B42" s="25" t="n">
        <v>85.17</v>
      </c>
    </row>
    <row r="43" customFormat="false" ht="15" hidden="false" customHeight="false" outlineLevel="0" collapsed="false">
      <c r="B43" s="25" t="n">
        <v>195.84</v>
      </c>
    </row>
    <row r="44" customFormat="false" ht="15" hidden="false" customHeight="false" outlineLevel="0" collapsed="false">
      <c r="B44" s="25" t="n">
        <v>18.18</v>
      </c>
    </row>
    <row r="45" customFormat="false" ht="15" hidden="false" customHeight="false" outlineLevel="0" collapsed="false">
      <c r="B45" s="25" t="n">
        <v>193.13</v>
      </c>
    </row>
    <row r="46" customFormat="false" ht="15" hidden="false" customHeight="false" outlineLevel="0" collapsed="false">
      <c r="B46" s="25" t="n">
        <v>380.63</v>
      </c>
    </row>
    <row r="47" customFormat="false" ht="15" hidden="false" customHeight="false" outlineLevel="0" collapsed="false">
      <c r="B47" s="25" t="n">
        <v>170.23</v>
      </c>
    </row>
    <row r="48" customFormat="false" ht="15" hidden="false" customHeight="false" outlineLevel="0" collapsed="false">
      <c r="B48" s="25" t="n">
        <v>118.75</v>
      </c>
    </row>
    <row r="49" customFormat="false" ht="15" hidden="false" customHeight="false" outlineLevel="0" collapsed="false">
      <c r="B49" s="25" t="n">
        <v>124.13</v>
      </c>
    </row>
    <row r="50" customFormat="false" ht="15" hidden="false" customHeight="false" outlineLevel="0" collapsed="false">
      <c r="B50" s="25" t="n">
        <v>13.65</v>
      </c>
    </row>
  </sheetData>
  <mergeCells count="1">
    <mergeCell ref="E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5" t="s">
        <v>859</v>
      </c>
    </row>
    <row r="3" customFormat="false" ht="15" hidden="false" customHeight="false" outlineLevel="0" collapsed="false">
      <c r="A3" s="16" t="s">
        <v>860</v>
      </c>
    </row>
    <row r="4" customFormat="false" ht="75" hidden="false" customHeight="true" outlineLevel="0" collapsed="false">
      <c r="A4" s="30" t="s">
        <v>861</v>
      </c>
    </row>
    <row r="6" customFormat="false" ht="15" hidden="false" customHeight="false" outlineLevel="0" collapsed="false">
      <c r="A6" s="16" t="s">
        <v>862</v>
      </c>
    </row>
    <row r="7" customFormat="false" ht="61.5" hidden="false" customHeight="true" outlineLevel="0" collapsed="false">
      <c r="A7" s="30" t="s">
        <v>863</v>
      </c>
    </row>
    <row r="8" customFormat="false" ht="61.5" hidden="false" customHeight="true" outlineLevel="0" collapsed="false">
      <c r="A8" s="30" t="s">
        <v>864</v>
      </c>
    </row>
    <row r="9" customFormat="false" ht="61.5" hidden="false" customHeight="true" outlineLevel="0" collapsed="false">
      <c r="A9" s="30" t="s">
        <v>865</v>
      </c>
    </row>
    <row r="10" customFormat="false" ht="61.5" hidden="false" customHeight="true" outlineLevel="0" collapsed="false">
      <c r="A10" s="30" t="s">
        <v>866</v>
      </c>
    </row>
    <row r="11" customFormat="false" ht="61.5" hidden="false" customHeight="true" outlineLevel="0" collapsed="false">
      <c r="A11" s="30" t="s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2026-10-24T16:19:28Z</dcterms:created>
  <dc:creator>openpyxl</dc:creator>
  <dc:description/>
  <dc:language>en-US</dc:language>
  <cp:lastModifiedBy/>
  <dcterms:modified xsi:type="dcterms:W3CDTF">2026-10-24T16:19:28Z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