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 1" sheetId="1" state="visible" r:id="rId3"/>
    <sheet name="Task 2" sheetId="2" state="visible" r:id="rId4"/>
    <sheet name="Task 3" sheetId="3" state="visible" r:id="rId5"/>
    <sheet name="Task 4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<sst xmlns="http://schemas.openxmlformats.org/spreadsheetml/2006/main" count="81" uniqueCount="75">
  <si>
    <t xml:space="preserve">Task 1: Create the 'Order Amount' Column</t>
  </si>
  <si>
    <t xml:space="preserve">Simulated Zomato order values (₹100 to ₹1000) for one day: 20 orders.</t>
  </si>
  <si>
    <t xml:space="preserve">S.No.</t>
  </si>
  <si>
    <t xml:space="preserve">Order Amount</t>
  </si>
  <si>
    <t xml:space="preserve">Task Details</t>
  </si>
  <si>
    <t xml:space="preserve">Create a column named 'Order Amount' with 20 random numbers between 100 and 1000.</t>
  </si>
  <si>
    <t xml:space="preserve">Blue values = input data (typed in). Black = formulas.</t>
  </si>
  <si>
    <t xml:space="preserve">To generate fresh random data: use =RANDBETWEEN(100,1000) in B5 and fill down to B24, then Copy &gt; Paste Special &gt; Values.</t>
  </si>
  <si>
    <t xml:space="preserve">Fixed values are used here so that one value (₹275) repeats; MODE needs a repeated value to return a result.</t>
  </si>
  <si>
    <t xml:space="preserve">Total orders</t>
  </si>
  <si>
    <t xml:space="preserve">Task 2: Mean, Median and Mode</t>
  </si>
  <si>
    <t xml:space="preserve">Calculated from the 'Order Amount' column in Task 1 (cells B5:B24) using Excel functions.</t>
  </si>
  <si>
    <t xml:space="preserve">#</t>
  </si>
  <si>
    <t xml:space="preserve">Measure</t>
  </si>
  <si>
    <t xml:space="preserve">Excel Formula Used</t>
  </si>
  <si>
    <t xml:space="preserve">Result</t>
  </si>
  <si>
    <t xml:space="preserve">How it is calculated</t>
  </si>
  <si>
    <t xml:space="preserve">Mean</t>
  </si>
  <si>
    <t xml:space="preserve">=AVERAGE(B5:B24)</t>
  </si>
  <si>
    <t xml:space="preserve">Sum of all order amounts ÷ number of orders.</t>
  </si>
  <si>
    <t xml:space="preserve">Median</t>
  </si>
  <si>
    <t xml:space="preserve">=MEDIAN(B5:B24)</t>
  </si>
  <si>
    <t xml:space="preserve">Middle value of the sorted data. With 20 values, average of the 10th and 11th.</t>
  </si>
  <si>
    <t xml:space="preserve">Mode</t>
  </si>
  <si>
    <t xml:space="preserve">=MODE(B5:B24)</t>
  </si>
  <si>
    <t xml:space="preserve">The most frequently occurring order amount.</t>
  </si>
  <si>
    <t xml:space="preserve">Supporting Statistics</t>
  </si>
  <si>
    <t xml:space="preserve">Description</t>
  </si>
  <si>
    <t xml:space="preserve">Count</t>
  </si>
  <si>
    <t xml:space="preserve">=COUNT(B5:B24)</t>
  </si>
  <si>
    <t xml:space="preserve">Number of orders (population size).</t>
  </si>
  <si>
    <t xml:space="preserve">Sum</t>
  </si>
  <si>
    <t xml:space="preserve">=SUM(B5:B24)</t>
  </si>
  <si>
    <t xml:space="preserve">Total value of all orders for the day.</t>
  </si>
  <si>
    <t xml:space="preserve">Minimum</t>
  </si>
  <si>
    <t xml:space="preserve">=MIN(B5:B24)</t>
  </si>
  <si>
    <t xml:space="preserve">Smallest order.</t>
  </si>
  <si>
    <t xml:space="preserve">Maximum</t>
  </si>
  <si>
    <t xml:space="preserve">=MAX(B5:B24)</t>
  </si>
  <si>
    <t xml:space="preserve">Largest order.</t>
  </si>
  <si>
    <t xml:space="preserve">Interpretation</t>
  </si>
  <si>
    <t xml:space="preserve">Task 3: Sample Mean vs Population Mean</t>
  </si>
  <si>
    <t xml:space="preserve">Sample = first 5 values of 'Order Amount'. Population = all 20 orders.</t>
  </si>
  <si>
    <t xml:space="preserve">Sample Order (first 5)</t>
  </si>
  <si>
    <t xml:space="preserve">Order 1</t>
  </si>
  <si>
    <t xml:space="preserve">Order 2</t>
  </si>
  <si>
    <t xml:space="preserve">Order 3</t>
  </si>
  <si>
    <t xml:space="preserve">Order 4</t>
  </si>
  <si>
    <t xml:space="preserve">Order 5</t>
  </si>
  <si>
    <t xml:space="preserve">Comparison</t>
  </si>
  <si>
    <t xml:space="preserve">Value</t>
  </si>
  <si>
    <t xml:space="preserve">Sample Mean (first 5)</t>
  </si>
  <si>
    <t xml:space="preserve">Population Mean (all 20)</t>
  </si>
  <si>
    <t xml:space="preserve">Difference (Sample − Population)</t>
  </si>
  <si>
    <t xml:space="preserve">Difference (%)</t>
  </si>
  <si>
    <t xml:space="preserve">Observation</t>
  </si>
  <si>
    <t xml:space="preserve">Task 4: Population vs Sample</t>
  </si>
  <si>
    <t xml:space="preserve">Explained using the Zomato order data from Task 1.</t>
  </si>
  <si>
    <t xml:space="preserve">Aspect</t>
  </si>
  <si>
    <t xml:space="preserve">Population</t>
  </si>
  <si>
    <t xml:space="preserve">Sample</t>
  </si>
  <si>
    <t xml:space="preserve">Definition</t>
  </si>
  <si>
    <t xml:space="preserve">The complete set of data we want to study.</t>
  </si>
  <si>
    <t xml:space="preserve">A smaller subset taken from the population.</t>
  </si>
  <si>
    <t xml:space="preserve">In this assignment</t>
  </si>
  <si>
    <t xml:space="preserve">All 20 Zomato orders placed during the day.</t>
  </si>
  <si>
    <t xml:space="preserve">The first 5 orders (Task 3).</t>
  </si>
  <si>
    <t xml:space="preserve">Size (n)</t>
  </si>
  <si>
    <t xml:space="preserve">Nature of result</t>
  </si>
  <si>
    <t xml:space="preserve">True value (parameter).</t>
  </si>
  <si>
    <t xml:space="preserve">Estimate of the true value (statistic); has sampling error.</t>
  </si>
  <si>
    <t xml:space="preserve">Explanation</t>
  </si>
  <si>
    <t xml:space="preserve">The population is the complete set of data we want to study. In this example it is all 20 Zomato orders placed during the day, and its mean of ₹486.25 is the true average order value. A sample is a smaller subset taken from that population. Here, the first 5 orders form a sample, and their mean of ₹474 is only an estimate of the true average. The sample result differs slightly from the population result, which shows that samples carry some sampling error.</t>
  </si>
  <si>
    <t xml:space="preserve">Which is more practical for a food delivery company?</t>
  </si>
  <si>
    <t xml:space="preserve">For a company like Zomato, using a sample is usually more practical. It receives lakhs of orders every day across many cities, so analysing every order for each decision would be slow, costly and often unnecessary. A well-chosen, random sample can estimate average order value, delivery time or customer preferences quickly and cheaply, and still be accurate enough to guide decisions on pricing, offers and delivery staffing.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</si>
</sst>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₹#,##0"/>
    <numFmt numFmtId="166" formatCode="General"/>
    <numFmt numFmtId="167" formatCode="\₹#,##0.00"/>
    <numFmt numFmtId="168" formatCode="0"/>
    <numFmt numFmtId="169" formatCode="\₹#,##0.00;[RED]&quot;-₹&quot;#,##0.00"/>
    <numFmt numFmtId="170" formatCode="0.0%;[RED]\-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color rgb="FFE2374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23744"/>
        <bgColor rgb="FF993366"/>
      </patternFill>
    </fill>
    <fill>
      <patternFill patternType="solid">
        <fgColor rgb="FFFDECEE"/>
        <bgColor rgb="FFF5F5F5"/>
      </patternFill>
    </fill>
    <fill>
      <patternFill patternType="solid">
        <fgColor rgb="FF2D2D2D"/>
        <bgColor rgb="FF333300"/>
      </patternFill>
    </fill>
    <fill>
      <patternFill patternType="solid">
        <fgColor rgb="FFF5F5F5"/>
        <bgColor rgb="FFFDEC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E23744"/>
      <rgbColor rgb="FFF5F5F5"/>
      <rgbColor rgb="FFFDEC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878787"/>
      <rgbColor rgb="FF003366"/>
      <rgbColor rgb="FF339966"/>
      <rgbColor rgb="FF003300"/>
      <rgbColor rgb="FF333300"/>
      <rgbColor rgb="FF993300"/>
      <rgbColor rgb="FF993366"/>
      <rgbColor rgb="FF333399"/>
      <rgbColor rgb="FF2D2D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Order Amount by Order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'Task 1'!B4</c:f>
              <c:strCache>
                <c:ptCount val="1"/>
                <c:pt idx="0">
                  <c:v>Order Amount</c:v>
                </c:pt>
              </c:strCache>
            </c:strRef>
          </c:tx>
          <c:spPr>
            <a:solidFill>
              <a:srgbClr val="e2374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'Task 1'!$A$5:$A$24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'Task 1'!$B$5:$B$24</c:f>
              <c:numCache>
                <c:formatCode>\₹#,##0</c:formatCode>
                <c:ptCount val="20"/>
                <c:pt idx="0">
                  <c:v>450</c:v>
                </c:pt>
                <c:pt idx="1">
                  <c:v>275</c:v>
                </c:pt>
                <c:pt idx="2">
                  <c:v>620</c:v>
                </c:pt>
                <c:pt idx="3">
                  <c:v>180</c:v>
                </c:pt>
                <c:pt idx="4">
                  <c:v>845</c:v>
                </c:pt>
                <c:pt idx="5">
                  <c:v>350</c:v>
                </c:pt>
                <c:pt idx="6">
                  <c:v>275</c:v>
                </c:pt>
                <c:pt idx="7">
                  <c:v>990</c:v>
                </c:pt>
                <c:pt idx="8">
                  <c:v>130</c:v>
                </c:pt>
                <c:pt idx="9">
                  <c:v>560</c:v>
                </c:pt>
                <c:pt idx="10">
                  <c:v>720</c:v>
                </c:pt>
                <c:pt idx="11">
                  <c:v>275</c:v>
                </c:pt>
                <c:pt idx="12">
                  <c:v>410</c:v>
                </c:pt>
                <c:pt idx="13">
                  <c:v>305</c:v>
                </c:pt>
                <c:pt idx="14">
                  <c:v>880</c:v>
                </c:pt>
                <c:pt idx="15">
                  <c:v>150</c:v>
                </c:pt>
                <c:pt idx="16">
                  <c:v>640</c:v>
                </c:pt>
                <c:pt idx="17">
                  <c:v>510</c:v>
                </c:pt>
                <c:pt idx="18">
                  <c:v>235</c:v>
                </c:pt>
                <c:pt idx="19">
                  <c:v>925</c:v>
                </c:pt>
              </c:numCache>
            </c:numRef>
          </c:val>
        </c:ser>
        <c:gapWidth val="150"/>
        <c:overlap val="0"/>
        <c:axId val="16949704"/>
        <c:axId val="17130327"/>
      </c:barChart>
      <c:catAx>
        <c:axId val="1694970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Order No.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130327"/>
        <c:crosses val="autoZero"/>
        <c:auto val="1"/>
        <c:lblAlgn val="ctr"/>
        <c:lblOffset val="100"/>
        <c:noMultiLvlLbl val="0"/>
      </c:catAx>
      <c:valAx>
        <c:axId val="171303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94970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Sample Mean vs Population Mean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e2374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'Task 3'!$A$12:$A$13</c:f>
              <c:strCache>
                <c:ptCount val="2"/>
                <c:pt idx="0">
                  <c:v>Sample Mean (first 5)</c:v>
                </c:pt>
                <c:pt idx="1">
                  <c:v>Population Mean (all 20)</c:v>
                </c:pt>
              </c:strCache>
            </c:strRef>
          </c:cat>
          <c:val>
            <c:numRef>
              <c:f>'Task 3'!$B$12:$B$13</c:f>
              <c:numCache>
                <c:formatCode>\₹#,##0.00</c:formatCode>
                <c:ptCount val="2"/>
                <c:pt idx="0">
                  <c:v>474</c:v>
                </c:pt>
                <c:pt idx="1">
                  <c:v>486.25</c:v>
                </c:pt>
              </c:numCache>
            </c:numRef>
          </c:val>
        </c:ser>
        <c:gapWidth val="150"/>
        <c:overlap val="0"/>
        <c:axId val="9524040"/>
        <c:axId val="73373405"/>
      </c:barChart>
      <c:catAx>
        <c:axId val="9524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373405"/>
        <c:crosses val="autoZero"/>
        <c:auto val="1"/>
        <c:lblAlgn val="ctr"/>
        <c:lblOffset val="100"/>
        <c:noMultiLvlLbl val="0"/>
      </c:catAx>
      <c:valAx>
        <c:axId val="73373405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2404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14</xdr:row>
      <xdr:rowOff>0</xdr:rowOff>
    </xdr:from>
    <xdr:to>
      <xdr:col>6</xdr:col>
      <xdr:colOff>448560</xdr:colOff>
      <xdr:row>29</xdr:row>
      <xdr:rowOff>21960</xdr:rowOff>
    </xdr:to>
    <xdr:graphicFrame>
      <xdr:nvGraphicFramePr>
        <xdr:cNvPr id="0" name="Chart 1"/>
        <xdr:cNvGraphicFramePr/>
      </xdr:nvGraphicFramePr>
      <xdr:xfrm>
        <a:off x="2537640" y="32288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3</xdr:row>
      <xdr:rowOff>0</xdr:rowOff>
    </xdr:from>
    <xdr:to>
      <xdr:col>7</xdr:col>
      <xdr:colOff>732600</xdr:colOff>
      <xdr:row>16</xdr:row>
      <xdr:rowOff>174600</xdr:rowOff>
    </xdr:to>
    <xdr:graphicFrame>
      <xdr:nvGraphicFramePr>
        <xdr:cNvPr id="1" name="Chart 1"/>
        <xdr:cNvGraphicFramePr/>
      </xdr:nvGraphicFramePr>
      <xdr:xfrm>
        <a:off x="4229280" y="101916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23744"/>
    <pageSetUpPr fitToPage="true"/>
  </sheetPr>
  <dimension ref="A1:D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4"/>
    <col collapsed="false" customWidth="true" hidden="false" outlineLevel="0" max="4" min="4" style="0" width="58"/>
  </cols>
  <sheetData>
    <row r="1" customFormat="false" ht="33.75" hidden="false" customHeight="true" outlineLevel="0" collapsed="false">
      <c r="A1" s="1" t="s">
        <v>0</v>
      </c>
      <c r="B1" s="1"/>
      <c r="C1" s="1"/>
      <c r="D1" s="1"/>
    </row>
    <row r="2" customFormat="false" ht="31.5" hidden="false" customHeight="true" outlineLevel="0" collapsed="false">
      <c r="A2" s="2" t="s">
        <v>1</v>
      </c>
      <c r="B2" s="2"/>
      <c r="C2" s="2"/>
      <c r="D2" s="2"/>
    </row>
    <row r="4" customFormat="false" ht="24" hidden="false" customHeight="true" outlineLevel="0" collapsed="false">
      <c r="A4" s="3" t="s">
        <v>2</v>
      </c>
      <c r="B4" s="3" t="s">
        <v>3</v>
      </c>
      <c r="D4" s="4" t="s">
        <v>4</v>
      </c>
    </row>
    <row r="5" customFormat="false" ht="15" hidden="false" customHeight="true" outlineLevel="0" collapsed="false">
      <c r="A5" s="5" t="n">
        <v>1</v>
      </c>
      <c r="B5" s="6" t="n">
        <v>450</v>
      </c>
      <c r="D5" s="7" t="s">
        <v>5</v>
      </c>
    </row>
    <row r="6" customFormat="false" ht="15" hidden="false" customHeight="false" outlineLevel="0" collapsed="false">
      <c r="A6" s="8" t="n">
        <v>2</v>
      </c>
      <c r="B6" s="9" t="n">
        <v>275</v>
      </c>
      <c r="D6" s="7"/>
    </row>
    <row r="7" customFormat="false" ht="15" hidden="false" customHeight="true" outlineLevel="0" collapsed="false">
      <c r="A7" s="5" t="n">
        <v>3</v>
      </c>
      <c r="B7" s="6" t="n">
        <v>620</v>
      </c>
      <c r="D7" s="7" t="s">
        <v>6</v>
      </c>
    </row>
    <row r="8" customFormat="false" ht="15" hidden="false" customHeight="false" outlineLevel="0" collapsed="false">
      <c r="A8" s="8" t="n">
        <v>4</v>
      </c>
      <c r="B8" s="9" t="n">
        <v>180</v>
      </c>
      <c r="D8" s="7"/>
    </row>
    <row r="9" customFormat="false" ht="15" hidden="false" customHeight="true" outlineLevel="0" collapsed="false">
      <c r="A9" s="5" t="n">
        <v>5</v>
      </c>
      <c r="B9" s="6" t="n">
        <v>845</v>
      </c>
      <c r="D9" s="7" t="s">
        <v>7</v>
      </c>
    </row>
    <row r="10" customFormat="false" ht="15" hidden="false" customHeight="false" outlineLevel="0" collapsed="false">
      <c r="A10" s="8" t="n">
        <v>6</v>
      </c>
      <c r="B10" s="9" t="n">
        <v>350</v>
      </c>
      <c r="D10" s="7"/>
    </row>
    <row r="11" customFormat="false" ht="15" hidden="false" customHeight="false" outlineLevel="0" collapsed="false">
      <c r="A11" s="5" t="n">
        <v>7</v>
      </c>
      <c r="B11" s="6" t="n">
        <v>275</v>
      </c>
      <c r="D11" s="7"/>
    </row>
    <row r="12" customFormat="false" ht="15" hidden="false" customHeight="true" outlineLevel="0" collapsed="false">
      <c r="A12" s="8" t="n">
        <v>8</v>
      </c>
      <c r="B12" s="9" t="n">
        <v>990</v>
      </c>
      <c r="D12" s="7" t="s">
        <v>8</v>
      </c>
    </row>
    <row r="13" customFormat="false" ht="15" hidden="false" customHeight="false" outlineLevel="0" collapsed="false">
      <c r="A13" s="5" t="n">
        <v>9</v>
      </c>
      <c r="B13" s="6" t="n">
        <v>130</v>
      </c>
      <c r="D13" s="7"/>
    </row>
    <row r="14" customFormat="false" ht="15" hidden="false" customHeight="false" outlineLevel="0" collapsed="false">
      <c r="A14" s="8" t="n">
        <v>10</v>
      </c>
      <c r="B14" s="9" t="n">
        <v>560</v>
      </c>
    </row>
    <row r="15" customFormat="false" ht="15" hidden="false" customHeight="false" outlineLevel="0" collapsed="false">
      <c r="A15" s="5" t="n">
        <v>11</v>
      </c>
      <c r="B15" s="6" t="n">
        <v>720</v>
      </c>
    </row>
    <row r="16" customFormat="false" ht="15" hidden="false" customHeight="false" outlineLevel="0" collapsed="false">
      <c r="A16" s="8" t="n">
        <v>12</v>
      </c>
      <c r="B16" s="9" t="n">
        <v>275</v>
      </c>
    </row>
    <row r="17" customFormat="false" ht="15" hidden="false" customHeight="false" outlineLevel="0" collapsed="false">
      <c r="A17" s="5" t="n">
        <v>13</v>
      </c>
      <c r="B17" s="6" t="n">
        <v>410</v>
      </c>
    </row>
    <row r="18" customFormat="false" ht="15" hidden="false" customHeight="false" outlineLevel="0" collapsed="false">
      <c r="A18" s="8" t="n">
        <v>14</v>
      </c>
      <c r="B18" s="9" t="n">
        <v>305</v>
      </c>
    </row>
    <row r="19" customFormat="false" ht="15" hidden="false" customHeight="false" outlineLevel="0" collapsed="false">
      <c r="A19" s="5" t="n">
        <v>15</v>
      </c>
      <c r="B19" s="6" t="n">
        <v>880</v>
      </c>
    </row>
    <row r="20" customFormat="false" ht="15" hidden="false" customHeight="false" outlineLevel="0" collapsed="false">
      <c r="A20" s="8" t="n">
        <v>16</v>
      </c>
      <c r="B20" s="9" t="n">
        <v>150</v>
      </c>
    </row>
    <row r="21" customFormat="false" ht="15" hidden="false" customHeight="false" outlineLevel="0" collapsed="false">
      <c r="A21" s="5" t="n">
        <v>17</v>
      </c>
      <c r="B21" s="6" t="n">
        <v>640</v>
      </c>
    </row>
    <row r="22" customFormat="false" ht="15" hidden="false" customHeight="false" outlineLevel="0" collapsed="false">
      <c r="A22" s="8" t="n">
        <v>18</v>
      </c>
      <c r="B22" s="9" t="n">
        <v>510</v>
      </c>
    </row>
    <row r="23" customFormat="false" ht="15" hidden="false" customHeight="false" outlineLevel="0" collapsed="false">
      <c r="A23" s="5" t="n">
        <v>19</v>
      </c>
      <c r="B23" s="6" t="n">
        <v>235</v>
      </c>
    </row>
    <row r="24" customFormat="false" ht="15" hidden="false" customHeight="false" outlineLevel="0" collapsed="false">
      <c r="A24" s="8" t="n">
        <v>20</v>
      </c>
      <c r="B24" s="9" t="n">
        <v>925</v>
      </c>
    </row>
    <row r="26" customFormat="false" ht="15" hidden="false" customHeight="false" outlineLevel="0" collapsed="false">
      <c r="A26" s="10" t="s">
        <v>9</v>
      </c>
      <c r="B26" s="11" t="n">
        <f aca="false">COUNT(B5:B24)</f>
        <v>20</v>
      </c>
    </row>
  </sheetData>
  <mergeCells count="6">
    <mergeCell ref="A1:D1"/>
    <mergeCell ref="A2:D2"/>
    <mergeCell ref="D5:D6"/>
    <mergeCell ref="D7:D8"/>
    <mergeCell ref="D9:D11"/>
    <mergeCell ref="D12:D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2D2D"/>
    <pageSetUpPr fitToPage="tru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34"/>
    <col collapsed="false" customWidth="true" hidden="false" outlineLevel="0" max="4" min="4" style="0" width="16"/>
    <col collapsed="false" customWidth="true" hidden="false" outlineLevel="0" max="5" min="5" style="0" width="62"/>
  </cols>
  <sheetData>
    <row r="1" customFormat="false" ht="33.75" hidden="false" customHeight="true" outlineLevel="0" collapsed="false">
      <c r="A1" s="1" t="s">
        <v>10</v>
      </c>
      <c r="B1" s="1"/>
      <c r="C1" s="1"/>
      <c r="D1" s="1"/>
      <c r="E1" s="1"/>
    </row>
    <row r="2" customFormat="false" ht="31.5" hidden="false" customHeight="true" outlineLevel="0" collapsed="false">
      <c r="A2" s="2" t="s">
        <v>11</v>
      </c>
      <c r="B2" s="2"/>
      <c r="C2" s="2"/>
      <c r="D2" s="2"/>
      <c r="E2" s="2"/>
    </row>
    <row r="4" customFormat="false" ht="24" hidden="false" customHeight="true" outlineLevel="0" collapsed="false">
      <c r="A4" s="3" t="s">
        <v>12</v>
      </c>
      <c r="B4" s="3" t="s">
        <v>13</v>
      </c>
      <c r="C4" s="3" t="s">
        <v>14</v>
      </c>
      <c r="D4" s="3" t="s">
        <v>15</v>
      </c>
      <c r="E4" s="3" t="s">
        <v>16</v>
      </c>
    </row>
    <row r="5" customFormat="false" ht="33.75" hidden="false" customHeight="true" outlineLevel="0" collapsed="false">
      <c r="A5" s="5" t="n">
        <v>1</v>
      </c>
      <c r="B5" s="12" t="s">
        <v>17</v>
      </c>
      <c r="C5" s="13" t="s">
        <v>18</v>
      </c>
      <c r="D5" s="14" t="n">
        <f aca="false">AVERAGE('Task 1'!B5:B24)</f>
        <v>486.25</v>
      </c>
      <c r="E5" s="15" t="s">
        <v>19</v>
      </c>
    </row>
    <row r="6" customFormat="false" ht="33.75" hidden="false" customHeight="true" outlineLevel="0" collapsed="false">
      <c r="A6" s="5" t="n">
        <v>2</v>
      </c>
      <c r="B6" s="12" t="s">
        <v>20</v>
      </c>
      <c r="C6" s="13" t="s">
        <v>21</v>
      </c>
      <c r="D6" s="14" t="n">
        <f aca="false">MEDIAN('Task 1'!B5:B24)</f>
        <v>430</v>
      </c>
      <c r="E6" s="15" t="s">
        <v>22</v>
      </c>
    </row>
    <row r="7" customFormat="false" ht="33.75" hidden="false" customHeight="true" outlineLevel="0" collapsed="false">
      <c r="A7" s="5" t="n">
        <v>3</v>
      </c>
      <c r="B7" s="12" t="s">
        <v>23</v>
      </c>
      <c r="C7" s="13" t="s">
        <v>24</v>
      </c>
      <c r="D7" s="14" t="n">
        <f aca="false">MODE('Task 1'!B5:B24)</f>
        <v>275</v>
      </c>
      <c r="E7" s="15" t="s">
        <v>25</v>
      </c>
    </row>
    <row r="10" customFormat="false" ht="15" hidden="false" customHeight="false" outlineLevel="0" collapsed="false">
      <c r="B10" s="16" t="s">
        <v>26</v>
      </c>
    </row>
    <row r="11" customFormat="false" ht="24" hidden="false" customHeight="true" outlineLevel="0" collapsed="false">
      <c r="A11" s="3" t="s">
        <v>12</v>
      </c>
      <c r="B11" s="3" t="s">
        <v>13</v>
      </c>
      <c r="C11" s="3" t="s">
        <v>14</v>
      </c>
      <c r="D11" s="3" t="s">
        <v>15</v>
      </c>
      <c r="E11" s="3" t="s">
        <v>27</v>
      </c>
    </row>
    <row r="12" customFormat="false" ht="15" hidden="false" customHeight="false" outlineLevel="0" collapsed="false">
      <c r="A12" s="5" t="n">
        <v>1</v>
      </c>
      <c r="B12" s="12" t="s">
        <v>28</v>
      </c>
      <c r="C12" s="13" t="s">
        <v>29</v>
      </c>
      <c r="D12" s="17" t="n">
        <f aca="false">COUNT('Task 1'!B5:B24)</f>
        <v>20</v>
      </c>
      <c r="E12" s="15" t="s">
        <v>30</v>
      </c>
    </row>
    <row r="13" customFormat="false" ht="15" hidden="false" customHeight="false" outlineLevel="0" collapsed="false">
      <c r="A13" s="5" t="n">
        <v>2</v>
      </c>
      <c r="B13" s="12" t="s">
        <v>31</v>
      </c>
      <c r="C13" s="13" t="s">
        <v>32</v>
      </c>
      <c r="D13" s="18" t="n">
        <f aca="false">SUM('Task 1'!B5:B24)</f>
        <v>9725</v>
      </c>
      <c r="E13" s="15" t="s">
        <v>33</v>
      </c>
    </row>
    <row r="14" customFormat="false" ht="15" hidden="false" customHeight="false" outlineLevel="0" collapsed="false">
      <c r="A14" s="5" t="n">
        <v>3</v>
      </c>
      <c r="B14" s="12" t="s">
        <v>34</v>
      </c>
      <c r="C14" s="13" t="s">
        <v>35</v>
      </c>
      <c r="D14" s="18" t="n">
        <f aca="false">MIN('Task 1'!B5:B24)</f>
        <v>130</v>
      </c>
      <c r="E14" s="15" t="s">
        <v>36</v>
      </c>
    </row>
    <row r="15" customFormat="false" ht="15" hidden="false" customHeight="false" outlineLevel="0" collapsed="false">
      <c r="A15" s="5" t="n">
        <v>4</v>
      </c>
      <c r="B15" s="12" t="s">
        <v>37</v>
      </c>
      <c r="C15" s="13" t="s">
        <v>38</v>
      </c>
      <c r="D15" s="18" t="n">
        <f aca="false">MAX('Task 1'!B5:B24)</f>
        <v>990</v>
      </c>
      <c r="E15" s="15" t="s">
        <v>39</v>
      </c>
    </row>
    <row r="17" customFormat="false" ht="15" hidden="false" customHeight="false" outlineLevel="0" collapsed="false">
      <c r="B17" s="16" t="s">
        <v>40</v>
      </c>
    </row>
    <row r="18" customFormat="false" ht="15" hidden="false" customHeight="false" outlineLevel="0" collapsed="false">
      <c r="B18" s="7" t="str">
        <f aca="false">"The mean (₹"&amp;TEXT(D5,"0.00")&amp;") is "&amp;IF(D5&gt;D6,"higher","lower")&amp;" than the median (₹"&amp;TEXT(D6,"0.00")&amp;"), which suggests a few "&amp;IF(D5&gt;D6,"high","low")&amp;"-value orders pull the average "&amp;IF(D5&gt;D6,"up","down")&amp;". The most common order is ₹"&amp;TEXT(D7,"0")&amp;"."</f>
        <v>The mean (₹486.25) is higher than the median (₹430.00), which suggests a few high-value orders pull the average up. The most common order is ₹275.</v>
      </c>
      <c r="C18" s="7"/>
      <c r="D18" s="7"/>
      <c r="E18" s="7"/>
    </row>
    <row r="19" customFormat="false" ht="15" hidden="false" customHeight="false" outlineLevel="0" collapsed="false">
      <c r="B19" s="7"/>
      <c r="C19" s="7"/>
      <c r="D19" s="7"/>
      <c r="E19" s="7"/>
    </row>
  </sheetData>
  <mergeCells count="3">
    <mergeCell ref="A1:E1"/>
    <mergeCell ref="A2:E2"/>
    <mergeCell ref="B18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3" min="3" style="0" width="4"/>
    <col collapsed="false" customWidth="true" hidden="false" outlineLevel="0" max="8" min="4" style="0" width="14"/>
  </cols>
  <sheetData>
    <row r="1" customFormat="false" ht="33.75" hidden="false" customHeight="true" outlineLevel="0" collapsed="false">
      <c r="A1" s="1" t="s">
        <v>41</v>
      </c>
      <c r="B1" s="1"/>
      <c r="C1" s="1"/>
      <c r="D1" s="1"/>
      <c r="E1" s="1"/>
      <c r="F1" s="1"/>
      <c r="G1" s="1"/>
      <c r="H1" s="1"/>
    </row>
    <row r="2" customFormat="false" ht="31.5" hidden="false" customHeight="true" outlineLevel="0" collapsed="false">
      <c r="A2" s="2" t="s">
        <v>42</v>
      </c>
      <c r="B2" s="2"/>
      <c r="C2" s="2"/>
      <c r="D2" s="2"/>
      <c r="E2" s="2"/>
      <c r="F2" s="2"/>
      <c r="G2" s="2"/>
      <c r="H2" s="2"/>
    </row>
    <row r="4" customFormat="false" ht="24" hidden="false" customHeight="true" outlineLevel="0" collapsed="false">
      <c r="A4" s="3" t="s">
        <v>43</v>
      </c>
      <c r="B4" s="3" t="s">
        <v>3</v>
      </c>
    </row>
    <row r="5" customFormat="false" ht="15" hidden="false" customHeight="false" outlineLevel="0" collapsed="false">
      <c r="A5" s="5" t="s">
        <v>44</v>
      </c>
      <c r="B5" s="19" t="n">
        <f aca="false">'Task 1'!B5</f>
        <v>450</v>
      </c>
    </row>
    <row r="6" customFormat="false" ht="15" hidden="false" customHeight="false" outlineLevel="0" collapsed="false">
      <c r="A6" s="5" t="s">
        <v>45</v>
      </c>
      <c r="B6" s="19" t="n">
        <f aca="false">'Task 1'!B6</f>
        <v>275</v>
      </c>
    </row>
    <row r="7" customFormat="false" ht="15" hidden="false" customHeight="false" outlineLevel="0" collapsed="false">
      <c r="A7" s="5" t="s">
        <v>46</v>
      </c>
      <c r="B7" s="19" t="n">
        <f aca="false">'Task 1'!B7</f>
        <v>620</v>
      </c>
    </row>
    <row r="8" customFormat="false" ht="15" hidden="false" customHeight="false" outlineLevel="0" collapsed="false">
      <c r="A8" s="5" t="s">
        <v>47</v>
      </c>
      <c r="B8" s="19" t="n">
        <f aca="false">'Task 1'!B8</f>
        <v>180</v>
      </c>
    </row>
    <row r="9" customFormat="false" ht="15" hidden="false" customHeight="false" outlineLevel="0" collapsed="false">
      <c r="A9" s="5" t="s">
        <v>48</v>
      </c>
      <c r="B9" s="19" t="n">
        <f aca="false">'Task 1'!B9</f>
        <v>845</v>
      </c>
    </row>
    <row r="11" customFormat="false" ht="24" hidden="false" customHeight="true" outlineLevel="0" collapsed="false">
      <c r="A11" s="3" t="s">
        <v>49</v>
      </c>
      <c r="B11" s="3" t="s">
        <v>50</v>
      </c>
    </row>
    <row r="12" customFormat="false" ht="15" hidden="false" customHeight="false" outlineLevel="0" collapsed="false">
      <c r="A12" s="10" t="s">
        <v>51</v>
      </c>
      <c r="B12" s="14" t="n">
        <f aca="false">AVERAGE(B5:B9)</f>
        <v>474</v>
      </c>
    </row>
    <row r="13" customFormat="false" ht="15" hidden="false" customHeight="false" outlineLevel="0" collapsed="false">
      <c r="A13" s="10" t="s">
        <v>52</v>
      </c>
      <c r="B13" s="14" t="n">
        <f aca="false">AVERAGE('Task 1'!B5:B24)</f>
        <v>486.25</v>
      </c>
    </row>
    <row r="14" customFormat="false" ht="15" hidden="false" customHeight="false" outlineLevel="0" collapsed="false">
      <c r="A14" s="12" t="s">
        <v>53</v>
      </c>
      <c r="B14" s="20" t="n">
        <f aca="false">B12-B13</f>
        <v>-12.25</v>
      </c>
    </row>
    <row r="15" customFormat="false" ht="15" hidden="false" customHeight="false" outlineLevel="0" collapsed="false">
      <c r="A15" s="12" t="s">
        <v>54</v>
      </c>
      <c r="B15" s="21" t="n">
        <f aca="false">B14/B13</f>
        <v>-0.0251928020565553</v>
      </c>
    </row>
    <row r="17" customFormat="false" ht="15" hidden="false" customHeight="false" outlineLevel="0" collapsed="false">
      <c r="A17" s="16" t="s">
        <v>55</v>
      </c>
    </row>
    <row r="18" customFormat="false" ht="15" hidden="false" customHeight="false" outlineLevel="0" collapsed="false">
      <c r="A18" s="7" t="str">
        <f aca="false">"The sample mean (₹"&amp;TEXT(B12,"0.00")&amp;") is "&amp;IF(B14&lt;0,"lower","higher")&amp;" than the population mean (₹"&amp;TEXT(B13,"0.00")&amp;") by ₹"&amp;TEXT(ABS(B14),"0.00")&amp;" ("&amp;TEXT(ABS(B15),"0.0%")&amp;"). A sample gives a good estimate but is rarely exact; a larger or random sample usually gets closer to the true mean."</f>
        <v>The sample mean (₹474.00) is lower than the population mean (₹486.25) by ₹12.25 (2.5%). A sample gives a good estimate but is rarely exact; a larger or random sample usually gets closer to the true mean.</v>
      </c>
      <c r="B18" s="7"/>
    </row>
    <row r="19" customFormat="false" ht="15" hidden="false" customHeight="false" outlineLevel="0" collapsed="false">
      <c r="A19" s="7"/>
      <c r="B19" s="7"/>
    </row>
    <row r="20" customFormat="false" ht="15" hidden="false" customHeight="false" outlineLevel="0" collapsed="false">
      <c r="A20" s="7"/>
      <c r="B20" s="7"/>
    </row>
    <row r="21" customFormat="false" ht="15" hidden="false" customHeight="false" outlineLevel="0" collapsed="false">
      <c r="A21" s="7"/>
      <c r="B21" s="7"/>
    </row>
    <row r="22" customFormat="false" ht="15" hidden="false" customHeight="false" outlineLevel="0" collapsed="false">
      <c r="A22" s="7"/>
      <c r="B22" s="7"/>
    </row>
  </sheetData>
  <mergeCells count="3">
    <mergeCell ref="A1:H1"/>
    <mergeCell ref="A2:H2"/>
    <mergeCell ref="A18:B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23744"/>
    <pageSetUpPr fitToPage="true"/>
  </sheetPr>
  <dimension ref="A1:C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44"/>
  </cols>
  <sheetData>
    <row r="1" customFormat="false" ht="33.75" hidden="false" customHeight="true" outlineLevel="0" collapsed="false">
      <c r="A1" s="1" t="s">
        <v>56</v>
      </c>
      <c r="B1" s="1"/>
      <c r="C1" s="1"/>
    </row>
    <row r="2" customFormat="false" ht="31.5" hidden="false" customHeight="true" outlineLevel="0" collapsed="false">
      <c r="A2" s="2" t="s">
        <v>57</v>
      </c>
      <c r="B2" s="2"/>
      <c r="C2" s="2"/>
    </row>
    <row r="4" customFormat="false" ht="24" hidden="false" customHeight="true" outlineLevel="0" collapsed="false">
      <c r="A4" s="3" t="s">
        <v>58</v>
      </c>
      <c r="B4" s="3" t="s">
        <v>59</v>
      </c>
      <c r="C4" s="3" t="s">
        <v>60</v>
      </c>
    </row>
    <row r="5" customFormat="false" ht="31.5" hidden="false" customHeight="true" outlineLevel="0" collapsed="false">
      <c r="A5" s="10" t="s">
        <v>61</v>
      </c>
      <c r="B5" s="15" t="s">
        <v>62</v>
      </c>
      <c r="C5" s="15" t="s">
        <v>63</v>
      </c>
    </row>
    <row r="6" customFormat="false" ht="31.5" hidden="false" customHeight="true" outlineLevel="0" collapsed="false">
      <c r="A6" s="10" t="s">
        <v>64</v>
      </c>
      <c r="B6" s="15" t="s">
        <v>65</v>
      </c>
      <c r="C6" s="15" t="s">
        <v>66</v>
      </c>
    </row>
    <row r="7" customFormat="false" ht="31.5" hidden="false" customHeight="true" outlineLevel="0" collapsed="false">
      <c r="A7" s="10" t="s">
        <v>67</v>
      </c>
      <c r="B7" s="22" t="n">
        <f aca="false">COUNT('Task 1'!B5:B24)</f>
        <v>20</v>
      </c>
      <c r="C7" s="22" t="n">
        <f aca="false">COUNT('Task 3'!B5:B9)</f>
        <v>5</v>
      </c>
    </row>
    <row r="8" customFormat="false" ht="31.5" hidden="false" customHeight="true" outlineLevel="0" collapsed="false">
      <c r="A8" s="10" t="s">
        <v>17</v>
      </c>
      <c r="B8" s="23" t="n">
        <f aca="false">'Task 3'!B13</f>
        <v>486.25</v>
      </c>
      <c r="C8" s="23" t="n">
        <f aca="false">'Task 3'!B12</f>
        <v>474</v>
      </c>
    </row>
    <row r="9" customFormat="false" ht="31.5" hidden="false" customHeight="true" outlineLevel="0" collapsed="false">
      <c r="A9" s="10" t="s">
        <v>68</v>
      </c>
      <c r="B9" s="15" t="s">
        <v>69</v>
      </c>
      <c r="C9" s="15" t="s">
        <v>70</v>
      </c>
    </row>
    <row r="11" customFormat="false" ht="15" hidden="false" customHeight="false" outlineLevel="0" collapsed="false">
      <c r="A11" s="16" t="s">
        <v>71</v>
      </c>
    </row>
    <row r="12" customFormat="false" ht="15" hidden="false" customHeight="true" outlineLevel="0" collapsed="false">
      <c r="A12" s="7" t="s">
        <v>72</v>
      </c>
      <c r="B12" s="7"/>
      <c r="C12" s="7"/>
    </row>
    <row r="13" customFormat="false" ht="15" hidden="false" customHeight="false" outlineLevel="0" collapsed="false">
      <c r="A13" s="7"/>
      <c r="B13" s="7"/>
      <c r="C13" s="7"/>
    </row>
    <row r="14" customFormat="false" ht="15" hidden="false" customHeight="false" outlineLevel="0" collapsed="false">
      <c r="A14" s="7"/>
      <c r="B14" s="7"/>
      <c r="C14" s="7"/>
    </row>
    <row r="15" customFormat="false" ht="15" hidden="false" customHeight="false" outlineLevel="0" collapsed="false">
      <c r="A15" s="7"/>
      <c r="B15" s="7"/>
      <c r="C15" s="7"/>
    </row>
    <row r="16" customFormat="false" ht="15" hidden="false" customHeight="false" outlineLevel="0" collapsed="false">
      <c r="A16" s="7"/>
      <c r="B16" s="7"/>
      <c r="C16" s="7"/>
    </row>
    <row r="18" customFormat="false" ht="15" hidden="false" customHeight="false" outlineLevel="0" collapsed="false">
      <c r="A18" s="16" t="s">
        <v>73</v>
      </c>
    </row>
    <row r="19" customFormat="false" ht="15" hidden="false" customHeight="true" outlineLevel="0" collapsed="false">
      <c r="A19" s="7" t="s">
        <v>74</v>
      </c>
      <c r="B19" s="7"/>
      <c r="C19" s="7"/>
    </row>
    <row r="20" customFormat="false" ht="15" hidden="false" customHeight="false" outlineLevel="0" collapsed="false">
      <c r="A20" s="7"/>
      <c r="B20" s="7"/>
      <c r="C20" s="7"/>
    </row>
    <row r="21" customFormat="false" ht="15" hidden="false" customHeight="false" outlineLevel="0" collapsed="false">
      <c r="A21" s="7"/>
      <c r="B21" s="7"/>
      <c r="C21" s="7"/>
    </row>
    <row r="22" customFormat="false" ht="15" hidden="false" customHeight="false" outlineLevel="0" collapsed="false">
      <c r="A22" s="7"/>
      <c r="B22" s="7"/>
      <c r="C22" s="7"/>
    </row>
    <row r="23" customFormat="false" ht="15" hidden="false" customHeight="false" outlineLevel="0" collapsed="false">
      <c r="A23" s="7"/>
      <c r="B23" s="7"/>
      <c r="C23" s="7"/>
    </row>
  </sheetData>
  <mergeCells count="4">
    <mergeCell ref="A1:C1"/>
    <mergeCell ref="A2:C2"/>
    <mergeCell ref="A12:C16"/>
    <mergeCell ref="A19:C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2026-10-21T16:21:28Z</dcterms:created>
  <dc:creator>openpyxl</dc:creator>
  <dc:description/>
  <dc:language>en-US</dc:language>
  <cp:lastModifiedBy/>
  <dcterms:modified xsi:type="dcterms:W3CDTF">2026-10-21T16:21:30Z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